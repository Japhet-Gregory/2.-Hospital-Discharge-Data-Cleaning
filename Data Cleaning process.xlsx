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TICS 2026\3.EXCEL FOR DATA ANALYTICS 2026\PROJECTS\kgm hospital Data Cleaning\"/>
    </mc:Choice>
  </mc:AlternateContent>
  <xr:revisionPtr revIDLastSave="0" documentId="13_ncr:1_{9BBCA0ED-6022-41B8-8ABA-021EB1BAB151}" xr6:coauthVersionLast="47" xr6:coauthVersionMax="47" xr10:uidLastSave="{00000000-0000-0000-0000-000000000000}"/>
  <bookViews>
    <workbookView xWindow="60" yWindow="345" windowWidth="23940" windowHeight="12405" xr2:uid="{36E8CA57-DC20-47B5-BC61-B2900CBD1920}"/>
  </bookViews>
  <sheets>
    <sheet name="Raw Dataset" sheetId="1" r:id="rId1"/>
    <sheet name="Cleaning Process" sheetId="2" r:id="rId2"/>
    <sheet name="Clean Dataset" sheetId="4" r:id="rId3"/>
  </sheets>
  <definedNames>
    <definedName name="_xlnm._FilterDatabase" localSheetId="2" hidden="1">'Clean Dataset'!$A$1:$L$906</definedName>
    <definedName name="_xlnm._FilterDatabase" localSheetId="1" hidden="1">'Cleaning Process'!$A$1:$Z$907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2" i="2" l="1" a="1"/>
  <c r="Z2" i="2" s="1"/>
  <c r="X2" i="2" a="1"/>
  <c r="X2" i="2" s="1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2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N2" i="2" a="1"/>
  <c r="N2" i="2" s="1"/>
  <c r="L3" i="2" a="1"/>
  <c r="L3" i="2" s="1"/>
  <c r="L4" i="2" a="1"/>
  <c r="L4" i="2" s="1"/>
  <c r="L5" i="2" a="1"/>
  <c r="L5" i="2" s="1"/>
  <c r="L6" i="2" a="1"/>
  <c r="L6" i="2" s="1"/>
  <c r="L7" i="2" a="1"/>
  <c r="L7" i="2" s="1"/>
  <c r="L8" i="2" a="1"/>
  <c r="L8" i="2" s="1"/>
  <c r="L9" i="2" a="1"/>
  <c r="L9" i="2" s="1"/>
  <c r="L10" i="2" a="1"/>
  <c r="L10" i="2" s="1"/>
  <c r="L11" i="2" a="1"/>
  <c r="L11" i="2" s="1"/>
  <c r="L12" i="2" a="1"/>
  <c r="L12" i="2" s="1"/>
  <c r="L13" i="2" a="1"/>
  <c r="L13" i="2" s="1"/>
  <c r="L14" i="2" a="1"/>
  <c r="L14" i="2" s="1"/>
  <c r="L15" i="2" a="1"/>
  <c r="L15" i="2" s="1"/>
  <c r="L16" i="2" a="1"/>
  <c r="L16" i="2" s="1"/>
  <c r="L17" i="2" a="1"/>
  <c r="L17" i="2" s="1"/>
  <c r="L18" i="2" a="1"/>
  <c r="L18" i="2" s="1"/>
  <c r="L19" i="2" a="1"/>
  <c r="L19" i="2" s="1"/>
  <c r="L20" i="2" a="1"/>
  <c r="L20" i="2" s="1"/>
  <c r="L21" i="2" a="1"/>
  <c r="L21" i="2" s="1"/>
  <c r="L22" i="2" a="1"/>
  <c r="L22" i="2" s="1"/>
  <c r="L23" i="2" a="1"/>
  <c r="L23" i="2" s="1"/>
  <c r="L24" i="2" a="1"/>
  <c r="L24" i="2" s="1"/>
  <c r="L25" i="2" a="1"/>
  <c r="L25" i="2" s="1"/>
  <c r="L26" i="2" a="1"/>
  <c r="L26" i="2" s="1"/>
  <c r="L27" i="2" a="1"/>
  <c r="L27" i="2" s="1"/>
  <c r="L28" i="2" a="1"/>
  <c r="L28" i="2" s="1"/>
  <c r="L29" i="2" a="1"/>
  <c r="L29" i="2" s="1"/>
  <c r="L30" i="2" a="1"/>
  <c r="L30" i="2" s="1"/>
  <c r="L31" i="2" a="1"/>
  <c r="L31" i="2" s="1"/>
  <c r="L32" i="2" a="1"/>
  <c r="L32" i="2" s="1"/>
  <c r="L33" i="2" a="1"/>
  <c r="L33" i="2" s="1"/>
  <c r="L34" i="2" a="1"/>
  <c r="L34" i="2" s="1"/>
  <c r="L35" i="2" a="1"/>
  <c r="L35" i="2" s="1"/>
  <c r="L36" i="2" a="1"/>
  <c r="L36" i="2" s="1"/>
  <c r="L37" i="2" a="1"/>
  <c r="L37" i="2" s="1"/>
  <c r="L38" i="2" a="1"/>
  <c r="L38" i="2" s="1"/>
  <c r="L39" i="2" a="1"/>
  <c r="L39" i="2" s="1"/>
  <c r="L40" i="2" a="1"/>
  <c r="L40" i="2" s="1"/>
  <c r="L41" i="2" a="1"/>
  <c r="L41" i="2" s="1"/>
  <c r="L42" i="2" a="1"/>
  <c r="L42" i="2" s="1"/>
  <c r="L43" i="2" a="1"/>
  <c r="L43" i="2" s="1"/>
  <c r="L44" i="2" a="1"/>
  <c r="L44" i="2" s="1"/>
  <c r="L45" i="2" a="1"/>
  <c r="L45" i="2" s="1"/>
  <c r="L46" i="2" a="1"/>
  <c r="L46" i="2" s="1"/>
  <c r="L47" i="2" a="1"/>
  <c r="L47" i="2" s="1"/>
  <c r="L48" i="2" a="1"/>
  <c r="L48" i="2" s="1"/>
  <c r="L49" i="2" a="1"/>
  <c r="L49" i="2" s="1"/>
  <c r="L50" i="2" a="1"/>
  <c r="L50" i="2" s="1"/>
  <c r="L51" i="2" a="1"/>
  <c r="L51" i="2" s="1"/>
  <c r="L52" i="2" a="1"/>
  <c r="L52" i="2" s="1"/>
  <c r="L53" i="2" a="1"/>
  <c r="L53" i="2" s="1"/>
  <c r="L54" i="2" a="1"/>
  <c r="L54" i="2" s="1"/>
  <c r="L55" i="2" a="1"/>
  <c r="L55" i="2" s="1"/>
  <c r="L56" i="2" a="1"/>
  <c r="L56" i="2" s="1"/>
  <c r="L57" i="2" a="1"/>
  <c r="L57" i="2" s="1"/>
  <c r="L58" i="2" a="1"/>
  <c r="L58" i="2" s="1"/>
  <c r="L59" i="2" a="1"/>
  <c r="L59" i="2" s="1"/>
  <c r="L60" i="2" a="1"/>
  <c r="L60" i="2" s="1"/>
  <c r="L61" i="2" a="1"/>
  <c r="L61" i="2" s="1"/>
  <c r="L62" i="2" a="1"/>
  <c r="L62" i="2" s="1"/>
  <c r="L63" i="2" a="1"/>
  <c r="L63" i="2" s="1"/>
  <c r="L64" i="2" a="1"/>
  <c r="L64" i="2" s="1"/>
  <c r="L65" i="2" a="1"/>
  <c r="L65" i="2" s="1"/>
  <c r="L66" i="2" a="1"/>
  <c r="L66" i="2" s="1"/>
  <c r="L67" i="2" a="1"/>
  <c r="L67" i="2" s="1"/>
  <c r="L68" i="2" a="1"/>
  <c r="L68" i="2" s="1"/>
  <c r="L69" i="2" a="1"/>
  <c r="L69" i="2" s="1"/>
  <c r="L70" i="2" a="1"/>
  <c r="L70" i="2" s="1"/>
  <c r="L71" i="2" a="1"/>
  <c r="L71" i="2" s="1"/>
  <c r="L72" i="2" a="1"/>
  <c r="L72" i="2" s="1"/>
  <c r="L73" i="2" a="1"/>
  <c r="L73" i="2" s="1"/>
  <c r="L74" i="2" a="1"/>
  <c r="L74" i="2" s="1"/>
  <c r="L75" i="2" a="1"/>
  <c r="L75" i="2" s="1"/>
  <c r="L76" i="2" a="1"/>
  <c r="L76" i="2" s="1"/>
  <c r="L77" i="2" a="1"/>
  <c r="L77" i="2" s="1"/>
  <c r="L78" i="2" a="1"/>
  <c r="L78" i="2" s="1"/>
  <c r="L79" i="2" a="1"/>
  <c r="L79" i="2" s="1"/>
  <c r="L80" i="2" a="1"/>
  <c r="L80" i="2" s="1"/>
  <c r="L81" i="2" a="1"/>
  <c r="L81" i="2" s="1"/>
  <c r="L82" i="2" a="1"/>
  <c r="L82" i="2" s="1"/>
  <c r="L83" i="2" a="1"/>
  <c r="L83" i="2" s="1"/>
  <c r="L84" i="2" a="1"/>
  <c r="L84" i="2" s="1"/>
  <c r="L85" i="2" a="1"/>
  <c r="L85" i="2" s="1"/>
  <c r="L86" i="2" a="1"/>
  <c r="L86" i="2" s="1"/>
  <c r="L87" i="2" a="1"/>
  <c r="L87" i="2" s="1"/>
  <c r="L88" i="2" a="1"/>
  <c r="L88" i="2" s="1"/>
  <c r="L89" i="2" a="1"/>
  <c r="L89" i="2" s="1"/>
  <c r="L90" i="2" a="1"/>
  <c r="L90" i="2" s="1"/>
  <c r="L91" i="2" a="1"/>
  <c r="L91" i="2" s="1"/>
  <c r="L92" i="2" a="1"/>
  <c r="L92" i="2" s="1"/>
  <c r="L93" i="2" a="1"/>
  <c r="L93" i="2" s="1"/>
  <c r="L94" i="2" a="1"/>
  <c r="L94" i="2" s="1"/>
  <c r="L95" i="2" a="1"/>
  <c r="L95" i="2" s="1"/>
  <c r="L96" i="2" a="1"/>
  <c r="L96" i="2" s="1"/>
  <c r="L97" i="2" a="1"/>
  <c r="L97" i="2" s="1"/>
  <c r="L98" i="2" a="1"/>
  <c r="L98" i="2" s="1"/>
  <c r="L99" i="2" a="1"/>
  <c r="L99" i="2" s="1"/>
  <c r="L100" i="2" a="1"/>
  <c r="L100" i="2" s="1"/>
  <c r="L101" i="2" a="1"/>
  <c r="L101" i="2" s="1"/>
  <c r="L102" i="2" a="1"/>
  <c r="L102" i="2" s="1"/>
  <c r="L103" i="2" a="1"/>
  <c r="L103" i="2" s="1"/>
  <c r="L104" i="2" a="1"/>
  <c r="L104" i="2" s="1"/>
  <c r="L105" i="2" a="1"/>
  <c r="L105" i="2" s="1"/>
  <c r="L106" i="2" a="1"/>
  <c r="L106" i="2" s="1"/>
  <c r="L107" i="2" a="1"/>
  <c r="L107" i="2" s="1"/>
  <c r="L108" i="2" a="1"/>
  <c r="L108" i="2" s="1"/>
  <c r="L109" i="2" a="1"/>
  <c r="L109" i="2" s="1"/>
  <c r="L110" i="2" a="1"/>
  <c r="L110" i="2" s="1"/>
  <c r="L111" i="2" a="1"/>
  <c r="L111" i="2" s="1"/>
  <c r="L112" i="2" a="1"/>
  <c r="L112" i="2" s="1"/>
  <c r="L113" i="2" a="1"/>
  <c r="L113" i="2" s="1"/>
  <c r="L114" i="2" a="1"/>
  <c r="L114" i="2" s="1"/>
  <c r="L115" i="2" a="1"/>
  <c r="L115" i="2" s="1"/>
  <c r="L116" i="2" a="1"/>
  <c r="L116" i="2" s="1"/>
  <c r="L117" i="2" a="1"/>
  <c r="L117" i="2" s="1"/>
  <c r="L118" i="2" a="1"/>
  <c r="L118" i="2" s="1"/>
  <c r="L119" i="2" a="1"/>
  <c r="L119" i="2" s="1"/>
  <c r="L120" i="2" a="1"/>
  <c r="L120" i="2" s="1"/>
  <c r="L121" i="2" a="1"/>
  <c r="L121" i="2" s="1"/>
  <c r="L122" i="2" a="1"/>
  <c r="L122" i="2" s="1"/>
  <c r="L123" i="2" a="1"/>
  <c r="L123" i="2" s="1"/>
  <c r="L124" i="2" a="1"/>
  <c r="L124" i="2" s="1"/>
  <c r="L125" i="2" a="1"/>
  <c r="L125" i="2" s="1"/>
  <c r="L126" i="2" a="1"/>
  <c r="L126" i="2" s="1"/>
  <c r="L127" i="2" a="1"/>
  <c r="L127" i="2" s="1"/>
  <c r="L128" i="2" a="1"/>
  <c r="L128" i="2" s="1"/>
  <c r="L129" i="2" a="1"/>
  <c r="L129" i="2" s="1"/>
  <c r="L130" i="2" a="1"/>
  <c r="L130" i="2" s="1"/>
  <c r="L131" i="2" a="1"/>
  <c r="L131" i="2" s="1"/>
  <c r="L132" i="2" a="1"/>
  <c r="L132" i="2" s="1"/>
  <c r="L133" i="2" a="1"/>
  <c r="L133" i="2" s="1"/>
  <c r="L134" i="2" a="1"/>
  <c r="L134" i="2" s="1"/>
  <c r="L135" i="2" a="1"/>
  <c r="L135" i="2" s="1"/>
  <c r="L136" i="2" a="1"/>
  <c r="L136" i="2" s="1"/>
  <c r="L137" i="2" a="1"/>
  <c r="L137" i="2" s="1"/>
  <c r="L138" i="2" a="1"/>
  <c r="L138" i="2" s="1"/>
  <c r="L139" i="2" a="1"/>
  <c r="L139" i="2" s="1"/>
  <c r="L140" i="2" a="1"/>
  <c r="L140" i="2" s="1"/>
  <c r="L141" i="2" a="1"/>
  <c r="L141" i="2" s="1"/>
  <c r="L142" i="2" a="1"/>
  <c r="L142" i="2" s="1"/>
  <c r="L143" i="2" a="1"/>
  <c r="L143" i="2" s="1"/>
  <c r="L144" i="2" a="1"/>
  <c r="L144" i="2" s="1"/>
  <c r="L145" i="2" a="1"/>
  <c r="L145" i="2" s="1"/>
  <c r="L146" i="2" a="1"/>
  <c r="L146" i="2" s="1"/>
  <c r="L147" i="2" a="1"/>
  <c r="L147" i="2" s="1"/>
  <c r="L148" i="2" a="1"/>
  <c r="L148" i="2" s="1"/>
  <c r="L149" i="2" a="1"/>
  <c r="L149" i="2" s="1"/>
  <c r="L150" i="2" a="1"/>
  <c r="L150" i="2" s="1"/>
  <c r="L151" i="2" a="1"/>
  <c r="L151" i="2" s="1"/>
  <c r="L152" i="2" a="1"/>
  <c r="L152" i="2" s="1"/>
  <c r="L153" i="2" a="1"/>
  <c r="L153" i="2" s="1"/>
  <c r="L154" i="2" a="1"/>
  <c r="L154" i="2" s="1"/>
  <c r="L155" i="2" a="1"/>
  <c r="L155" i="2" s="1"/>
  <c r="L156" i="2" a="1"/>
  <c r="L156" i="2" s="1"/>
  <c r="L157" i="2" a="1"/>
  <c r="L157" i="2" s="1"/>
  <c r="L158" i="2" a="1"/>
  <c r="L158" i="2" s="1"/>
  <c r="L159" i="2" a="1"/>
  <c r="L159" i="2" s="1"/>
  <c r="L160" i="2" a="1"/>
  <c r="L160" i="2" s="1"/>
  <c r="L161" i="2" a="1"/>
  <c r="L161" i="2" s="1"/>
  <c r="L162" i="2" a="1"/>
  <c r="L162" i="2" s="1"/>
  <c r="L163" i="2" a="1"/>
  <c r="L163" i="2" s="1"/>
  <c r="L164" i="2" a="1"/>
  <c r="L164" i="2" s="1"/>
  <c r="L165" i="2" a="1"/>
  <c r="L165" i="2" s="1"/>
  <c r="L166" i="2" a="1"/>
  <c r="L166" i="2" s="1"/>
  <c r="L167" i="2" a="1"/>
  <c r="L167" i="2" s="1"/>
  <c r="L168" i="2" a="1"/>
  <c r="L168" i="2" s="1"/>
  <c r="L169" i="2" a="1"/>
  <c r="L169" i="2" s="1"/>
  <c r="L170" i="2" a="1"/>
  <c r="L170" i="2" s="1"/>
  <c r="L171" i="2" a="1"/>
  <c r="L171" i="2" s="1"/>
  <c r="L172" i="2" a="1"/>
  <c r="L172" i="2" s="1"/>
  <c r="L173" i="2" a="1"/>
  <c r="L173" i="2" s="1"/>
  <c r="L174" i="2" a="1"/>
  <c r="L174" i="2" s="1"/>
  <c r="L175" i="2" a="1"/>
  <c r="L175" i="2" s="1"/>
  <c r="L176" i="2" a="1"/>
  <c r="L176" i="2" s="1"/>
  <c r="L177" i="2" a="1"/>
  <c r="L177" i="2" s="1"/>
  <c r="L178" i="2" a="1"/>
  <c r="L178" i="2" s="1"/>
  <c r="L179" i="2" a="1"/>
  <c r="L179" i="2" s="1"/>
  <c r="L180" i="2" a="1"/>
  <c r="L180" i="2" s="1"/>
  <c r="L181" i="2" a="1"/>
  <c r="L181" i="2" s="1"/>
  <c r="L182" i="2" a="1"/>
  <c r="L182" i="2" s="1"/>
  <c r="L183" i="2" a="1"/>
  <c r="L183" i="2" s="1"/>
  <c r="L184" i="2" a="1"/>
  <c r="L184" i="2" s="1"/>
  <c r="L185" i="2" a="1"/>
  <c r="L185" i="2" s="1"/>
  <c r="L186" i="2" a="1"/>
  <c r="L186" i="2" s="1"/>
  <c r="L187" i="2" a="1"/>
  <c r="L187" i="2" s="1"/>
  <c r="L188" i="2" a="1"/>
  <c r="L188" i="2" s="1"/>
  <c r="L189" i="2" a="1"/>
  <c r="L189" i="2" s="1"/>
  <c r="L190" i="2" a="1"/>
  <c r="L190" i="2" s="1"/>
  <c r="L191" i="2" a="1"/>
  <c r="L191" i="2" s="1"/>
  <c r="L192" i="2" a="1"/>
  <c r="L192" i="2" s="1"/>
  <c r="L193" i="2" a="1"/>
  <c r="L193" i="2" s="1"/>
  <c r="L194" i="2" a="1"/>
  <c r="L194" i="2" s="1"/>
  <c r="L195" i="2" a="1"/>
  <c r="L195" i="2" s="1"/>
  <c r="L196" i="2" a="1"/>
  <c r="L196" i="2" s="1"/>
  <c r="L197" i="2" a="1"/>
  <c r="L197" i="2" s="1"/>
  <c r="L198" i="2" a="1"/>
  <c r="L198" i="2" s="1"/>
  <c r="L199" i="2" a="1"/>
  <c r="L199" i="2" s="1"/>
  <c r="L200" i="2" a="1"/>
  <c r="L200" i="2" s="1"/>
  <c r="L201" i="2" a="1"/>
  <c r="L201" i="2" s="1"/>
  <c r="L202" i="2" a="1"/>
  <c r="L202" i="2" s="1"/>
  <c r="L203" i="2" a="1"/>
  <c r="L203" i="2" s="1"/>
  <c r="L204" i="2" a="1"/>
  <c r="L204" i="2" s="1"/>
  <c r="L205" i="2" a="1"/>
  <c r="L205" i="2" s="1"/>
  <c r="L206" i="2" a="1"/>
  <c r="L206" i="2" s="1"/>
  <c r="L207" i="2" a="1"/>
  <c r="L207" i="2" s="1"/>
  <c r="L208" i="2" a="1"/>
  <c r="L208" i="2" s="1"/>
  <c r="L209" i="2" a="1"/>
  <c r="L209" i="2" s="1"/>
  <c r="L210" i="2" a="1"/>
  <c r="L210" i="2" s="1"/>
  <c r="L211" i="2" a="1"/>
  <c r="L211" i="2" s="1"/>
  <c r="L212" i="2" a="1"/>
  <c r="L212" i="2" s="1"/>
  <c r="L213" i="2" a="1"/>
  <c r="L213" i="2" s="1"/>
  <c r="L214" i="2" a="1"/>
  <c r="L214" i="2" s="1"/>
  <c r="L215" i="2" a="1"/>
  <c r="L215" i="2" s="1"/>
  <c r="L216" i="2" a="1"/>
  <c r="L216" i="2" s="1"/>
  <c r="L217" i="2" a="1"/>
  <c r="L217" i="2" s="1"/>
  <c r="L218" i="2" a="1"/>
  <c r="L218" i="2" s="1"/>
  <c r="L219" i="2" a="1"/>
  <c r="L219" i="2" s="1"/>
  <c r="L220" i="2" a="1"/>
  <c r="L220" i="2" s="1"/>
  <c r="L221" i="2" a="1"/>
  <c r="L221" i="2" s="1"/>
  <c r="L222" i="2" a="1"/>
  <c r="L222" i="2" s="1"/>
  <c r="L223" i="2" a="1"/>
  <c r="L223" i="2" s="1"/>
  <c r="L224" i="2" a="1"/>
  <c r="L224" i="2" s="1"/>
  <c r="L225" i="2" a="1"/>
  <c r="L225" i="2" s="1"/>
  <c r="L226" i="2" a="1"/>
  <c r="L226" i="2" s="1"/>
  <c r="L227" i="2" a="1"/>
  <c r="L227" i="2" s="1"/>
  <c r="L228" i="2" a="1"/>
  <c r="L228" i="2" s="1"/>
  <c r="L229" i="2" a="1"/>
  <c r="L229" i="2" s="1"/>
  <c r="L230" i="2" a="1"/>
  <c r="L230" i="2" s="1"/>
  <c r="L231" i="2" a="1"/>
  <c r="L231" i="2" s="1"/>
  <c r="L232" i="2" a="1"/>
  <c r="L232" i="2" s="1"/>
  <c r="L233" i="2" a="1"/>
  <c r="L233" i="2" s="1"/>
  <c r="L234" i="2" a="1"/>
  <c r="L234" i="2" s="1"/>
  <c r="L235" i="2" a="1"/>
  <c r="L235" i="2" s="1"/>
  <c r="L236" i="2" a="1"/>
  <c r="L236" i="2" s="1"/>
  <c r="L237" i="2" a="1"/>
  <c r="L237" i="2" s="1"/>
  <c r="L238" i="2" a="1"/>
  <c r="L238" i="2" s="1"/>
  <c r="L239" i="2" a="1"/>
  <c r="L239" i="2" s="1"/>
  <c r="L240" i="2" a="1"/>
  <c r="L240" i="2" s="1"/>
  <c r="L241" i="2" a="1"/>
  <c r="L241" i="2" s="1"/>
  <c r="L242" i="2" a="1"/>
  <c r="L242" i="2" s="1"/>
  <c r="L243" i="2" a="1"/>
  <c r="L243" i="2" s="1"/>
  <c r="L244" i="2" a="1"/>
  <c r="L244" i="2" s="1"/>
  <c r="L245" i="2" a="1"/>
  <c r="L245" i="2" s="1"/>
  <c r="L246" i="2" a="1"/>
  <c r="L246" i="2" s="1"/>
  <c r="L247" i="2" a="1"/>
  <c r="L247" i="2" s="1"/>
  <c r="L248" i="2" a="1"/>
  <c r="L248" i="2" s="1"/>
  <c r="L249" i="2" a="1"/>
  <c r="L249" i="2" s="1"/>
  <c r="L250" i="2" a="1"/>
  <c r="L250" i="2" s="1"/>
  <c r="L251" i="2" a="1"/>
  <c r="L251" i="2" s="1"/>
  <c r="L252" i="2" a="1"/>
  <c r="L252" i="2" s="1"/>
  <c r="L253" i="2" a="1"/>
  <c r="L253" i="2" s="1"/>
  <c r="L254" i="2" a="1"/>
  <c r="L254" i="2" s="1"/>
  <c r="L255" i="2" a="1"/>
  <c r="L255" i="2" s="1"/>
  <c r="L256" i="2" a="1"/>
  <c r="L256" i="2" s="1"/>
  <c r="L257" i="2" a="1"/>
  <c r="L257" i="2" s="1"/>
  <c r="L258" i="2" a="1"/>
  <c r="L258" i="2" s="1"/>
  <c r="L259" i="2" a="1"/>
  <c r="L259" i="2" s="1"/>
  <c r="L260" i="2" a="1"/>
  <c r="L260" i="2" s="1"/>
  <c r="L261" i="2" a="1"/>
  <c r="L261" i="2" s="1"/>
  <c r="L262" i="2" a="1"/>
  <c r="L262" i="2" s="1"/>
  <c r="L263" i="2" a="1"/>
  <c r="L263" i="2" s="1"/>
  <c r="L264" i="2" a="1"/>
  <c r="L264" i="2" s="1"/>
  <c r="L265" i="2" a="1"/>
  <c r="L265" i="2" s="1"/>
  <c r="L266" i="2" a="1"/>
  <c r="L266" i="2" s="1"/>
  <c r="L267" i="2" a="1"/>
  <c r="L267" i="2" s="1"/>
  <c r="L268" i="2" a="1"/>
  <c r="L268" i="2" s="1"/>
  <c r="L269" i="2" a="1"/>
  <c r="L269" i="2" s="1"/>
  <c r="L270" i="2" a="1"/>
  <c r="L270" i="2" s="1"/>
  <c r="L271" i="2" a="1"/>
  <c r="L271" i="2" s="1"/>
  <c r="L272" i="2" a="1"/>
  <c r="L272" i="2" s="1"/>
  <c r="L273" i="2" a="1"/>
  <c r="L273" i="2" s="1"/>
  <c r="L274" i="2" a="1"/>
  <c r="L274" i="2" s="1"/>
  <c r="L275" i="2" a="1"/>
  <c r="L275" i="2" s="1"/>
  <c r="L276" i="2" a="1"/>
  <c r="L276" i="2" s="1"/>
  <c r="L277" i="2" a="1"/>
  <c r="L277" i="2" s="1"/>
  <c r="L278" i="2" a="1"/>
  <c r="L278" i="2" s="1"/>
  <c r="L279" i="2" a="1"/>
  <c r="L279" i="2" s="1"/>
  <c r="L280" i="2" a="1"/>
  <c r="L280" i="2" s="1"/>
  <c r="L281" i="2" a="1"/>
  <c r="L281" i="2" s="1"/>
  <c r="L282" i="2" a="1"/>
  <c r="L282" i="2" s="1"/>
  <c r="L283" i="2" a="1"/>
  <c r="L283" i="2" s="1"/>
  <c r="L284" i="2" a="1"/>
  <c r="L284" i="2" s="1"/>
  <c r="L285" i="2" a="1"/>
  <c r="L285" i="2" s="1"/>
  <c r="L286" i="2" a="1"/>
  <c r="L286" i="2" s="1"/>
  <c r="L287" i="2" a="1"/>
  <c r="L287" i="2" s="1"/>
  <c r="L288" i="2" a="1"/>
  <c r="L288" i="2" s="1"/>
  <c r="L289" i="2" a="1"/>
  <c r="L289" i="2" s="1"/>
  <c r="L290" i="2" a="1"/>
  <c r="L290" i="2" s="1"/>
  <c r="L291" i="2" a="1"/>
  <c r="L291" i="2" s="1"/>
  <c r="L292" i="2" a="1"/>
  <c r="L292" i="2" s="1"/>
  <c r="L293" i="2" a="1"/>
  <c r="L293" i="2" s="1"/>
  <c r="L294" i="2" a="1"/>
  <c r="L294" i="2" s="1"/>
  <c r="L295" i="2" a="1"/>
  <c r="L295" i="2" s="1"/>
  <c r="L296" i="2" a="1"/>
  <c r="L296" i="2" s="1"/>
  <c r="L297" i="2" a="1"/>
  <c r="L297" i="2" s="1"/>
  <c r="L298" i="2" a="1"/>
  <c r="L298" i="2" s="1"/>
  <c r="L299" i="2" a="1"/>
  <c r="L299" i="2" s="1"/>
  <c r="L300" i="2" a="1"/>
  <c r="L300" i="2" s="1"/>
  <c r="L301" i="2" a="1"/>
  <c r="L301" i="2" s="1"/>
  <c r="L302" i="2" a="1"/>
  <c r="L302" i="2" s="1"/>
  <c r="L303" i="2" a="1"/>
  <c r="L303" i="2" s="1"/>
  <c r="L304" i="2" a="1"/>
  <c r="L304" i="2" s="1"/>
  <c r="L305" i="2" a="1"/>
  <c r="L305" i="2" s="1"/>
  <c r="L306" i="2" a="1"/>
  <c r="L306" i="2" s="1"/>
  <c r="L307" i="2" a="1"/>
  <c r="L307" i="2" s="1"/>
  <c r="L308" i="2" a="1"/>
  <c r="L308" i="2" s="1"/>
  <c r="L309" i="2" a="1"/>
  <c r="L309" i="2" s="1"/>
  <c r="L310" i="2" a="1"/>
  <c r="L310" i="2" s="1"/>
  <c r="L311" i="2" a="1"/>
  <c r="L311" i="2" s="1"/>
  <c r="L312" i="2" a="1"/>
  <c r="L312" i="2" s="1"/>
  <c r="L313" i="2" a="1"/>
  <c r="L313" i="2" s="1"/>
  <c r="L314" i="2" a="1"/>
  <c r="L314" i="2" s="1"/>
  <c r="L315" i="2" a="1"/>
  <c r="L315" i="2" s="1"/>
  <c r="L316" i="2" a="1"/>
  <c r="L316" i="2" s="1"/>
  <c r="L317" i="2" a="1"/>
  <c r="L317" i="2" s="1"/>
  <c r="L318" i="2" a="1"/>
  <c r="L318" i="2" s="1"/>
  <c r="L319" i="2" a="1"/>
  <c r="L319" i="2" s="1"/>
  <c r="L320" i="2" a="1"/>
  <c r="L320" i="2" s="1"/>
  <c r="L321" i="2" a="1"/>
  <c r="L321" i="2" s="1"/>
  <c r="L322" i="2" a="1"/>
  <c r="L322" i="2" s="1"/>
  <c r="L323" i="2" a="1"/>
  <c r="L323" i="2" s="1"/>
  <c r="L324" i="2" a="1"/>
  <c r="L324" i="2" s="1"/>
  <c r="L325" i="2" a="1"/>
  <c r="L325" i="2" s="1"/>
  <c r="L326" i="2" a="1"/>
  <c r="L326" i="2" s="1"/>
  <c r="L327" i="2" a="1"/>
  <c r="L327" i="2" s="1"/>
  <c r="L328" i="2" a="1"/>
  <c r="L328" i="2" s="1"/>
  <c r="L329" i="2" a="1"/>
  <c r="L329" i="2" s="1"/>
  <c r="L330" i="2" a="1"/>
  <c r="L330" i="2" s="1"/>
  <c r="L331" i="2" a="1"/>
  <c r="L331" i="2" s="1"/>
  <c r="L332" i="2" a="1"/>
  <c r="L332" i="2" s="1"/>
  <c r="L333" i="2" a="1"/>
  <c r="L333" i="2" s="1"/>
  <c r="L334" i="2" a="1"/>
  <c r="L334" i="2" s="1"/>
  <c r="L335" i="2" a="1"/>
  <c r="L335" i="2" s="1"/>
  <c r="L336" i="2" a="1"/>
  <c r="L336" i="2" s="1"/>
  <c r="L337" i="2" a="1"/>
  <c r="L337" i="2" s="1"/>
  <c r="L338" i="2" a="1"/>
  <c r="L338" i="2" s="1"/>
  <c r="L339" i="2" a="1"/>
  <c r="L339" i="2" s="1"/>
  <c r="L340" i="2" a="1"/>
  <c r="L340" i="2" s="1"/>
  <c r="L341" i="2" a="1"/>
  <c r="L341" i="2" s="1"/>
  <c r="L342" i="2" a="1"/>
  <c r="L342" i="2" s="1"/>
  <c r="L343" i="2" a="1"/>
  <c r="L343" i="2" s="1"/>
  <c r="L344" i="2" a="1"/>
  <c r="L344" i="2" s="1"/>
  <c r="L345" i="2" a="1"/>
  <c r="L345" i="2" s="1"/>
  <c r="L346" i="2" a="1"/>
  <c r="L346" i="2" s="1"/>
  <c r="L347" i="2" a="1"/>
  <c r="L347" i="2" s="1"/>
  <c r="L348" i="2" a="1"/>
  <c r="L348" i="2" s="1"/>
  <c r="L349" i="2" a="1"/>
  <c r="L349" i="2" s="1"/>
  <c r="L350" i="2" a="1"/>
  <c r="L350" i="2" s="1"/>
  <c r="L351" i="2" a="1"/>
  <c r="L351" i="2" s="1"/>
  <c r="L352" i="2" a="1"/>
  <c r="L352" i="2" s="1"/>
  <c r="L353" i="2" a="1"/>
  <c r="L353" i="2" s="1"/>
  <c r="L354" i="2" a="1"/>
  <c r="L354" i="2" s="1"/>
  <c r="L355" i="2" a="1"/>
  <c r="L355" i="2" s="1"/>
  <c r="L356" i="2" a="1"/>
  <c r="L356" i="2" s="1"/>
  <c r="L357" i="2" a="1"/>
  <c r="L357" i="2" s="1"/>
  <c r="L358" i="2" a="1"/>
  <c r="L358" i="2" s="1"/>
  <c r="L359" i="2" a="1"/>
  <c r="L359" i="2" s="1"/>
  <c r="L360" i="2" a="1"/>
  <c r="L360" i="2" s="1"/>
  <c r="L361" i="2" a="1"/>
  <c r="L361" i="2" s="1"/>
  <c r="L362" i="2" a="1"/>
  <c r="L362" i="2" s="1"/>
  <c r="L363" i="2" a="1"/>
  <c r="L363" i="2" s="1"/>
  <c r="L364" i="2" a="1"/>
  <c r="L364" i="2" s="1"/>
  <c r="L365" i="2" a="1"/>
  <c r="L365" i="2" s="1"/>
  <c r="L366" i="2" a="1"/>
  <c r="L366" i="2" s="1"/>
  <c r="L367" i="2" a="1"/>
  <c r="L367" i="2" s="1"/>
  <c r="L368" i="2" a="1"/>
  <c r="L368" i="2" s="1"/>
  <c r="L369" i="2" a="1"/>
  <c r="L369" i="2" s="1"/>
  <c r="L370" i="2" a="1"/>
  <c r="L370" i="2" s="1"/>
  <c r="L371" i="2" a="1"/>
  <c r="L371" i="2" s="1"/>
  <c r="L372" i="2" a="1"/>
  <c r="L372" i="2" s="1"/>
  <c r="L373" i="2" a="1"/>
  <c r="L373" i="2" s="1"/>
  <c r="L374" i="2" a="1"/>
  <c r="L374" i="2" s="1"/>
  <c r="L375" i="2" a="1"/>
  <c r="L375" i="2" s="1"/>
  <c r="L376" i="2" a="1"/>
  <c r="L376" i="2" s="1"/>
  <c r="L377" i="2" a="1"/>
  <c r="L377" i="2" s="1"/>
  <c r="L378" i="2" a="1"/>
  <c r="L378" i="2" s="1"/>
  <c r="L379" i="2" a="1"/>
  <c r="L379" i="2" s="1"/>
  <c r="L380" i="2" a="1"/>
  <c r="L380" i="2" s="1"/>
  <c r="L381" i="2" a="1"/>
  <c r="L381" i="2" s="1"/>
  <c r="L382" i="2" a="1"/>
  <c r="L382" i="2" s="1"/>
  <c r="L383" i="2" a="1"/>
  <c r="L383" i="2" s="1"/>
  <c r="L384" i="2" a="1"/>
  <c r="L384" i="2" s="1"/>
  <c r="L385" i="2" a="1"/>
  <c r="L385" i="2" s="1"/>
  <c r="L386" i="2" a="1"/>
  <c r="L386" i="2" s="1"/>
  <c r="L387" i="2" a="1"/>
  <c r="L387" i="2" s="1"/>
  <c r="L388" i="2" a="1"/>
  <c r="L388" i="2" s="1"/>
  <c r="L389" i="2" a="1"/>
  <c r="L389" i="2" s="1"/>
  <c r="L390" i="2" a="1"/>
  <c r="L390" i="2" s="1"/>
  <c r="L391" i="2" a="1"/>
  <c r="L391" i="2" s="1"/>
  <c r="L392" i="2" a="1"/>
  <c r="L392" i="2" s="1"/>
  <c r="L393" i="2" a="1"/>
  <c r="L393" i="2" s="1"/>
  <c r="L394" i="2" a="1"/>
  <c r="L394" i="2" s="1"/>
  <c r="L395" i="2" a="1"/>
  <c r="L395" i="2" s="1"/>
  <c r="L396" i="2" a="1"/>
  <c r="L396" i="2" s="1"/>
  <c r="L397" i="2" a="1"/>
  <c r="L397" i="2" s="1"/>
  <c r="L398" i="2" a="1"/>
  <c r="L398" i="2" s="1"/>
  <c r="L399" i="2" a="1"/>
  <c r="L399" i="2" s="1"/>
  <c r="L400" i="2" a="1"/>
  <c r="L400" i="2" s="1"/>
  <c r="L401" i="2" a="1"/>
  <c r="L401" i="2" s="1"/>
  <c r="L402" i="2" a="1"/>
  <c r="L402" i="2" s="1"/>
  <c r="L403" i="2" a="1"/>
  <c r="L403" i="2" s="1"/>
  <c r="L404" i="2" a="1"/>
  <c r="L404" i="2" s="1"/>
  <c r="L405" i="2" a="1"/>
  <c r="L405" i="2" s="1"/>
  <c r="L406" i="2" a="1"/>
  <c r="L406" i="2" s="1"/>
  <c r="L407" i="2" a="1"/>
  <c r="L407" i="2" s="1"/>
  <c r="L408" i="2" a="1"/>
  <c r="L408" i="2" s="1"/>
  <c r="L409" i="2" a="1"/>
  <c r="L409" i="2" s="1"/>
  <c r="L410" i="2" a="1"/>
  <c r="L410" i="2" s="1"/>
  <c r="L411" i="2" a="1"/>
  <c r="L411" i="2" s="1"/>
  <c r="L412" i="2" a="1"/>
  <c r="L412" i="2" s="1"/>
  <c r="L413" i="2" a="1"/>
  <c r="L413" i="2" s="1"/>
  <c r="L414" i="2" a="1"/>
  <c r="L414" i="2" s="1"/>
  <c r="L415" i="2" a="1"/>
  <c r="L415" i="2" s="1"/>
  <c r="L416" i="2" a="1"/>
  <c r="L416" i="2" s="1"/>
  <c r="L417" i="2" a="1"/>
  <c r="L417" i="2" s="1"/>
  <c r="L418" i="2" a="1"/>
  <c r="L418" i="2" s="1"/>
  <c r="L419" i="2" a="1"/>
  <c r="L419" i="2" s="1"/>
  <c r="L420" i="2" a="1"/>
  <c r="L420" i="2" s="1"/>
  <c r="L421" i="2" a="1"/>
  <c r="L421" i="2" s="1"/>
  <c r="L422" i="2" a="1"/>
  <c r="L422" i="2" s="1"/>
  <c r="L423" i="2" a="1"/>
  <c r="L423" i="2" s="1"/>
  <c r="L424" i="2" a="1"/>
  <c r="L424" i="2" s="1"/>
  <c r="L425" i="2" a="1"/>
  <c r="L425" i="2" s="1"/>
  <c r="L426" i="2" a="1"/>
  <c r="L426" i="2" s="1"/>
  <c r="L427" i="2" a="1"/>
  <c r="L427" i="2" s="1"/>
  <c r="L428" i="2" a="1"/>
  <c r="L428" i="2" s="1"/>
  <c r="L429" i="2" a="1"/>
  <c r="L429" i="2" s="1"/>
  <c r="L430" i="2" a="1"/>
  <c r="L430" i="2" s="1"/>
  <c r="L431" i="2" a="1"/>
  <c r="L431" i="2" s="1"/>
  <c r="L432" i="2" a="1"/>
  <c r="L432" i="2" s="1"/>
  <c r="L433" i="2" a="1"/>
  <c r="L433" i="2" s="1"/>
  <c r="L434" i="2" a="1"/>
  <c r="L434" i="2" s="1"/>
  <c r="L435" i="2" a="1"/>
  <c r="L435" i="2" s="1"/>
  <c r="L436" i="2" a="1"/>
  <c r="L436" i="2" s="1"/>
  <c r="L437" i="2" a="1"/>
  <c r="L437" i="2" s="1"/>
  <c r="L438" i="2" a="1"/>
  <c r="L438" i="2" s="1"/>
  <c r="L439" i="2" a="1"/>
  <c r="L439" i="2" s="1"/>
  <c r="L440" i="2" a="1"/>
  <c r="L440" i="2" s="1"/>
  <c r="L441" i="2" a="1"/>
  <c r="L441" i="2" s="1"/>
  <c r="L442" i="2" a="1"/>
  <c r="L442" i="2" s="1"/>
  <c r="L443" i="2" a="1"/>
  <c r="L443" i="2" s="1"/>
  <c r="L444" i="2" a="1"/>
  <c r="L444" i="2" s="1"/>
  <c r="L445" i="2" a="1"/>
  <c r="L445" i="2" s="1"/>
  <c r="L446" i="2" a="1"/>
  <c r="L446" i="2" s="1"/>
  <c r="L447" i="2" a="1"/>
  <c r="L447" i="2" s="1"/>
  <c r="L448" i="2" a="1"/>
  <c r="L448" i="2" s="1"/>
  <c r="L449" i="2" a="1"/>
  <c r="L449" i="2" s="1"/>
  <c r="L450" i="2" a="1"/>
  <c r="L450" i="2" s="1"/>
  <c r="L451" i="2" a="1"/>
  <c r="L451" i="2" s="1"/>
  <c r="L452" i="2" a="1"/>
  <c r="L452" i="2" s="1"/>
  <c r="L453" i="2" a="1"/>
  <c r="L453" i="2" s="1"/>
  <c r="L454" i="2" a="1"/>
  <c r="L454" i="2" s="1"/>
  <c r="L455" i="2" a="1"/>
  <c r="L455" i="2" s="1"/>
  <c r="L456" i="2" a="1"/>
  <c r="L456" i="2" s="1"/>
  <c r="L457" i="2" a="1"/>
  <c r="L457" i="2" s="1"/>
  <c r="L458" i="2" a="1"/>
  <c r="L458" i="2" s="1"/>
  <c r="L459" i="2" a="1"/>
  <c r="L459" i="2" s="1"/>
  <c r="L460" i="2" a="1"/>
  <c r="L460" i="2" s="1"/>
  <c r="L461" i="2" a="1"/>
  <c r="L461" i="2" s="1"/>
  <c r="L462" i="2" a="1"/>
  <c r="L462" i="2" s="1"/>
  <c r="L463" i="2" a="1"/>
  <c r="L463" i="2" s="1"/>
  <c r="L464" i="2" a="1"/>
  <c r="L464" i="2" s="1"/>
  <c r="L465" i="2" a="1"/>
  <c r="L465" i="2" s="1"/>
  <c r="L466" i="2" a="1"/>
  <c r="L466" i="2" s="1"/>
  <c r="L467" i="2" a="1"/>
  <c r="L467" i="2" s="1"/>
  <c r="L468" i="2" a="1"/>
  <c r="L468" i="2" s="1"/>
  <c r="L469" i="2" a="1"/>
  <c r="L469" i="2" s="1"/>
  <c r="L470" i="2" a="1"/>
  <c r="L470" i="2" s="1"/>
  <c r="L471" i="2" a="1"/>
  <c r="L471" i="2" s="1"/>
  <c r="L472" i="2" a="1"/>
  <c r="L472" i="2" s="1"/>
  <c r="L473" i="2" a="1"/>
  <c r="L473" i="2" s="1"/>
  <c r="L474" i="2" a="1"/>
  <c r="L474" i="2" s="1"/>
  <c r="L475" i="2" a="1"/>
  <c r="L475" i="2" s="1"/>
  <c r="L476" i="2" a="1"/>
  <c r="L476" i="2" s="1"/>
  <c r="L477" i="2" a="1"/>
  <c r="L477" i="2" s="1"/>
  <c r="L478" i="2" a="1"/>
  <c r="L478" i="2" s="1"/>
  <c r="L479" i="2" a="1"/>
  <c r="L479" i="2" s="1"/>
  <c r="L480" i="2" a="1"/>
  <c r="L480" i="2" s="1"/>
  <c r="L481" i="2" a="1"/>
  <c r="L481" i="2" s="1"/>
  <c r="L482" i="2" a="1"/>
  <c r="L482" i="2" s="1"/>
  <c r="L483" i="2" a="1"/>
  <c r="L483" i="2" s="1"/>
  <c r="L484" i="2" a="1"/>
  <c r="L484" i="2" s="1"/>
  <c r="L485" i="2" a="1"/>
  <c r="L485" i="2" s="1"/>
  <c r="L486" i="2" a="1"/>
  <c r="L486" i="2" s="1"/>
  <c r="L487" i="2" a="1"/>
  <c r="L487" i="2" s="1"/>
  <c r="L488" i="2" a="1"/>
  <c r="L488" i="2" s="1"/>
  <c r="L489" i="2" a="1"/>
  <c r="L489" i="2" s="1"/>
  <c r="L490" i="2" a="1"/>
  <c r="L490" i="2" s="1"/>
  <c r="L491" i="2" a="1"/>
  <c r="L491" i="2" s="1"/>
  <c r="L492" i="2" a="1"/>
  <c r="L492" i="2" s="1"/>
  <c r="L493" i="2" a="1"/>
  <c r="L493" i="2" s="1"/>
  <c r="L494" i="2" a="1"/>
  <c r="L494" i="2" s="1"/>
  <c r="L495" i="2" a="1"/>
  <c r="L495" i="2" s="1"/>
  <c r="L496" i="2" a="1"/>
  <c r="L496" i="2" s="1"/>
  <c r="L497" i="2" a="1"/>
  <c r="L497" i="2" s="1"/>
  <c r="L498" i="2" a="1"/>
  <c r="L498" i="2" s="1"/>
  <c r="L499" i="2" a="1"/>
  <c r="L499" i="2" s="1"/>
  <c r="L500" i="2" a="1"/>
  <c r="L500" i="2" s="1"/>
  <c r="L501" i="2" a="1"/>
  <c r="L501" i="2" s="1"/>
  <c r="L502" i="2" a="1"/>
  <c r="L502" i="2" s="1"/>
  <c r="L503" i="2" a="1"/>
  <c r="L503" i="2" s="1"/>
  <c r="L504" i="2" a="1"/>
  <c r="L504" i="2" s="1"/>
  <c r="L505" i="2" a="1"/>
  <c r="L505" i="2" s="1"/>
  <c r="L506" i="2" a="1"/>
  <c r="L506" i="2" s="1"/>
  <c r="L507" i="2" a="1"/>
  <c r="L507" i="2" s="1"/>
  <c r="L508" i="2" a="1"/>
  <c r="L508" i="2" s="1"/>
  <c r="L509" i="2" a="1"/>
  <c r="L509" i="2" s="1"/>
  <c r="L510" i="2" a="1"/>
  <c r="L510" i="2" s="1"/>
  <c r="L511" i="2" a="1"/>
  <c r="L511" i="2" s="1"/>
  <c r="L512" i="2" a="1"/>
  <c r="L512" i="2" s="1"/>
  <c r="L513" i="2" a="1"/>
  <c r="L513" i="2" s="1"/>
  <c r="L514" i="2" a="1"/>
  <c r="L514" i="2" s="1"/>
  <c r="L515" i="2" a="1"/>
  <c r="L515" i="2" s="1"/>
  <c r="L516" i="2" a="1"/>
  <c r="L516" i="2" s="1"/>
  <c r="L517" i="2" a="1"/>
  <c r="L517" i="2" s="1"/>
  <c r="L518" i="2" a="1"/>
  <c r="L518" i="2" s="1"/>
  <c r="L519" i="2" a="1"/>
  <c r="L519" i="2" s="1"/>
  <c r="L520" i="2" a="1"/>
  <c r="L520" i="2" s="1"/>
  <c r="L521" i="2" a="1"/>
  <c r="L521" i="2" s="1"/>
  <c r="L522" i="2" a="1"/>
  <c r="L522" i="2" s="1"/>
  <c r="L523" i="2" a="1"/>
  <c r="L523" i="2" s="1"/>
  <c r="L524" i="2" a="1"/>
  <c r="L524" i="2" s="1"/>
  <c r="L525" i="2" a="1"/>
  <c r="L525" i="2" s="1"/>
  <c r="L526" i="2" a="1"/>
  <c r="L526" i="2" s="1"/>
  <c r="L527" i="2" a="1"/>
  <c r="L527" i="2" s="1"/>
  <c r="L528" i="2" a="1"/>
  <c r="L528" i="2" s="1"/>
  <c r="L529" i="2" a="1"/>
  <c r="L529" i="2" s="1"/>
  <c r="L530" i="2" a="1"/>
  <c r="L530" i="2" s="1"/>
  <c r="L531" i="2" a="1"/>
  <c r="L531" i="2" s="1"/>
  <c r="L532" i="2" a="1"/>
  <c r="L532" i="2" s="1"/>
  <c r="L533" i="2" a="1"/>
  <c r="L533" i="2" s="1"/>
  <c r="L534" i="2" a="1"/>
  <c r="L534" i="2" s="1"/>
  <c r="L535" i="2" a="1"/>
  <c r="L535" i="2" s="1"/>
  <c r="L536" i="2" a="1"/>
  <c r="L536" i="2" s="1"/>
  <c r="L537" i="2" a="1"/>
  <c r="L537" i="2" s="1"/>
  <c r="L538" i="2" a="1"/>
  <c r="L538" i="2" s="1"/>
  <c r="L539" i="2" a="1"/>
  <c r="L539" i="2" s="1"/>
  <c r="L540" i="2" a="1"/>
  <c r="L540" i="2" s="1"/>
  <c r="L541" i="2" a="1"/>
  <c r="L541" i="2" s="1"/>
  <c r="L542" i="2" a="1"/>
  <c r="L542" i="2" s="1"/>
  <c r="L543" i="2" a="1"/>
  <c r="L543" i="2" s="1"/>
  <c r="L544" i="2" a="1"/>
  <c r="L544" i="2" s="1"/>
  <c r="L545" i="2" a="1"/>
  <c r="L545" i="2" s="1"/>
  <c r="L546" i="2" a="1"/>
  <c r="L546" i="2" s="1"/>
  <c r="L547" i="2" a="1"/>
  <c r="L547" i="2" s="1"/>
  <c r="L548" i="2" a="1"/>
  <c r="L548" i="2" s="1"/>
  <c r="L549" i="2" a="1"/>
  <c r="L549" i="2" s="1"/>
  <c r="L550" i="2" a="1"/>
  <c r="L550" i="2" s="1"/>
  <c r="L551" i="2" a="1"/>
  <c r="L551" i="2" s="1"/>
  <c r="L552" i="2" a="1"/>
  <c r="L552" i="2" s="1"/>
  <c r="L553" i="2" a="1"/>
  <c r="L553" i="2" s="1"/>
  <c r="L554" i="2" a="1"/>
  <c r="L554" i="2" s="1"/>
  <c r="L555" i="2" a="1"/>
  <c r="L555" i="2" s="1"/>
  <c r="L556" i="2" a="1"/>
  <c r="L556" i="2" s="1"/>
  <c r="L557" i="2" a="1"/>
  <c r="L557" i="2" s="1"/>
  <c r="L558" i="2" a="1"/>
  <c r="L558" i="2" s="1"/>
  <c r="L559" i="2" a="1"/>
  <c r="L559" i="2" s="1"/>
  <c r="L560" i="2" a="1"/>
  <c r="L560" i="2" s="1"/>
  <c r="L561" i="2" a="1"/>
  <c r="L561" i="2" s="1"/>
  <c r="L562" i="2" a="1"/>
  <c r="L562" i="2" s="1"/>
  <c r="L563" i="2" a="1"/>
  <c r="L563" i="2" s="1"/>
  <c r="L564" i="2" a="1"/>
  <c r="L564" i="2" s="1"/>
  <c r="L565" i="2" a="1"/>
  <c r="L565" i="2" s="1"/>
  <c r="L566" i="2" a="1"/>
  <c r="L566" i="2" s="1"/>
  <c r="L567" i="2" a="1"/>
  <c r="L567" i="2" s="1"/>
  <c r="L568" i="2" a="1"/>
  <c r="L568" i="2" s="1"/>
  <c r="L569" i="2" a="1"/>
  <c r="L569" i="2" s="1"/>
  <c r="L570" i="2" a="1"/>
  <c r="L570" i="2" s="1"/>
  <c r="L571" i="2" a="1"/>
  <c r="L571" i="2" s="1"/>
  <c r="L572" i="2" a="1"/>
  <c r="L572" i="2" s="1"/>
  <c r="L573" i="2" a="1"/>
  <c r="L573" i="2" s="1"/>
  <c r="L574" i="2" a="1"/>
  <c r="L574" i="2" s="1"/>
  <c r="L575" i="2" a="1"/>
  <c r="L575" i="2" s="1"/>
  <c r="L576" i="2" a="1"/>
  <c r="L576" i="2" s="1"/>
  <c r="L577" i="2" a="1"/>
  <c r="L577" i="2" s="1"/>
  <c r="L578" i="2" a="1"/>
  <c r="L578" i="2" s="1"/>
  <c r="L579" i="2" a="1"/>
  <c r="L579" i="2" s="1"/>
  <c r="L580" i="2" a="1"/>
  <c r="L580" i="2" s="1"/>
  <c r="L581" i="2" a="1"/>
  <c r="L581" i="2" s="1"/>
  <c r="L582" i="2" a="1"/>
  <c r="L582" i="2" s="1"/>
  <c r="L583" i="2" a="1"/>
  <c r="L583" i="2" s="1"/>
  <c r="L584" i="2" a="1"/>
  <c r="L584" i="2" s="1"/>
  <c r="L585" i="2" a="1"/>
  <c r="L585" i="2" s="1"/>
  <c r="L586" i="2" a="1"/>
  <c r="L586" i="2" s="1"/>
  <c r="L587" i="2" a="1"/>
  <c r="L587" i="2" s="1"/>
  <c r="L588" i="2" a="1"/>
  <c r="L588" i="2" s="1"/>
  <c r="L589" i="2" a="1"/>
  <c r="L589" i="2" s="1"/>
  <c r="L590" i="2" a="1"/>
  <c r="L590" i="2" s="1"/>
  <c r="L591" i="2" a="1"/>
  <c r="L591" i="2" s="1"/>
  <c r="L592" i="2" a="1"/>
  <c r="L592" i="2" s="1"/>
  <c r="L593" i="2" a="1"/>
  <c r="L593" i="2" s="1"/>
  <c r="L594" i="2" a="1"/>
  <c r="L594" i="2" s="1"/>
  <c r="L595" i="2" a="1"/>
  <c r="L595" i="2" s="1"/>
  <c r="L596" i="2" a="1"/>
  <c r="L596" i="2" s="1"/>
  <c r="L597" i="2" a="1"/>
  <c r="L597" i="2" s="1"/>
  <c r="L598" i="2" a="1"/>
  <c r="L598" i="2" s="1"/>
  <c r="L599" i="2" a="1"/>
  <c r="L599" i="2" s="1"/>
  <c r="L600" i="2" a="1"/>
  <c r="L600" i="2" s="1"/>
  <c r="L601" i="2" a="1"/>
  <c r="L601" i="2" s="1"/>
  <c r="L602" i="2" a="1"/>
  <c r="L602" i="2" s="1"/>
  <c r="L603" i="2" a="1"/>
  <c r="L603" i="2" s="1"/>
  <c r="L604" i="2" a="1"/>
  <c r="L604" i="2" s="1"/>
  <c r="L605" i="2" a="1"/>
  <c r="L605" i="2" s="1"/>
  <c r="L606" i="2" a="1"/>
  <c r="L606" i="2" s="1"/>
  <c r="L607" i="2" a="1"/>
  <c r="L607" i="2" s="1"/>
  <c r="L608" i="2" a="1"/>
  <c r="L608" i="2" s="1"/>
  <c r="L609" i="2" a="1"/>
  <c r="L609" i="2" s="1"/>
  <c r="L610" i="2" a="1"/>
  <c r="L610" i="2" s="1"/>
  <c r="L611" i="2" a="1"/>
  <c r="L611" i="2" s="1"/>
  <c r="L612" i="2" a="1"/>
  <c r="L612" i="2" s="1"/>
  <c r="L613" i="2" a="1"/>
  <c r="L613" i="2" s="1"/>
  <c r="L614" i="2" a="1"/>
  <c r="L614" i="2" s="1"/>
  <c r="L615" i="2" a="1"/>
  <c r="L615" i="2" s="1"/>
  <c r="L616" i="2" a="1"/>
  <c r="L616" i="2" s="1"/>
  <c r="L617" i="2" a="1"/>
  <c r="L617" i="2" s="1"/>
  <c r="L618" i="2" a="1"/>
  <c r="L618" i="2" s="1"/>
  <c r="L619" i="2" a="1"/>
  <c r="L619" i="2" s="1"/>
  <c r="L620" i="2" a="1"/>
  <c r="L620" i="2" s="1"/>
  <c r="L621" i="2" a="1"/>
  <c r="L621" i="2" s="1"/>
  <c r="L622" i="2" a="1"/>
  <c r="L622" i="2" s="1"/>
  <c r="L623" i="2" a="1"/>
  <c r="L623" i="2" s="1"/>
  <c r="L624" i="2" a="1"/>
  <c r="L624" i="2" s="1"/>
  <c r="L625" i="2" a="1"/>
  <c r="L625" i="2" s="1"/>
  <c r="L626" i="2" a="1"/>
  <c r="L626" i="2" s="1"/>
  <c r="L627" i="2" a="1"/>
  <c r="L627" i="2" s="1"/>
  <c r="L628" i="2" a="1"/>
  <c r="L628" i="2" s="1"/>
  <c r="L629" i="2" a="1"/>
  <c r="L629" i="2" s="1"/>
  <c r="L630" i="2" a="1"/>
  <c r="L630" i="2" s="1"/>
  <c r="L631" i="2" a="1"/>
  <c r="L631" i="2" s="1"/>
  <c r="L632" i="2" a="1"/>
  <c r="L632" i="2" s="1"/>
  <c r="L633" i="2" a="1"/>
  <c r="L633" i="2" s="1"/>
  <c r="L634" i="2" a="1"/>
  <c r="L634" i="2" s="1"/>
  <c r="L635" i="2" a="1"/>
  <c r="L635" i="2" s="1"/>
  <c r="L636" i="2" a="1"/>
  <c r="L636" i="2" s="1"/>
  <c r="L637" i="2" a="1"/>
  <c r="L637" i="2" s="1"/>
  <c r="L638" i="2" a="1"/>
  <c r="L638" i="2" s="1"/>
  <c r="L639" i="2" a="1"/>
  <c r="L639" i="2" s="1"/>
  <c r="L640" i="2" a="1"/>
  <c r="L640" i="2" s="1"/>
  <c r="L641" i="2" a="1"/>
  <c r="L641" i="2" s="1"/>
  <c r="L642" i="2" a="1"/>
  <c r="L642" i="2" s="1"/>
  <c r="L643" i="2" a="1"/>
  <c r="L643" i="2" s="1"/>
  <c r="L644" i="2" a="1"/>
  <c r="L644" i="2" s="1"/>
  <c r="L645" i="2" a="1"/>
  <c r="L645" i="2" s="1"/>
  <c r="L646" i="2" a="1"/>
  <c r="L646" i="2" s="1"/>
  <c r="L647" i="2" a="1"/>
  <c r="L647" i="2" s="1"/>
  <c r="L648" i="2" a="1"/>
  <c r="L648" i="2" s="1"/>
  <c r="L649" i="2" a="1"/>
  <c r="L649" i="2" s="1"/>
  <c r="L650" i="2" a="1"/>
  <c r="L650" i="2" s="1"/>
  <c r="L651" i="2" a="1"/>
  <c r="L651" i="2" s="1"/>
  <c r="L652" i="2" a="1"/>
  <c r="L652" i="2" s="1"/>
  <c r="L653" i="2" a="1"/>
  <c r="L653" i="2" s="1"/>
  <c r="L654" i="2" a="1"/>
  <c r="L654" i="2" s="1"/>
  <c r="L655" i="2" a="1"/>
  <c r="L655" i="2" s="1"/>
  <c r="L656" i="2" a="1"/>
  <c r="L656" i="2" s="1"/>
  <c r="L657" i="2" a="1"/>
  <c r="L657" i="2" s="1"/>
  <c r="L658" i="2" a="1"/>
  <c r="L658" i="2" s="1"/>
  <c r="L659" i="2" a="1"/>
  <c r="L659" i="2" s="1"/>
  <c r="L660" i="2" a="1"/>
  <c r="L660" i="2" s="1"/>
  <c r="L661" i="2" a="1"/>
  <c r="L661" i="2" s="1"/>
  <c r="L662" i="2" a="1"/>
  <c r="L662" i="2" s="1"/>
  <c r="L663" i="2" a="1"/>
  <c r="L663" i="2" s="1"/>
  <c r="L664" i="2" a="1"/>
  <c r="L664" i="2" s="1"/>
  <c r="L665" i="2" a="1"/>
  <c r="L665" i="2" s="1"/>
  <c r="L666" i="2" a="1"/>
  <c r="L666" i="2" s="1"/>
  <c r="L667" i="2" a="1"/>
  <c r="L667" i="2" s="1"/>
  <c r="L668" i="2" a="1"/>
  <c r="L668" i="2" s="1"/>
  <c r="L669" i="2" a="1"/>
  <c r="L669" i="2" s="1"/>
  <c r="L670" i="2" a="1"/>
  <c r="L670" i="2" s="1"/>
  <c r="L671" i="2" a="1"/>
  <c r="L671" i="2" s="1"/>
  <c r="L672" i="2" a="1"/>
  <c r="L672" i="2" s="1"/>
  <c r="L673" i="2" a="1"/>
  <c r="L673" i="2" s="1"/>
  <c r="L674" i="2" a="1"/>
  <c r="L674" i="2" s="1"/>
  <c r="L675" i="2" a="1"/>
  <c r="L675" i="2" s="1"/>
  <c r="L676" i="2" a="1"/>
  <c r="L676" i="2" s="1"/>
  <c r="L677" i="2" a="1"/>
  <c r="L677" i="2" s="1"/>
  <c r="L678" i="2" a="1"/>
  <c r="L678" i="2" s="1"/>
  <c r="L679" i="2" a="1"/>
  <c r="L679" i="2" s="1"/>
  <c r="L680" i="2" a="1"/>
  <c r="L680" i="2" s="1"/>
  <c r="L681" i="2" a="1"/>
  <c r="L681" i="2" s="1"/>
  <c r="L682" i="2" a="1"/>
  <c r="L682" i="2" s="1"/>
  <c r="L683" i="2" a="1"/>
  <c r="L683" i="2" s="1"/>
  <c r="L684" i="2" a="1"/>
  <c r="L684" i="2" s="1"/>
  <c r="L685" i="2" a="1"/>
  <c r="L685" i="2" s="1"/>
  <c r="L686" i="2" a="1"/>
  <c r="L686" i="2" s="1"/>
  <c r="L687" i="2" a="1"/>
  <c r="L687" i="2" s="1"/>
  <c r="L688" i="2" a="1"/>
  <c r="L688" i="2" s="1"/>
  <c r="L689" i="2" a="1"/>
  <c r="L689" i="2" s="1"/>
  <c r="L690" i="2" a="1"/>
  <c r="L690" i="2" s="1"/>
  <c r="L691" i="2" a="1"/>
  <c r="L691" i="2" s="1"/>
  <c r="L692" i="2" a="1"/>
  <c r="L692" i="2" s="1"/>
  <c r="L693" i="2" a="1"/>
  <c r="L693" i="2" s="1"/>
  <c r="L694" i="2" a="1"/>
  <c r="L694" i="2" s="1"/>
  <c r="L695" i="2" a="1"/>
  <c r="L695" i="2" s="1"/>
  <c r="L696" i="2" a="1"/>
  <c r="L696" i="2" s="1"/>
  <c r="L697" i="2" a="1"/>
  <c r="L697" i="2" s="1"/>
  <c r="L698" i="2" a="1"/>
  <c r="L698" i="2" s="1"/>
  <c r="L699" i="2" a="1"/>
  <c r="L699" i="2" s="1"/>
  <c r="L700" i="2" a="1"/>
  <c r="L700" i="2" s="1"/>
  <c r="L701" i="2" a="1"/>
  <c r="L701" i="2" s="1"/>
  <c r="L702" i="2" a="1"/>
  <c r="L702" i="2" s="1"/>
  <c r="L703" i="2" a="1"/>
  <c r="L703" i="2" s="1"/>
  <c r="L704" i="2" a="1"/>
  <c r="L704" i="2" s="1"/>
  <c r="L705" i="2" a="1"/>
  <c r="L705" i="2" s="1"/>
  <c r="L706" i="2" a="1"/>
  <c r="L706" i="2" s="1"/>
  <c r="L707" i="2" a="1"/>
  <c r="L707" i="2" s="1"/>
  <c r="L708" i="2" a="1"/>
  <c r="L708" i="2" s="1"/>
  <c r="L709" i="2" a="1"/>
  <c r="L709" i="2" s="1"/>
  <c r="L710" i="2" a="1"/>
  <c r="L710" i="2" s="1"/>
  <c r="L711" i="2" a="1"/>
  <c r="L711" i="2" s="1"/>
  <c r="L712" i="2" a="1"/>
  <c r="L712" i="2" s="1"/>
  <c r="L713" i="2" a="1"/>
  <c r="L713" i="2" s="1"/>
  <c r="L714" i="2" a="1"/>
  <c r="L714" i="2" s="1"/>
  <c r="L715" i="2" a="1"/>
  <c r="L715" i="2" s="1"/>
  <c r="L716" i="2" a="1"/>
  <c r="L716" i="2" s="1"/>
  <c r="L717" i="2" a="1"/>
  <c r="L717" i="2" s="1"/>
  <c r="L718" i="2" a="1"/>
  <c r="L718" i="2" s="1"/>
  <c r="L719" i="2" a="1"/>
  <c r="L719" i="2" s="1"/>
  <c r="L720" i="2" a="1"/>
  <c r="L720" i="2" s="1"/>
  <c r="L721" i="2" a="1"/>
  <c r="L721" i="2" s="1"/>
  <c r="L722" i="2" a="1"/>
  <c r="L722" i="2" s="1"/>
  <c r="L723" i="2" a="1"/>
  <c r="L723" i="2" s="1"/>
  <c r="L724" i="2" a="1"/>
  <c r="L724" i="2" s="1"/>
  <c r="L725" i="2" a="1"/>
  <c r="L725" i="2" s="1"/>
  <c r="L726" i="2" a="1"/>
  <c r="L726" i="2" s="1"/>
  <c r="L727" i="2" a="1"/>
  <c r="L727" i="2" s="1"/>
  <c r="L728" i="2" a="1"/>
  <c r="L728" i="2" s="1"/>
  <c r="L729" i="2" a="1"/>
  <c r="L729" i="2" s="1"/>
  <c r="L730" i="2" a="1"/>
  <c r="L730" i="2" s="1"/>
  <c r="L731" i="2" a="1"/>
  <c r="L731" i="2" s="1"/>
  <c r="L732" i="2" a="1"/>
  <c r="L732" i="2" s="1"/>
  <c r="L733" i="2" a="1"/>
  <c r="L733" i="2" s="1"/>
  <c r="L734" i="2" a="1"/>
  <c r="L734" i="2" s="1"/>
  <c r="L735" i="2" a="1"/>
  <c r="L735" i="2" s="1"/>
  <c r="L736" i="2" a="1"/>
  <c r="L736" i="2" s="1"/>
  <c r="L737" i="2" a="1"/>
  <c r="L737" i="2" s="1"/>
  <c r="L738" i="2" a="1"/>
  <c r="L738" i="2" s="1"/>
  <c r="L739" i="2" a="1"/>
  <c r="L739" i="2" s="1"/>
  <c r="L740" i="2" a="1"/>
  <c r="L740" i="2" s="1"/>
  <c r="L741" i="2" a="1"/>
  <c r="L741" i="2" s="1"/>
  <c r="L742" i="2" a="1"/>
  <c r="L742" i="2" s="1"/>
  <c r="L743" i="2" a="1"/>
  <c r="L743" i="2" s="1"/>
  <c r="L744" i="2" a="1"/>
  <c r="L744" i="2" s="1"/>
  <c r="L745" i="2" a="1"/>
  <c r="L745" i="2" s="1"/>
  <c r="L746" i="2" a="1"/>
  <c r="L746" i="2" s="1"/>
  <c r="L747" i="2" a="1"/>
  <c r="L747" i="2" s="1"/>
  <c r="L748" i="2" a="1"/>
  <c r="L748" i="2" s="1"/>
  <c r="L749" i="2" a="1"/>
  <c r="L749" i="2" s="1"/>
  <c r="L750" i="2" a="1"/>
  <c r="L750" i="2" s="1"/>
  <c r="L751" i="2" a="1"/>
  <c r="L751" i="2" s="1"/>
  <c r="L752" i="2" a="1"/>
  <c r="L752" i="2" s="1"/>
  <c r="L753" i="2" a="1"/>
  <c r="L753" i="2" s="1"/>
  <c r="L754" i="2" a="1"/>
  <c r="L754" i="2" s="1"/>
  <c r="L755" i="2" a="1"/>
  <c r="L755" i="2" s="1"/>
  <c r="L756" i="2" a="1"/>
  <c r="L756" i="2" s="1"/>
  <c r="L757" i="2" a="1"/>
  <c r="L757" i="2" s="1"/>
  <c r="L758" i="2" a="1"/>
  <c r="L758" i="2" s="1"/>
  <c r="L759" i="2" a="1"/>
  <c r="L759" i="2" s="1"/>
  <c r="L760" i="2" a="1"/>
  <c r="L760" i="2" s="1"/>
  <c r="L761" i="2" a="1"/>
  <c r="L761" i="2" s="1"/>
  <c r="L762" i="2" a="1"/>
  <c r="L762" i="2" s="1"/>
  <c r="L763" i="2" a="1"/>
  <c r="L763" i="2" s="1"/>
  <c r="L764" i="2" a="1"/>
  <c r="L764" i="2" s="1"/>
  <c r="L765" i="2" a="1"/>
  <c r="L765" i="2" s="1"/>
  <c r="L766" i="2" a="1"/>
  <c r="L766" i="2" s="1"/>
  <c r="L767" i="2" a="1"/>
  <c r="L767" i="2" s="1"/>
  <c r="L768" i="2" a="1"/>
  <c r="L768" i="2" s="1"/>
  <c r="L769" i="2" a="1"/>
  <c r="L769" i="2" s="1"/>
  <c r="L770" i="2" a="1"/>
  <c r="L770" i="2" s="1"/>
  <c r="L771" i="2" a="1"/>
  <c r="L771" i="2" s="1"/>
  <c r="L772" i="2" a="1"/>
  <c r="L772" i="2" s="1"/>
  <c r="L773" i="2" a="1"/>
  <c r="L773" i="2" s="1"/>
  <c r="L774" i="2" a="1"/>
  <c r="L774" i="2" s="1"/>
  <c r="L775" i="2" a="1"/>
  <c r="L775" i="2" s="1"/>
  <c r="L776" i="2" a="1"/>
  <c r="L776" i="2" s="1"/>
  <c r="L777" i="2" a="1"/>
  <c r="L777" i="2" s="1"/>
  <c r="L778" i="2" a="1"/>
  <c r="L778" i="2" s="1"/>
  <c r="L779" i="2" a="1"/>
  <c r="L779" i="2" s="1"/>
  <c r="L780" i="2" a="1"/>
  <c r="L780" i="2" s="1"/>
  <c r="L781" i="2" a="1"/>
  <c r="L781" i="2" s="1"/>
  <c r="L782" i="2" a="1"/>
  <c r="L782" i="2" s="1"/>
  <c r="L783" i="2" a="1"/>
  <c r="L783" i="2" s="1"/>
  <c r="L784" i="2" a="1"/>
  <c r="L784" i="2" s="1"/>
  <c r="L785" i="2" a="1"/>
  <c r="L785" i="2" s="1"/>
  <c r="L786" i="2" a="1"/>
  <c r="L786" i="2" s="1"/>
  <c r="L787" i="2" a="1"/>
  <c r="L787" i="2" s="1"/>
  <c r="L788" i="2" a="1"/>
  <c r="L788" i="2" s="1"/>
  <c r="L789" i="2" a="1"/>
  <c r="L789" i="2" s="1"/>
  <c r="L790" i="2" a="1"/>
  <c r="L790" i="2" s="1"/>
  <c r="L791" i="2" a="1"/>
  <c r="L791" i="2" s="1"/>
  <c r="L792" i="2" a="1"/>
  <c r="L792" i="2" s="1"/>
  <c r="L793" i="2" a="1"/>
  <c r="L793" i="2" s="1"/>
  <c r="L794" i="2" a="1"/>
  <c r="L794" i="2" s="1"/>
  <c r="L795" i="2" a="1"/>
  <c r="L795" i="2" s="1"/>
  <c r="L796" i="2" a="1"/>
  <c r="L796" i="2" s="1"/>
  <c r="L797" i="2" a="1"/>
  <c r="L797" i="2" s="1"/>
  <c r="L798" i="2" a="1"/>
  <c r="L798" i="2" s="1"/>
  <c r="L799" i="2" a="1"/>
  <c r="L799" i="2" s="1"/>
  <c r="L800" i="2" a="1"/>
  <c r="L800" i="2" s="1"/>
  <c r="L801" i="2" a="1"/>
  <c r="L801" i="2" s="1"/>
  <c r="L802" i="2" a="1"/>
  <c r="L802" i="2" s="1"/>
  <c r="L803" i="2" a="1"/>
  <c r="L803" i="2" s="1"/>
  <c r="L804" i="2" a="1"/>
  <c r="L804" i="2" s="1"/>
  <c r="L805" i="2" a="1"/>
  <c r="L805" i="2" s="1"/>
  <c r="L806" i="2" a="1"/>
  <c r="L806" i="2" s="1"/>
  <c r="L807" i="2" a="1"/>
  <c r="L807" i="2" s="1"/>
  <c r="L808" i="2" a="1"/>
  <c r="L808" i="2" s="1"/>
  <c r="L809" i="2" a="1"/>
  <c r="L809" i="2" s="1"/>
  <c r="L810" i="2" a="1"/>
  <c r="L810" i="2" s="1"/>
  <c r="L811" i="2" a="1"/>
  <c r="L811" i="2" s="1"/>
  <c r="L812" i="2" a="1"/>
  <c r="L812" i="2" s="1"/>
  <c r="L813" i="2" a="1"/>
  <c r="L813" i="2" s="1"/>
  <c r="L814" i="2" a="1"/>
  <c r="L814" i="2" s="1"/>
  <c r="L815" i="2" a="1"/>
  <c r="L815" i="2" s="1"/>
  <c r="L816" i="2" a="1"/>
  <c r="L816" i="2" s="1"/>
  <c r="L817" i="2" a="1"/>
  <c r="L817" i="2" s="1"/>
  <c r="L818" i="2" a="1"/>
  <c r="L818" i="2" s="1"/>
  <c r="L819" i="2" a="1"/>
  <c r="L819" i="2" s="1"/>
  <c r="L820" i="2" a="1"/>
  <c r="L820" i="2" s="1"/>
  <c r="L821" i="2" a="1"/>
  <c r="L821" i="2" s="1"/>
  <c r="L822" i="2" a="1"/>
  <c r="L822" i="2" s="1"/>
  <c r="L823" i="2" a="1"/>
  <c r="L823" i="2" s="1"/>
  <c r="L824" i="2" a="1"/>
  <c r="L824" i="2" s="1"/>
  <c r="L825" i="2" a="1"/>
  <c r="L825" i="2" s="1"/>
  <c r="L826" i="2" a="1"/>
  <c r="L826" i="2" s="1"/>
  <c r="L827" i="2" a="1"/>
  <c r="L827" i="2" s="1"/>
  <c r="L828" i="2" a="1"/>
  <c r="L828" i="2" s="1"/>
  <c r="L829" i="2" a="1"/>
  <c r="L829" i="2" s="1"/>
  <c r="L830" i="2" a="1"/>
  <c r="L830" i="2" s="1"/>
  <c r="L831" i="2" a="1"/>
  <c r="L831" i="2" s="1"/>
  <c r="L832" i="2" a="1"/>
  <c r="L832" i="2" s="1"/>
  <c r="L833" i="2" a="1"/>
  <c r="L833" i="2" s="1"/>
  <c r="L834" i="2" a="1"/>
  <c r="L834" i="2" s="1"/>
  <c r="L835" i="2" a="1"/>
  <c r="L835" i="2" s="1"/>
  <c r="L836" i="2" a="1"/>
  <c r="L836" i="2" s="1"/>
  <c r="L837" i="2" a="1"/>
  <c r="L837" i="2" s="1"/>
  <c r="L838" i="2" a="1"/>
  <c r="L838" i="2" s="1"/>
  <c r="L839" i="2" a="1"/>
  <c r="L839" i="2" s="1"/>
  <c r="L840" i="2" a="1"/>
  <c r="L840" i="2" s="1"/>
  <c r="L841" i="2" a="1"/>
  <c r="L841" i="2" s="1"/>
  <c r="L842" i="2" a="1"/>
  <c r="L842" i="2" s="1"/>
  <c r="L843" i="2" a="1"/>
  <c r="L843" i="2" s="1"/>
  <c r="L844" i="2" a="1"/>
  <c r="L844" i="2" s="1"/>
  <c r="L845" i="2" a="1"/>
  <c r="L845" i="2" s="1"/>
  <c r="L846" i="2" a="1"/>
  <c r="L846" i="2" s="1"/>
  <c r="L847" i="2" a="1"/>
  <c r="L847" i="2" s="1"/>
  <c r="L848" i="2" a="1"/>
  <c r="L848" i="2" s="1"/>
  <c r="L849" i="2" a="1"/>
  <c r="L849" i="2" s="1"/>
  <c r="L850" i="2" a="1"/>
  <c r="L850" i="2" s="1"/>
  <c r="L851" i="2" a="1"/>
  <c r="L851" i="2" s="1"/>
  <c r="L852" i="2" a="1"/>
  <c r="L852" i="2" s="1"/>
  <c r="L853" i="2" a="1"/>
  <c r="L853" i="2" s="1"/>
  <c r="L854" i="2" a="1"/>
  <c r="L854" i="2" s="1"/>
  <c r="L855" i="2" a="1"/>
  <c r="L855" i="2" s="1"/>
  <c r="L856" i="2" a="1"/>
  <c r="L856" i="2" s="1"/>
  <c r="L857" i="2" a="1"/>
  <c r="L857" i="2" s="1"/>
  <c r="L858" i="2" a="1"/>
  <c r="L858" i="2" s="1"/>
  <c r="L859" i="2" a="1"/>
  <c r="L859" i="2" s="1"/>
  <c r="L860" i="2" a="1"/>
  <c r="L860" i="2" s="1"/>
  <c r="L861" i="2" a="1"/>
  <c r="L861" i="2" s="1"/>
  <c r="L862" i="2" a="1"/>
  <c r="L862" i="2" s="1"/>
  <c r="L863" i="2" a="1"/>
  <c r="L863" i="2" s="1"/>
  <c r="L864" i="2" a="1"/>
  <c r="L864" i="2" s="1"/>
  <c r="L865" i="2" a="1"/>
  <c r="L865" i="2" s="1"/>
  <c r="L866" i="2" a="1"/>
  <c r="L866" i="2" s="1"/>
  <c r="L867" i="2" a="1"/>
  <c r="L867" i="2" s="1"/>
  <c r="L868" i="2" a="1"/>
  <c r="L868" i="2" s="1"/>
  <c r="L869" i="2" a="1"/>
  <c r="L869" i="2" s="1"/>
  <c r="L870" i="2" a="1"/>
  <c r="L870" i="2" s="1"/>
  <c r="L871" i="2" a="1"/>
  <c r="L871" i="2" s="1"/>
  <c r="L872" i="2" a="1"/>
  <c r="L872" i="2" s="1"/>
  <c r="L873" i="2" a="1"/>
  <c r="L873" i="2" s="1"/>
  <c r="L874" i="2" a="1"/>
  <c r="L874" i="2" s="1"/>
  <c r="L875" i="2" a="1"/>
  <c r="L875" i="2" s="1"/>
  <c r="L876" i="2" a="1"/>
  <c r="L876" i="2" s="1"/>
  <c r="L877" i="2" a="1"/>
  <c r="L877" i="2" s="1"/>
  <c r="L878" i="2" a="1"/>
  <c r="L878" i="2" s="1"/>
  <c r="L879" i="2" a="1"/>
  <c r="L879" i="2" s="1"/>
  <c r="L880" i="2" a="1"/>
  <c r="L880" i="2" s="1"/>
  <c r="L881" i="2" a="1"/>
  <c r="L881" i="2" s="1"/>
  <c r="L882" i="2" a="1"/>
  <c r="L882" i="2" s="1"/>
  <c r="L883" i="2" a="1"/>
  <c r="L883" i="2" s="1"/>
  <c r="L884" i="2" a="1"/>
  <c r="L884" i="2" s="1"/>
  <c r="L885" i="2" a="1"/>
  <c r="L885" i="2" s="1"/>
  <c r="L886" i="2" a="1"/>
  <c r="L886" i="2" s="1"/>
  <c r="L887" i="2" a="1"/>
  <c r="L887" i="2" s="1"/>
  <c r="L888" i="2" a="1"/>
  <c r="L888" i="2" s="1"/>
  <c r="L889" i="2" a="1"/>
  <c r="L889" i="2" s="1"/>
  <c r="L890" i="2" a="1"/>
  <c r="L890" i="2" s="1"/>
  <c r="L891" i="2" a="1"/>
  <c r="L891" i="2" s="1"/>
  <c r="L892" i="2" a="1"/>
  <c r="L892" i="2" s="1"/>
  <c r="L893" i="2" a="1"/>
  <c r="L893" i="2" s="1"/>
  <c r="L894" i="2" a="1"/>
  <c r="L894" i="2" s="1"/>
  <c r="L895" i="2" a="1"/>
  <c r="L895" i="2" s="1"/>
  <c r="L896" i="2" a="1"/>
  <c r="L896" i="2" s="1"/>
  <c r="L897" i="2" a="1"/>
  <c r="L897" i="2" s="1"/>
  <c r="L898" i="2" a="1"/>
  <c r="L898" i="2" s="1"/>
  <c r="L899" i="2" a="1"/>
  <c r="L899" i="2" s="1"/>
  <c r="L900" i="2" a="1"/>
  <c r="L900" i="2" s="1"/>
  <c r="L901" i="2" a="1"/>
  <c r="L901" i="2" s="1"/>
  <c r="L902" i="2" a="1"/>
  <c r="L902" i="2" s="1"/>
  <c r="L903" i="2" a="1"/>
  <c r="L903" i="2" s="1"/>
  <c r="L904" i="2" a="1"/>
  <c r="L904" i="2" s="1"/>
  <c r="L905" i="2" a="1"/>
  <c r="L905" i="2" s="1"/>
  <c r="L906" i="2" a="1"/>
  <c r="L906" i="2" s="1"/>
  <c r="L907" i="2" a="1"/>
  <c r="L907" i="2" s="1"/>
  <c r="L2" i="2" a="1"/>
  <c r="L2" i="2" s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<sst xmlns="http://schemas.openxmlformats.org/spreadsheetml/2006/main" count="29208" uniqueCount="3108">
  <si>
    <t>Patient Name</t>
  </si>
  <si>
    <t>Patient Number</t>
  </si>
  <si>
    <t>Age</t>
  </si>
  <si>
    <t>Gender</t>
  </si>
  <si>
    <t>District</t>
  </si>
  <si>
    <t>Ward</t>
  </si>
  <si>
    <t>Sponsor</t>
  </si>
  <si>
    <t>Date Admitted</t>
  </si>
  <si>
    <t>Date Discharge</t>
  </si>
  <si>
    <t>Days</t>
  </si>
  <si>
    <t>Discharge Reason</t>
  </si>
  <si>
    <t>Admitted By Doctor</t>
  </si>
  <si>
    <t>Admitted By</t>
  </si>
  <si>
    <t>Discharged By</t>
  </si>
  <si>
    <t>Discharged By Doctor</t>
  </si>
  <si>
    <t>Next of Kin</t>
  </si>
  <si>
    <t>Region</t>
  </si>
  <si>
    <t>Babyofmadelina Obed Bulikonyo</t>
  </si>
  <si>
    <t>1 years</t>
  </si>
  <si>
    <t>Male</t>
  </si>
  <si>
    <t>Uvinza</t>
  </si>
  <si>
    <t>NEONATAL WARD (WARD 2B)</t>
  </si>
  <si>
    <t>CASH</t>
  </si>
  <si>
    <t>2024-12-23 01:09:33</t>
  </si>
  <si>
    <t>2026-01-09 18:48:22</t>
  </si>
  <si>
    <t>Normal Discharge</t>
  </si>
  <si>
    <t>Thomas Bombo  Hotay</t>
  </si>
  <si>
    <t>Sheni Elitumaini Kiwenge</t>
  </si>
  <si>
    <t>James Peter Nguruwe</t>
  </si>
  <si>
    <t>[object Object]</t>
  </si>
  <si>
    <t>Kigoma</t>
  </si>
  <si>
    <t>Babyof Kashindi Philmon</t>
  </si>
  <si>
    <t>Female</t>
  </si>
  <si>
    <t>Manisipaa ya kigoma ujiji</t>
  </si>
  <si>
    <t>2025-01-05 15:15:31</t>
  </si>
  <si>
    <t>2026-01-09 18:49:02</t>
  </si>
  <si>
    <t xml:space="preserve">Neema J Dyoya </t>
  </si>
  <si>
    <t>Justinamwajabu  Mbelwa</t>
  </si>
  <si>
    <t>Mary Japhet Lucas</t>
  </si>
  <si>
    <t>33 years</t>
  </si>
  <si>
    <t>LABOUR WARD (WARD 1)</t>
  </si>
  <si>
    <t>2025-02-28 20:44:11</t>
  </si>
  <si>
    <t>2026-01-09 10:54:20</t>
  </si>
  <si>
    <t>Masola Masola Masola</t>
  </si>
  <si>
    <t>John Nathan Simwanza</t>
  </si>
  <si>
    <t>Albert Amos Kapama</t>
  </si>
  <si>
    <t>Odilo Michael Mlugu</t>
  </si>
  <si>
    <t>Baraka Abdul Hassan</t>
  </si>
  <si>
    <t>2025-03-03 23:43:12</t>
  </si>
  <si>
    <t>2026-01-09 18:50:23</t>
  </si>
  <si>
    <t>Ndilabika Silvanus Ndilabika</t>
  </si>
  <si>
    <t>Joyce Zacharia Shija</t>
  </si>
  <si>
    <t>Jackline Patrick Kimaro</t>
  </si>
  <si>
    <t>Enjoy Sumaili Japhet</t>
  </si>
  <si>
    <t>21 years</t>
  </si>
  <si>
    <t>2025-03-09 06:39:50</t>
  </si>
  <si>
    <t>2026-01-09 10:57:27</t>
  </si>
  <si>
    <t>Nimbo Charles</t>
  </si>
  <si>
    <t>Felisiana Emmanuel Mtula</t>
  </si>
  <si>
    <t>Jackson John Waryoba</t>
  </si>
  <si>
    <t>Helina Esroni Esroni</t>
  </si>
  <si>
    <t>29 years</t>
  </si>
  <si>
    <t>Kigoma Vijijini</t>
  </si>
  <si>
    <t>2025-03-24 20:28:38</t>
  </si>
  <si>
    <t>2026-01-09 11:04:26</t>
  </si>
  <si>
    <t>Escape</t>
  </si>
  <si>
    <t>Alex Basaleo Hiluka</t>
  </si>
  <si>
    <t>Salma Rashid Selemani</t>
  </si>
  <si>
    <t>32 years</t>
  </si>
  <si>
    <t>2025-03-28 10:22:30</t>
  </si>
  <si>
    <t>2026-01-09 10:54:56</t>
  </si>
  <si>
    <t xml:space="preserve">Sara  Lwimiko Mulungu </t>
  </si>
  <si>
    <t>Justina Salim Mwajabu</t>
  </si>
  <si>
    <t>Fedha  Sud Juma</t>
  </si>
  <si>
    <t>35 years</t>
  </si>
  <si>
    <t>2025-03-28 18:34:57</t>
  </si>
  <si>
    <t>2026-01-09 10:58:03</t>
  </si>
  <si>
    <t>James  George  Hoya</t>
  </si>
  <si>
    <t>Godon Ahabu Yowel</t>
  </si>
  <si>
    <t>Nduwimana Devile Kabhula</t>
  </si>
  <si>
    <t>24 years</t>
  </si>
  <si>
    <t>2025-04-08 00:13:47</t>
  </si>
  <si>
    <t>2026-01-09 11:06:51</t>
  </si>
  <si>
    <t>Mbelwa Salim Justinamwajabu</t>
  </si>
  <si>
    <t>Baltazar Wilbrod Kifunda</t>
  </si>
  <si>
    <t>Dotto Yahaya Ally</t>
  </si>
  <si>
    <t>23 years</t>
  </si>
  <si>
    <t>2025-04-09 16:32:39</t>
  </si>
  <si>
    <t>2026-01-09 10:56:48</t>
  </si>
  <si>
    <t xml:space="preserve">Gisela Peter Emiliani </t>
  </si>
  <si>
    <t>First Baby Of Matha Samwel` Kabeya</t>
  </si>
  <si>
    <t>11 months</t>
  </si>
  <si>
    <t>2025-04-16 23:30:10</t>
  </si>
  <si>
    <t>2026-01-09 18:51:58</t>
  </si>
  <si>
    <t>Badi Abu Mvano4</t>
  </si>
  <si>
    <t xml:space="preserve">Judith Nestory Kajuna </t>
  </si>
  <si>
    <t>Second Baby Of Matha Samwel Kabeya</t>
  </si>
  <si>
    <t>2025-04-16 23:40:36</t>
  </si>
  <si>
    <t>2026-01-09 18:52:24</t>
  </si>
  <si>
    <t>Babyof Upendo Davis</t>
  </si>
  <si>
    <t>2025-04-17 00:07:21</t>
  </si>
  <si>
    <t>2026-01-09 18:54:47</t>
  </si>
  <si>
    <t>Chausiku Maneno Ahamad</t>
  </si>
  <si>
    <t>2025-04-17 17:23:50</t>
  </si>
  <si>
    <t>2026-01-09 11:03:47</t>
  </si>
  <si>
    <t>Nestory Petro Lutambi</t>
  </si>
  <si>
    <t>Gati Julius Kapunga</t>
  </si>
  <si>
    <t>Raphael Benedicto Daniel</t>
  </si>
  <si>
    <t>2 years</t>
  </si>
  <si>
    <t>PAEDIATRIC WARD (WARD 8)</t>
  </si>
  <si>
    <t>2025-04-21 18:46:15</t>
  </si>
  <si>
    <t>2026-01-13 11:56:29</t>
  </si>
  <si>
    <t>DAMA</t>
  </si>
  <si>
    <t xml:space="preserve">Happyness Essau Sebastian </t>
  </si>
  <si>
    <t>B/o Hawa Mussa Kebu</t>
  </si>
  <si>
    <t>2025-04-22 19:14:29</t>
  </si>
  <si>
    <t>2026-01-09 18:55:19</t>
  </si>
  <si>
    <t xml:space="preserve">Linika Didas Bashasha </t>
  </si>
  <si>
    <t>Sarah Sekela Hamisi</t>
  </si>
  <si>
    <t>2025-04-29 17:14:50</t>
  </si>
  <si>
    <t>2026-01-09 17:32:35</t>
  </si>
  <si>
    <t>Zabibu Juma Said</t>
  </si>
  <si>
    <t>40 years</t>
  </si>
  <si>
    <t>FEMALE SURGICAL &amp; GYNECOLOGICAL WARD (WARD 5)</t>
  </si>
  <si>
    <t>2025-05-02 02:53:22</t>
  </si>
  <si>
    <t>2026-01-09 19:17:17</t>
  </si>
  <si>
    <t>Osward Onesmo Kaale</t>
  </si>
  <si>
    <t>Joackim Edwin Kilasi</t>
  </si>
  <si>
    <t>Badi Abu Mvano2</t>
  </si>
  <si>
    <t>Rebeka Abeli Obedi</t>
  </si>
  <si>
    <t>Buhingwe</t>
  </si>
  <si>
    <t>2025-05-02 18:54:31</t>
  </si>
  <si>
    <t>2026-01-09 19:17:43</t>
  </si>
  <si>
    <t>Hadija Shaban Ugumba</t>
  </si>
  <si>
    <t xml:space="preserve">Tamasha Mageza Hassan </t>
  </si>
  <si>
    <t>2025-05-08 20:24:13</t>
  </si>
  <si>
    <t>2026-01-09 17:32:01</t>
  </si>
  <si>
    <t>Melania Juma Mwamin</t>
  </si>
  <si>
    <t>18 years</t>
  </si>
  <si>
    <t>2025-05-11 00:52:00</t>
  </si>
  <si>
    <t>2026-01-09 19:18:10</t>
  </si>
  <si>
    <t>Stela Daniefordi Ntahodi</t>
  </si>
  <si>
    <t>20 years</t>
  </si>
  <si>
    <t>2025-05-13 18:30:45</t>
  </si>
  <si>
    <t>2026-01-09 17:31:19</t>
  </si>
  <si>
    <t>Emanuel Michael Ami</t>
  </si>
  <si>
    <t>Riziki Kanani Mwikange</t>
  </si>
  <si>
    <t>30 years</t>
  </si>
  <si>
    <t>2025-05-17 14:46:49</t>
  </si>
  <si>
    <t>2026-01-09 17:30:51</t>
  </si>
  <si>
    <t>Prakseda Daniel Boyi</t>
  </si>
  <si>
    <t>22 years</t>
  </si>
  <si>
    <t>2025-05-19 02:23:44</t>
  </si>
  <si>
    <t>2026-01-09 10:58:43</t>
  </si>
  <si>
    <t>Brighton Melody Mikebela</t>
  </si>
  <si>
    <t>2025-05-22 14:06:16</t>
  </si>
  <si>
    <t>2026-01-13 11:55:41</t>
  </si>
  <si>
    <t>Nurain Kassim Mkopi</t>
  </si>
  <si>
    <t>Joana  John Hamis</t>
  </si>
  <si>
    <t>2025-05-25 02:29:26</t>
  </si>
  <si>
    <t>2026-01-13 11:55:17</t>
  </si>
  <si>
    <t>Thomas Bombo Hotay</t>
  </si>
  <si>
    <t>Biazana Yusuph Yassin</t>
  </si>
  <si>
    <t>2025-05-26 17:45:09</t>
  </si>
  <si>
    <t>2026-01-13 11:56:05</t>
  </si>
  <si>
    <t>Nancy Bonaventura Urassa</t>
  </si>
  <si>
    <t>Jacob John Mgesi</t>
  </si>
  <si>
    <t>Vicent Francis Almas</t>
  </si>
  <si>
    <t>2025-05-28 18:54:27</t>
  </si>
  <si>
    <t>2026-01-13 11:54:50</t>
  </si>
  <si>
    <t>George Mliriye</t>
  </si>
  <si>
    <t>Zainanbu Isa Ramadhan</t>
  </si>
  <si>
    <t>2025-05-25 19:53:43</t>
  </si>
  <si>
    <t>2026-01-09 17:29:46</t>
  </si>
  <si>
    <t>Amina Boniphace Maulid</t>
  </si>
  <si>
    <t>8 years</t>
  </si>
  <si>
    <t>2025-05-30 22:47:28</t>
  </si>
  <si>
    <t>2026-01-13 11:54:24</t>
  </si>
  <si>
    <t>Vaileth Nicholaus Mdotta</t>
  </si>
  <si>
    <t>Muneer Zulfikar Mituro</t>
  </si>
  <si>
    <t>Alex Shaban Shabil</t>
  </si>
  <si>
    <t>7 years</t>
  </si>
  <si>
    <t>2025-05-31 22:09:49</t>
  </si>
  <si>
    <t>2026-01-13 11:53:33</t>
  </si>
  <si>
    <t>Karim Daniely Hungu</t>
  </si>
  <si>
    <t>2025-06-01 02:17:46</t>
  </si>
  <si>
    <t>2026-01-13 11:54:04</t>
  </si>
  <si>
    <t>Hanifa  Hamis  Haruna</t>
  </si>
  <si>
    <t>28 years</t>
  </si>
  <si>
    <t>2025-05-29 12:54:38</t>
  </si>
  <si>
    <t>2026-01-09 17:29:11</t>
  </si>
  <si>
    <t>Efraim  Cheyi</t>
  </si>
  <si>
    <t>Diyee Anzuruni Kosta</t>
  </si>
  <si>
    <t>5 years</t>
  </si>
  <si>
    <t>2025-06-03 04:14:16</t>
  </si>
  <si>
    <t>2026-01-13 11:53:07</t>
  </si>
  <si>
    <t>Mwali Mwailwa Iddy</t>
  </si>
  <si>
    <t>2025-05-30 21:35:14</t>
  </si>
  <si>
    <t>2026-01-09 10:56:13</t>
  </si>
  <si>
    <t>Jackson Kajuna</t>
  </si>
  <si>
    <t>Pendera Venus Songoro</t>
  </si>
  <si>
    <t>44 years</t>
  </si>
  <si>
    <t>PSYCHIATRIST (WARD 9)</t>
  </si>
  <si>
    <t>2025-06-02 00:06:02</t>
  </si>
  <si>
    <t>2026-01-09 18:42:04</t>
  </si>
  <si>
    <t xml:space="preserve">Victor Elia Mwampamba </t>
  </si>
  <si>
    <t>Elen Mbekenga</t>
  </si>
  <si>
    <t>Mwajuma Athumani Kitambo</t>
  </si>
  <si>
    <t>50 years</t>
  </si>
  <si>
    <t>2025-06-02 17:53:10</t>
  </si>
  <si>
    <t>2026-01-09 19:19:03</t>
  </si>
  <si>
    <t>Death</t>
  </si>
  <si>
    <t>Justo Maganga Magulya</t>
  </si>
  <si>
    <t>Moses Wilson Mwakalinga</t>
  </si>
  <si>
    <t>Ndajidimana Eveline Isaka</t>
  </si>
  <si>
    <t>25 years</t>
  </si>
  <si>
    <t>FAST TRACK</t>
  </si>
  <si>
    <t>2025-06-04 17:13:54</t>
  </si>
  <si>
    <t>2026-01-09 19:19:44</t>
  </si>
  <si>
    <t>Amina Rashid Mfuruki</t>
  </si>
  <si>
    <t>Baby Of Dina Adriano Marwa</t>
  </si>
  <si>
    <t>9 months</t>
  </si>
  <si>
    <t>2025-06-06 01:05:12</t>
  </si>
  <si>
    <t>2026-01-09 18:56:03</t>
  </si>
  <si>
    <t>Muhajiri Mohamed</t>
  </si>
  <si>
    <t>Deodatha Daniel  Chimali</t>
  </si>
  <si>
    <t>Yusra Alshabir Karim</t>
  </si>
  <si>
    <t>KGG</t>
  </si>
  <si>
    <t>2025-06-09 16:48:13</t>
  </si>
  <si>
    <t>2026-01-13 11:52:47</t>
  </si>
  <si>
    <t>Yakayashi A. Macrice</t>
  </si>
  <si>
    <t>Abel Barieda Gerald</t>
  </si>
  <si>
    <t>Mussa Bakari Mussa</t>
  </si>
  <si>
    <t>2025-06-09 20:08:31</t>
  </si>
  <si>
    <t>2026-01-13 11:52:15</t>
  </si>
  <si>
    <t>Mang'ana Mayogoma Charles</t>
  </si>
  <si>
    <t>Isumail Bakari Yohana</t>
  </si>
  <si>
    <t>2025-06-10 09:12:21</t>
  </si>
  <si>
    <t>2026-01-13 11:51:53</t>
  </si>
  <si>
    <t>Naillah Ally Said</t>
  </si>
  <si>
    <t>Mwamvita Seif Kalika</t>
  </si>
  <si>
    <t>2025-06-09 15:08:44</t>
  </si>
  <si>
    <t>2026-01-09 19:20:16</t>
  </si>
  <si>
    <t>John Phillip Bahebe</t>
  </si>
  <si>
    <t>Asia Hussein Juma</t>
  </si>
  <si>
    <t>2025-06-11 15:43:29</t>
  </si>
  <si>
    <t>2026-01-09 19:21:01</t>
  </si>
  <si>
    <t>Mkiwa Rajabu</t>
  </si>
  <si>
    <t xml:space="preserve">Husna  Iddy Rashid </t>
  </si>
  <si>
    <t>2025-06-12 09:53:43</t>
  </si>
  <si>
    <t>2026-01-09 17:28:13</t>
  </si>
  <si>
    <t>Dihya Rashid Kassimu</t>
  </si>
  <si>
    <t>10 months</t>
  </si>
  <si>
    <t>2025-06-20 23:27:44</t>
  </si>
  <si>
    <t>2026-01-13 11:51:26</t>
  </si>
  <si>
    <t>Baby Ofwitness Fanuel Ntuyamali</t>
  </si>
  <si>
    <t>2025-06-18 12:37:55</t>
  </si>
  <si>
    <t>2026-01-09 18:56:37</t>
  </si>
  <si>
    <t>Efraim Timotheo Cheyi</t>
  </si>
  <si>
    <t xml:space="preserve">Tatu Daniel  Alfred </t>
  </si>
  <si>
    <t>Kasulu</t>
  </si>
  <si>
    <t>2025-06-21 17:35:43</t>
  </si>
  <si>
    <t>2026-01-09 18:57:10</t>
  </si>
  <si>
    <t>Moses Joseph Ogare</t>
  </si>
  <si>
    <t>Mwajuma  Ally  Mussa</t>
  </si>
  <si>
    <t>2025-06-21 17:48:44</t>
  </si>
  <si>
    <t>2026-01-09 17:24:17</t>
  </si>
  <si>
    <t>Paulo Thomas Hangali</t>
  </si>
  <si>
    <t>Nyabenda Ernest Ernest</t>
  </si>
  <si>
    <t>2025-06-23 17:45:36</t>
  </si>
  <si>
    <t>2026-01-09 19:21:36</t>
  </si>
  <si>
    <t>Nasma Iddi Nyindo</t>
  </si>
  <si>
    <t>Baby Of Mwavita Haruna Ruzibila</t>
  </si>
  <si>
    <t>8 months</t>
  </si>
  <si>
    <t>2025-06-26 13:18:00</t>
  </si>
  <si>
    <t>2026-01-09 18:57:55</t>
  </si>
  <si>
    <t>Baby Of Queen Kulwa Juma</t>
  </si>
  <si>
    <t>2025-06-27 11:58:22</t>
  </si>
  <si>
    <t>2026-01-09 18:58:30</t>
  </si>
  <si>
    <t>Said Mathias Mwenge</t>
  </si>
  <si>
    <t>Janeth Patrick Etieni</t>
  </si>
  <si>
    <t>36 years</t>
  </si>
  <si>
    <t>2025-07-07 12:35:52</t>
  </si>
  <si>
    <t>2026-01-09 17:22:32</t>
  </si>
  <si>
    <t>Amina Athumani Simpemba</t>
  </si>
  <si>
    <t>38 years</t>
  </si>
  <si>
    <t>2025-07-16 12:30:40</t>
  </si>
  <si>
    <t>2026-01-09 19:22:49</t>
  </si>
  <si>
    <t>Daniel Makika Chongera</t>
  </si>
  <si>
    <t>Lusajo Mwakalinga</t>
  </si>
  <si>
    <t>Venansia  Manfred  Komba</t>
  </si>
  <si>
    <t>Johari Kassianpaulo Mabura</t>
  </si>
  <si>
    <t>MHIS</t>
  </si>
  <si>
    <t>2025-07-20 00:38:28</t>
  </si>
  <si>
    <t>2026-01-13 11:50:59</t>
  </si>
  <si>
    <t>Matrida  Nelson Kamnyola</t>
  </si>
  <si>
    <t>26 years</t>
  </si>
  <si>
    <t>2025-07-20 03:27:35</t>
  </si>
  <si>
    <t>2026-01-09 18:41:32</t>
  </si>
  <si>
    <t>Zenobius Jeremiah Buberwa</t>
  </si>
  <si>
    <t>Hadija Juhudi Omary</t>
  </si>
  <si>
    <t>16 years</t>
  </si>
  <si>
    <t>2025-07-23 01:27:11</t>
  </si>
  <si>
    <t>2026-01-09 19:23:24</t>
  </si>
  <si>
    <t>Lucy Mtenga</t>
  </si>
  <si>
    <t>Babyof Buke Mayege</t>
  </si>
  <si>
    <t>2025-07-27 15:14:44</t>
  </si>
  <si>
    <t>2026-01-09 18:59:14</t>
  </si>
  <si>
    <t>Prisca Anderson James</t>
  </si>
  <si>
    <t>Magdalena Makere Lukila</t>
  </si>
  <si>
    <t>90 years</t>
  </si>
  <si>
    <t>2025-07-28 13:19:26</t>
  </si>
  <si>
    <t>2026-01-09 19:24:44</t>
  </si>
  <si>
    <t>James  Hoya</t>
  </si>
  <si>
    <t>Raphael Aloyce Luvandi</t>
  </si>
  <si>
    <t>31 years</t>
  </si>
  <si>
    <t>2025-08-05 10:53:33</t>
  </si>
  <si>
    <t>2026-01-09 18:40:46</t>
  </si>
  <si>
    <t xml:space="preserve">Oscar Msigwa </t>
  </si>
  <si>
    <t>Venancia Mtaki</t>
  </si>
  <si>
    <t>Elizabeth  Mathias Hungukila</t>
  </si>
  <si>
    <t>2025-08-05 21:01:53</t>
  </si>
  <si>
    <t>2026-01-09 19:25:18</t>
  </si>
  <si>
    <t>Badi  Abu  Mvano</t>
  </si>
  <si>
    <t>Riziki Kabika Abedi</t>
  </si>
  <si>
    <t>2025-08-07 12:03:44</t>
  </si>
  <si>
    <t>2026-01-09 19:25:38</t>
  </si>
  <si>
    <t>Martin Ngassa Luhumbika</t>
  </si>
  <si>
    <t>Agness Charles Masale</t>
  </si>
  <si>
    <t>2025-08-09 13:35:32</t>
  </si>
  <si>
    <t>2026-01-09 19:26:13</t>
  </si>
  <si>
    <t>Bethuel Lucas Laizer</t>
  </si>
  <si>
    <t>Elizabeth Adewatha Mukrim</t>
  </si>
  <si>
    <t>2025-08-10 01:45:30</t>
  </si>
  <si>
    <t>2026-01-09 17:18:21</t>
  </si>
  <si>
    <t>Sauda Kassim Juma</t>
  </si>
  <si>
    <t>2025-08-10 18:38:05</t>
  </si>
  <si>
    <t>2026-01-09 17:15:48</t>
  </si>
  <si>
    <t>Annastazia  Salvatory Salvatory</t>
  </si>
  <si>
    <t>2025-08-17 16:32:25</t>
  </si>
  <si>
    <t>2026-01-09 19:26:54</t>
  </si>
  <si>
    <t>Dorcus Charles Sanga</t>
  </si>
  <si>
    <t>Babyof Pndo James Emmanuel</t>
  </si>
  <si>
    <t>7 months</t>
  </si>
  <si>
    <t>2025-08-22 04:44:01</t>
  </si>
  <si>
    <t>2026-01-09 18:59:56</t>
  </si>
  <si>
    <t>Jublathe Joseph Lema</t>
  </si>
  <si>
    <t>Baby Of Irine  Emmanuel Kulwa</t>
  </si>
  <si>
    <t>6 months</t>
  </si>
  <si>
    <t>2025-08-28 16:15:12</t>
  </si>
  <si>
    <t>2026-01-09 19:00:32</t>
  </si>
  <si>
    <t>Dainess  Edward Ngwahaga</t>
  </si>
  <si>
    <t>Hussein Bisu Hussein</t>
  </si>
  <si>
    <t>4 years</t>
  </si>
  <si>
    <t>2025-09-01 11:54:51</t>
  </si>
  <si>
    <t>2026-01-13 11:50:33</t>
  </si>
  <si>
    <t>Samson  Vedastus</t>
  </si>
  <si>
    <t>First Babyof Aisha  Issa Hussein</t>
  </si>
  <si>
    <t>2025-08-30 22:49:59</t>
  </si>
  <si>
    <t>2026-01-09 19:01:14</t>
  </si>
  <si>
    <t>Hajulikan Hajulikani Hajulikani</t>
  </si>
  <si>
    <t>27 years</t>
  </si>
  <si>
    <t>2025-08-31 13:55:28</t>
  </si>
  <si>
    <t>2026-01-09 18:42:41</t>
  </si>
  <si>
    <t>James Benson Mwamaso</t>
  </si>
  <si>
    <t>Baby Of Mariam  Mohamed Abdi</t>
  </si>
  <si>
    <t>2025-08-31 17:07:15</t>
  </si>
  <si>
    <t>2026-01-09 19:01:51</t>
  </si>
  <si>
    <t>Samson Afred Kihwele</t>
  </si>
  <si>
    <t>Yohana Shimie Balandagiye</t>
  </si>
  <si>
    <t>2025-09-03 17:32:23</t>
  </si>
  <si>
    <t>2026-01-13 11:50:04</t>
  </si>
  <si>
    <t>Mwajuma Hemed Seleman</t>
  </si>
  <si>
    <t>Valentina Omary Saidi</t>
  </si>
  <si>
    <t>37 years</t>
  </si>
  <si>
    <t>2025-09-05 15:18:47</t>
  </si>
  <si>
    <t>2026-01-09 17:12:51</t>
  </si>
  <si>
    <t>Mwatano Majuto Majaliwa</t>
  </si>
  <si>
    <t>2025-09-08 20:35:47</t>
  </si>
  <si>
    <t>2026-01-13 11:49:26</t>
  </si>
  <si>
    <t>Juma Mbonimpa Juma</t>
  </si>
  <si>
    <t>2025-09-07 15:50:59</t>
  </si>
  <si>
    <t>2026-01-09 18:40:19</t>
  </si>
  <si>
    <t>Yothamu Fanuel Musa</t>
  </si>
  <si>
    <t>Baby Of Fatuma Hodari Lilola</t>
  </si>
  <si>
    <t>2025-09-10 01:12:58</t>
  </si>
  <si>
    <t>2026-01-09 19:10:34</t>
  </si>
  <si>
    <t>Osea Nditeze Elisha</t>
  </si>
  <si>
    <t>Baby Of Mariam Kiza Juma</t>
  </si>
  <si>
    <t>2025-09-17 14:54:44</t>
  </si>
  <si>
    <t>2026-01-09 19:10:08</t>
  </si>
  <si>
    <t>Edwin Rweyemamu Mujwahuzi</t>
  </si>
  <si>
    <t>51 years</t>
  </si>
  <si>
    <t>GRADE 1</t>
  </si>
  <si>
    <t>NHIF</t>
  </si>
  <si>
    <t>2025-09-17 17:56:35</t>
  </si>
  <si>
    <t>2026-01-09 18:46:33</t>
  </si>
  <si>
    <t>Referred</t>
  </si>
  <si>
    <t>Hadija Juma Japhari</t>
  </si>
  <si>
    <t>Sarah Nchachu Nkabuka</t>
  </si>
  <si>
    <t>39 years</t>
  </si>
  <si>
    <t>2025-09-19 13:13:45</t>
  </si>
  <si>
    <t>2026-01-09 19:28:18</t>
  </si>
  <si>
    <t>B/of Mwamvua Magimbo</t>
  </si>
  <si>
    <t>2025-09-19 15:09:40</t>
  </si>
  <si>
    <t>2026-01-09 19:02:29</t>
  </si>
  <si>
    <t>Kizozi Ahimadi Ibrahim</t>
  </si>
  <si>
    <t>2025-09-20 17:58:12</t>
  </si>
  <si>
    <t>2026-01-09 17:02:31</t>
  </si>
  <si>
    <t>Miliamu  Alex Rwechungula</t>
  </si>
  <si>
    <t>2025-09-21 18:04:26</t>
  </si>
  <si>
    <t>2026-01-09 19:02:56</t>
  </si>
  <si>
    <t>Bundi Badi Kulwa</t>
  </si>
  <si>
    <t>10 years</t>
  </si>
  <si>
    <t>2025-09-24 19:31:23</t>
  </si>
  <si>
    <t>2026-01-13 11:48:13</t>
  </si>
  <si>
    <t>Martine M. Makelemo</t>
  </si>
  <si>
    <t>Grace John Joseph</t>
  </si>
  <si>
    <t>2025-09-22 20:04:26</t>
  </si>
  <si>
    <t>2026-01-09 19:28:54</t>
  </si>
  <si>
    <t>Baby Of Regina Yohana Yohana</t>
  </si>
  <si>
    <t>2025-09-24 13:58:03</t>
  </si>
  <si>
    <t>2026-01-09 19:07:06</t>
  </si>
  <si>
    <t>Emmanuel Charles Lubikila</t>
  </si>
  <si>
    <t>Regina Said Joseph</t>
  </si>
  <si>
    <t>2025-09-24 21:43:01</t>
  </si>
  <si>
    <t>2026-01-09 16:58:09</t>
  </si>
  <si>
    <t>Athumani Nasibu Athumani</t>
  </si>
  <si>
    <t>MALE SURGICAL &amp; ORTHOPEDIC (WARD) (7)</t>
  </si>
  <si>
    <t>2025-09-27 02:44:39</t>
  </si>
  <si>
    <t>2026-01-09 18:04:47</t>
  </si>
  <si>
    <t>Ally Mvano Ramadhani</t>
  </si>
  <si>
    <t>Nijimbela Inea Nikumana</t>
  </si>
  <si>
    <t>2025-09-29 10:20:47</t>
  </si>
  <si>
    <t>2026-01-09 16:53:34</t>
  </si>
  <si>
    <t>Baraka Musa Kija</t>
  </si>
  <si>
    <t>Jackson Pius Kiboko</t>
  </si>
  <si>
    <t>2025-09-29 22:18:02</t>
  </si>
  <si>
    <t>2026-01-09 18:05:31</t>
  </si>
  <si>
    <t>Matokeo Ngafi Michael</t>
  </si>
  <si>
    <t>Tausi Abdallah Sudi</t>
  </si>
  <si>
    <t>60 years</t>
  </si>
  <si>
    <t>2025-09-30 15:45:58</t>
  </si>
  <si>
    <t>2026-01-09 19:29:31</t>
  </si>
  <si>
    <t>Juvestus K Modestus</t>
  </si>
  <si>
    <t>Evarist Amos Mapigi</t>
  </si>
  <si>
    <t>2025-10-06 01:58:03</t>
  </si>
  <si>
    <t>2026-01-13 11:46:43</t>
  </si>
  <si>
    <t>Cleophace John Sillo</t>
  </si>
  <si>
    <t>Matokeo Yahaya Kicho</t>
  </si>
  <si>
    <t>45 years</t>
  </si>
  <si>
    <t>2025-10-06 23:19:11</t>
  </si>
  <si>
    <t>2026-01-09 16:50:49</t>
  </si>
  <si>
    <t>Yasin Seleman Mlindi</t>
  </si>
  <si>
    <t>3 years</t>
  </si>
  <si>
    <t>2025-10-12 01:11:38</t>
  </si>
  <si>
    <t>2026-01-13 11:43:29</t>
  </si>
  <si>
    <t>Betrida Mussa Songoma</t>
  </si>
  <si>
    <t>Joyce Antony Juma</t>
  </si>
  <si>
    <t>2025-10-08 23:23:47</t>
  </si>
  <si>
    <t>2026-01-09 19:29:57</t>
  </si>
  <si>
    <t>Omoka Swedi Omoka</t>
  </si>
  <si>
    <t>15 years</t>
  </si>
  <si>
    <t>2025-10-08 23:53:37</t>
  </si>
  <si>
    <t>2026-01-09 18:06:27</t>
  </si>
  <si>
    <t>Hekima Kagoma Edson</t>
  </si>
  <si>
    <t>Bashiru Juma Msolewago</t>
  </si>
  <si>
    <t>2025-10-08 23:53:56</t>
  </si>
  <si>
    <t>2026-01-09 18:07:34</t>
  </si>
  <si>
    <t>Jesca Fales Bitaliho</t>
  </si>
  <si>
    <t>2025-10-12 17:41:41</t>
  </si>
  <si>
    <t>2026-01-13 11:42:54</t>
  </si>
  <si>
    <t xml:space="preserve">Nasra  Mazimbwe </t>
  </si>
  <si>
    <t>Furaha Rashid Ishibyumbi</t>
  </si>
  <si>
    <t>53 years</t>
  </si>
  <si>
    <t>2025-10-12 14:41:32</t>
  </si>
  <si>
    <t>2026-01-09 19:31:00</t>
  </si>
  <si>
    <t>Nobert  Alerian  Mushi</t>
  </si>
  <si>
    <t>Feisali Haruna Mussa</t>
  </si>
  <si>
    <t>2025-10-15 14:29:16</t>
  </si>
  <si>
    <t>2026-01-13 11:41:37</t>
  </si>
  <si>
    <t>Limi Omary Matondo</t>
  </si>
  <si>
    <t xml:space="preserve">Olina Sayon Tanditse </t>
  </si>
  <si>
    <t>William Shabani Malabe</t>
  </si>
  <si>
    <t>MALE MEDICAL WARD (WARD 2A)</t>
  </si>
  <si>
    <t>2025-10-12 19:16:06</t>
  </si>
  <si>
    <t>2026-01-09 18:15:16</t>
  </si>
  <si>
    <t>Salehe Mashauri Bwibonela</t>
  </si>
  <si>
    <t>Naomi  Lisiasi  Mayugi</t>
  </si>
  <si>
    <t>2025-10-17 11:34:42</t>
  </si>
  <si>
    <t>2026-01-12 15:38:31</t>
  </si>
  <si>
    <t>Sadick Mrisho Mandari</t>
  </si>
  <si>
    <t>Vicent Deus</t>
  </si>
  <si>
    <t>Kulwa Richard Mashimba</t>
  </si>
  <si>
    <t>Yesse  Alex Ntaliligwa</t>
  </si>
  <si>
    <t>2025-10-14 20:05:48</t>
  </si>
  <si>
    <t>2026-01-09 18:08:21</t>
  </si>
  <si>
    <t>Daud Pastory</t>
  </si>
  <si>
    <t>Hajulikani Unkwown Hajulikani</t>
  </si>
  <si>
    <t>2025-10-15 01:25:41</t>
  </si>
  <si>
    <t>2026-01-09 18:08:51</t>
  </si>
  <si>
    <t>Mariam Yadunia Stevin</t>
  </si>
  <si>
    <t>2025-10-15 02:16:23</t>
  </si>
  <si>
    <t>2026-01-09 19:31:27</t>
  </si>
  <si>
    <t>Neema Amos Anton</t>
  </si>
  <si>
    <t>Rafael Elphini Rafael</t>
  </si>
  <si>
    <t>5 months</t>
  </si>
  <si>
    <t>2025-10-15 07:26:31</t>
  </si>
  <si>
    <t>2026-01-09 19:07:39</t>
  </si>
  <si>
    <t>Asia  Yahaya Ramadhan</t>
  </si>
  <si>
    <t>2025-10-16 20:01:59</t>
  </si>
  <si>
    <t>2026-01-09 17:38:47</t>
  </si>
  <si>
    <t>Baby Of Mary Leonard Alimaoa</t>
  </si>
  <si>
    <t>2025-10-17 02:16:44</t>
  </si>
  <si>
    <t>2026-01-09 19:08:59</t>
  </si>
  <si>
    <t>Nasma Hassan Mayongo</t>
  </si>
  <si>
    <t>2025-10-17 02:30:22</t>
  </si>
  <si>
    <t>2026-01-09 19:31:52</t>
  </si>
  <si>
    <t>Sumaiya  Ramadhani Rashidi</t>
  </si>
  <si>
    <t>2025-10-20 13:36:18</t>
  </si>
  <si>
    <t>2026-01-13 11:41:11</t>
  </si>
  <si>
    <t>Rania Hashimu Iddi</t>
  </si>
  <si>
    <t>2025-10-15 13:46:25</t>
  </si>
  <si>
    <t>2026-01-06 13:00:49</t>
  </si>
  <si>
    <t>Francis   Kimwaga</t>
  </si>
  <si>
    <t>Babyof Hadija Ramadhani Idd</t>
  </si>
  <si>
    <t>2025-10-20 15:32:07</t>
  </si>
  <si>
    <t>2026-01-09 19:09:25</t>
  </si>
  <si>
    <t>Juma Saladi Mbelwa</t>
  </si>
  <si>
    <t>Sophia Adam Makoba</t>
  </si>
  <si>
    <t>34 years</t>
  </si>
  <si>
    <t>2025-10-21 14:19:10</t>
  </si>
  <si>
    <t>2026-01-09 17:39:23</t>
  </si>
  <si>
    <t>Salum Yamungu Amani</t>
  </si>
  <si>
    <t>2025-10-24 20:02:40</t>
  </si>
  <si>
    <t>2026-01-13 11:40:39</t>
  </si>
  <si>
    <t>Diana Felix Ndandu</t>
  </si>
  <si>
    <t>Anna Abraham Maari</t>
  </si>
  <si>
    <t>2025-10-25 13:03:00</t>
  </si>
  <si>
    <t>2026-01-09 17:40:21</t>
  </si>
  <si>
    <t>Christopher  Wilson Hibedi</t>
  </si>
  <si>
    <t>42 years</t>
  </si>
  <si>
    <t>2025-10-27 21:34:25</t>
  </si>
  <si>
    <t>2026-01-09 18:14:49</t>
  </si>
  <si>
    <t>Abubakari Ntakibidya Abdu</t>
  </si>
  <si>
    <t>Alfa   Adam Msangi</t>
  </si>
  <si>
    <t>2025-11-03 00:05:11</t>
  </si>
  <si>
    <t>2026-01-09 18:14:02</t>
  </si>
  <si>
    <t>Michael  Richard  Rambau</t>
  </si>
  <si>
    <t>Jenipha Yahaya Khunura</t>
  </si>
  <si>
    <t>2025-11-03 23:53:20</t>
  </si>
  <si>
    <t>2026-01-09 17:45:22</t>
  </si>
  <si>
    <t xml:space="preserve"> Muneer Zulfikar Mituro</t>
  </si>
  <si>
    <t>Getruda Athanas Bahagaze</t>
  </si>
  <si>
    <t>56 years</t>
  </si>
  <si>
    <t>2025-11-03 22:15:43</t>
  </si>
  <si>
    <t>2026-01-06 09:57:00</t>
  </si>
  <si>
    <t xml:space="preserve">Khadija  Hamis  Mlengwa </t>
  </si>
  <si>
    <t>2025-11-07 20:45:18</t>
  </si>
  <si>
    <t>2026-01-09 18:47:04</t>
  </si>
  <si>
    <t>Michael Hibwa Magige</t>
  </si>
  <si>
    <t>Anna Samsoni Matias</t>
  </si>
  <si>
    <t>2025-11-08 01:06:48</t>
  </si>
  <si>
    <t>2026-01-09 19:32:39</t>
  </si>
  <si>
    <t>Rahim Bohari Petero</t>
  </si>
  <si>
    <t>2025-11-13 03:02:29</t>
  </si>
  <si>
    <t>2026-01-13 11:40:04</t>
  </si>
  <si>
    <t>Innocent  Gaspary  Ntandu</t>
  </si>
  <si>
    <t>Peles Jaruo Gwanika</t>
  </si>
  <si>
    <t>2025-11-11 19:54:33</t>
  </si>
  <si>
    <t>2026-01-09 19:33:14</t>
  </si>
  <si>
    <t>Essau Y Balemegwa</t>
  </si>
  <si>
    <t>61 years</t>
  </si>
  <si>
    <t>2025-11-10 16:15:09</t>
  </si>
  <si>
    <t>2026-01-06 13:09:19</t>
  </si>
  <si>
    <t>Michael Richard Rambau</t>
  </si>
  <si>
    <t>Rajabu Said Zania</t>
  </si>
  <si>
    <t>47 years</t>
  </si>
  <si>
    <t>2025-11-14 19:51:40</t>
  </si>
  <si>
    <t>2026-01-09 18:09:29</t>
  </si>
  <si>
    <t>Florah Fikiri Kakwira</t>
  </si>
  <si>
    <t>2025-11-16 19:10:53</t>
  </si>
  <si>
    <t>2026-01-09 17:46:57</t>
  </si>
  <si>
    <t>Japhary Feisal Shabani</t>
  </si>
  <si>
    <t>2025-11-17 23:27:13</t>
  </si>
  <si>
    <t>2026-01-09 18:09:59</t>
  </si>
  <si>
    <t>Mwita John Magige</t>
  </si>
  <si>
    <t>Elpidius Deius Elpidius</t>
  </si>
  <si>
    <t>2025-12-01 19:09:26</t>
  </si>
  <si>
    <t>2026-01-12 15:38:08</t>
  </si>
  <si>
    <t>Odillo  Michael</t>
  </si>
  <si>
    <t>Yohane Joseph Bugonghwa</t>
  </si>
  <si>
    <t>Saumu Khalid Hassan</t>
  </si>
  <si>
    <t>2025-12-01 14:33:41</t>
  </si>
  <si>
    <t>2026-01-07 17:24:52</t>
  </si>
  <si>
    <t>Andronic Elias Amon</t>
  </si>
  <si>
    <t>78 years</t>
  </si>
  <si>
    <t>2025-12-10 13:29:16</t>
  </si>
  <si>
    <t>2026-01-10 14:15:46</t>
  </si>
  <si>
    <t>Wilson Newton Fungo</t>
  </si>
  <si>
    <t>Neema Athuman Said</t>
  </si>
  <si>
    <t>17 years</t>
  </si>
  <si>
    <t>2025-12-21 17:37:54</t>
  </si>
  <si>
    <t>2026-01-21 15:50:02</t>
  </si>
  <si>
    <t>Davis Fortunatus Ngahwela</t>
  </si>
  <si>
    <t>John James  Jeremiah</t>
  </si>
  <si>
    <t>Theresia V Mng'ong'o</t>
  </si>
  <si>
    <t>2025-12-09 08:41:49</t>
  </si>
  <si>
    <t>2026-01-07 17:23:43</t>
  </si>
  <si>
    <t>Beatrice Richard Kalaza</t>
  </si>
  <si>
    <t>2025-12-30 20:11:35</t>
  </si>
  <si>
    <t>2026-01-29 16:00:15</t>
  </si>
  <si>
    <t>Nimbo   Charles</t>
  </si>
  <si>
    <t>Titus D Msaya</t>
  </si>
  <si>
    <t>43 years</t>
  </si>
  <si>
    <t>2025-12-05 13:35:24</t>
  </si>
  <si>
    <t>2026-01-02 15:33:43</t>
  </si>
  <si>
    <t>Hajra Bakari Hamisi</t>
  </si>
  <si>
    <t>2025-12-20 06:12:02</t>
  </si>
  <si>
    <t>2026-01-16 13:58:05</t>
  </si>
  <si>
    <t>Odilo  Michael  Mlugu</t>
  </si>
  <si>
    <t>1 Baby Of Neema Standey Genyeka</t>
  </si>
  <si>
    <t>2 months</t>
  </si>
  <si>
    <t>2025-12-29 00:20:33</t>
  </si>
  <si>
    <t>2026-01-24 17:04:00</t>
  </si>
  <si>
    <t>2baby Of Neema Standey Genyeka</t>
  </si>
  <si>
    <t>2025-12-29 00:43:37</t>
  </si>
  <si>
    <t>2026-01-24 17:03:26</t>
  </si>
  <si>
    <t>Happness Augustine</t>
  </si>
  <si>
    <t>Unkown Unknown Mwanga</t>
  </si>
  <si>
    <t>41 years</t>
  </si>
  <si>
    <t>2026-01-01 21:19:40</t>
  </si>
  <si>
    <t>2026-01-28 15:49:10</t>
  </si>
  <si>
    <t>Babyofester Tumain Siashiriki</t>
  </si>
  <si>
    <t>3 months</t>
  </si>
  <si>
    <t>2025-12-08 12:09:08</t>
  </si>
  <si>
    <t>2026-01-02 15:28:01</t>
  </si>
  <si>
    <t>Kiza Abdallah Lwango</t>
  </si>
  <si>
    <t>2025-12-30 16:23:16</t>
  </si>
  <si>
    <t>2026-01-25 14:42:20</t>
  </si>
  <si>
    <t>Juma  Hassan Hassan</t>
  </si>
  <si>
    <t>46 years</t>
  </si>
  <si>
    <t>2026-01-05 21:20:55</t>
  </si>
  <si>
    <t>2026-01-30 15:03:16</t>
  </si>
  <si>
    <t>Magdalena Maduhu</t>
  </si>
  <si>
    <t>Aniseth Eliya Cossam</t>
  </si>
  <si>
    <t>6 years</t>
  </si>
  <si>
    <t>2026-01-06 11:45:27</t>
  </si>
  <si>
    <t>2026-01-30 16:09:10</t>
  </si>
  <si>
    <t>Ramadhani Saidi Mussa</t>
  </si>
  <si>
    <t>2025-12-13 20:11:25</t>
  </si>
  <si>
    <t>2026-01-06 13:12:08</t>
  </si>
  <si>
    <t>Alex Bahati Sylvanus</t>
  </si>
  <si>
    <t>2025-12-23 15:43:09</t>
  </si>
  <si>
    <t>2026-01-16 14:29:47</t>
  </si>
  <si>
    <t>Glory Godfrey Zakayo</t>
  </si>
  <si>
    <t>2025-12-31 15:35:15</t>
  </si>
  <si>
    <t>2026-01-24 15:27:41</t>
  </si>
  <si>
    <t>Dorcas Ayubu Paschal</t>
  </si>
  <si>
    <t>2026-01-01 11:07:52</t>
  </si>
  <si>
    <t>2026-01-22 16:17:07</t>
  </si>
  <si>
    <t>Neema  Nicholaus  Chacha</t>
  </si>
  <si>
    <t>Shida Kashindye Nkwabi</t>
  </si>
  <si>
    <t>Dylan David  Deusi</t>
  </si>
  <si>
    <t>NSSF</t>
  </si>
  <si>
    <t>2026-01-08 14:19:46</t>
  </si>
  <si>
    <t>2026-01-30 12:40:11</t>
  </si>
  <si>
    <t>Joseph Nangawe</t>
  </si>
  <si>
    <t xml:space="preserve">Erick Ernest Maro </t>
  </si>
  <si>
    <t>Perina  Daud Mnazi</t>
  </si>
  <si>
    <t>14 years</t>
  </si>
  <si>
    <t>2025-12-19 19:25:12</t>
  </si>
  <si>
    <t>2026-01-08 08:01:02</t>
  </si>
  <si>
    <t>Kelvin  Mrisho Rashid</t>
  </si>
  <si>
    <t>2026-01-08 15:31:22</t>
  </si>
  <si>
    <t>2026-01-28 09:03:33</t>
  </si>
  <si>
    <t>Habu Makunga Mwagala</t>
  </si>
  <si>
    <t>2025-12-16 18:16:04</t>
  </si>
  <si>
    <t>2026-01-03 18:24:58</t>
  </si>
  <si>
    <t>Mohamed Rajabu Mrisho</t>
  </si>
  <si>
    <t>2025-12-19 19:47:29</t>
  </si>
  <si>
    <t>2026-01-07 10:37:12</t>
  </si>
  <si>
    <t>Emanuel Ezekiel Amsi</t>
  </si>
  <si>
    <t>Michael Richard  Rambau</t>
  </si>
  <si>
    <t>Msafiri J Kihanga</t>
  </si>
  <si>
    <t>GRADE 2</t>
  </si>
  <si>
    <t>2026-01-02 14:36:04</t>
  </si>
  <si>
    <t>2026-01-20 19:20:41</t>
  </si>
  <si>
    <t>Mariamu Mwakilo</t>
  </si>
  <si>
    <t>Riziwana Chaga Hussein</t>
  </si>
  <si>
    <t>2026-01-04 13:26:29</t>
  </si>
  <si>
    <t>2026-01-22 14:48:39</t>
  </si>
  <si>
    <t>Eliud Katembele Mhanda</t>
  </si>
  <si>
    <t>2026-01-09 23:30:13</t>
  </si>
  <si>
    <t>2026-01-28 14:40:05</t>
  </si>
  <si>
    <t>Elias  Masunzu</t>
  </si>
  <si>
    <t>Amina  Iddi Ramadhani</t>
  </si>
  <si>
    <t>2025-12-16 15:15:10</t>
  </si>
  <si>
    <t>2026-01-02 18:54:06</t>
  </si>
  <si>
    <t>Imani Moris  Lucas</t>
  </si>
  <si>
    <t>FEMALE WARD (WARD 6)</t>
  </si>
  <si>
    <t>STRATEGIES</t>
  </si>
  <si>
    <t>2025-12-19 14:14:04</t>
  </si>
  <si>
    <t>2026-01-06 09:58:02</t>
  </si>
  <si>
    <t>Lucia Mipawa Jidayi</t>
  </si>
  <si>
    <t>Raphael Fele Emmnuel</t>
  </si>
  <si>
    <t>2025-12-22 18:55:17</t>
  </si>
  <si>
    <t>2026-01-09 12:54:42</t>
  </si>
  <si>
    <t>Tyson Fredrick Mwanja</t>
  </si>
  <si>
    <t>Baby Of Riziwana Chaga Hussein</t>
  </si>
  <si>
    <t>2026-01-04 20:32:13</t>
  </si>
  <si>
    <t>2026-01-22 14:49:03</t>
  </si>
  <si>
    <t>Hadija I Mnibo</t>
  </si>
  <si>
    <t>55 years</t>
  </si>
  <si>
    <t>2026-01-12 08:39:52</t>
  </si>
  <si>
    <t>2026-01-29 14:33:49</t>
  </si>
  <si>
    <t>Umoja Erasto Chona</t>
  </si>
  <si>
    <t>Yusta  Bakata</t>
  </si>
  <si>
    <t>64 years</t>
  </si>
  <si>
    <t>2026-01-07 20:32:25</t>
  </si>
  <si>
    <t>2026-01-24 13:27:50</t>
  </si>
  <si>
    <t>Balosha Andrea Kalaba</t>
  </si>
  <si>
    <t>2025-12-30 21:44:01</t>
  </si>
  <si>
    <t>2026-01-15 16:04:21</t>
  </si>
  <si>
    <t xml:space="preserve">Leonard  Ilago Elias </t>
  </si>
  <si>
    <t>B/o Mwajuma Haruna Athuman</t>
  </si>
  <si>
    <t>2025-12-18 18:08:33</t>
  </si>
  <si>
    <t>2026-01-02 17:10:06</t>
  </si>
  <si>
    <t>Alhamdu Seleman Hussein</t>
  </si>
  <si>
    <t>2025-12-20 13:27:10</t>
  </si>
  <si>
    <t>2026-01-03 17:20:34</t>
  </si>
  <si>
    <t>Baby Of Eveline  John John</t>
  </si>
  <si>
    <t>2025-12-22 17:23:51</t>
  </si>
  <si>
    <t>2026-01-06 11:41:45</t>
  </si>
  <si>
    <t xml:space="preserve">Elizabeth Fedrick Willbard </t>
  </si>
  <si>
    <t>Sabina Lulimo Ntakuka</t>
  </si>
  <si>
    <t>2025-12-23 17:01:32</t>
  </si>
  <si>
    <t>2026-01-07 08:43:39</t>
  </si>
  <si>
    <t>Tatu Simoni Mwana</t>
  </si>
  <si>
    <t>2026-01-10 15:23:52</t>
  </si>
  <si>
    <t>2026-01-25 13:40:52</t>
  </si>
  <si>
    <t>Babyof Zalha  Zakiu  Yasini</t>
  </si>
  <si>
    <t>2026-01-12 21:05:33</t>
  </si>
  <si>
    <t>2026-01-27 16:25:23</t>
  </si>
  <si>
    <t>Salome Jaston Mwamkashi</t>
  </si>
  <si>
    <t>2025-12-24 16:15:31</t>
  </si>
  <si>
    <t>2026-01-06 22:38:45</t>
  </si>
  <si>
    <t>Wahabi Juma</t>
  </si>
  <si>
    <t>Beatrice Wilfred Shinyange</t>
  </si>
  <si>
    <t>2026-01-03 09:51:36</t>
  </si>
  <si>
    <t>2026-01-16 15:52:08</t>
  </si>
  <si>
    <t xml:space="preserve">Augustine Nyamwihula  Thadeo </t>
  </si>
  <si>
    <t>Ng'humbi Masele Mganga</t>
  </si>
  <si>
    <t>Jofrey Moshi Mutti</t>
  </si>
  <si>
    <t>KG</t>
  </si>
  <si>
    <t>2026-01-12 11:49:24</t>
  </si>
  <si>
    <t>2026-01-25 14:58:11</t>
  </si>
  <si>
    <t>Isaule A Majisu</t>
  </si>
  <si>
    <t>19 years</t>
  </si>
  <si>
    <t>2026-01-03 10:21:52</t>
  </si>
  <si>
    <t>2026-01-15 18:37:13</t>
  </si>
  <si>
    <t>Lazaro  Yohana  Madeha</t>
  </si>
  <si>
    <t>Nuru Muhamed Kimosa</t>
  </si>
  <si>
    <t>ICU</t>
  </si>
  <si>
    <t>2026-01-05 22:02:08</t>
  </si>
  <si>
    <t>2026-01-18 10:20:35</t>
  </si>
  <si>
    <t xml:space="preserve">Lucas Richard </t>
  </si>
  <si>
    <t>Niwagila Kasilima</t>
  </si>
  <si>
    <t>Rashid Juma Juma</t>
  </si>
  <si>
    <t>2026-01-07 19:11:51</t>
  </si>
  <si>
    <t>2026-01-20 15:42:10</t>
  </si>
  <si>
    <t>Tukumbukege John Kapoja</t>
  </si>
  <si>
    <t>Beatha L Mufumya</t>
  </si>
  <si>
    <t>68 years</t>
  </si>
  <si>
    <t>2026-01-09 12:35:56</t>
  </si>
  <si>
    <t>2026-01-22 09:16:16</t>
  </si>
  <si>
    <t>Sevelina Benedictor Emmanuel</t>
  </si>
  <si>
    <t>Mwajuma Ibrahim Tangilije</t>
  </si>
  <si>
    <t>52 years</t>
  </si>
  <si>
    <t>2026-01-18 12:12:36</t>
  </si>
  <si>
    <t>2026-01-30 12:30:22</t>
  </si>
  <si>
    <t>Erica Donald Huruma</t>
  </si>
  <si>
    <t>2025-12-30 04:34:55</t>
  </si>
  <si>
    <t>2026-01-10 14:40:50</t>
  </si>
  <si>
    <t>Evin Ethan Enock</t>
  </si>
  <si>
    <t>2025-12-30 13:31:05</t>
  </si>
  <si>
    <t>2026-01-10 14:29:17</t>
  </si>
  <si>
    <t>Elias N Kafashe</t>
  </si>
  <si>
    <t>72 years</t>
  </si>
  <si>
    <t>2026-01-01 15:38:03</t>
  </si>
  <si>
    <t>2026-01-13 10:13:39</t>
  </si>
  <si>
    <t>Asia Juma Kagoma</t>
  </si>
  <si>
    <t>2026-01-04 07:58:23</t>
  </si>
  <si>
    <t>2026-01-15 14:26:56</t>
  </si>
  <si>
    <t>Mwanne Salum Mwami</t>
  </si>
  <si>
    <t>2026-01-06 21:04:55</t>
  </si>
  <si>
    <t>2026-01-18 16:20:41</t>
  </si>
  <si>
    <t>Paulina Ammani Daudi</t>
  </si>
  <si>
    <t>2026-01-12 00:10:03</t>
  </si>
  <si>
    <t>2026-01-23 15:56:59</t>
  </si>
  <si>
    <t>Nashiru  Hamisi Sadiki</t>
  </si>
  <si>
    <t>2025-12-24 05:49:42</t>
  </si>
  <si>
    <t>2026-01-03 18:37:10</t>
  </si>
  <si>
    <t>Asia Yamungu Mubili</t>
  </si>
  <si>
    <t>85 years</t>
  </si>
  <si>
    <t>2026-01-02 17:20:56</t>
  </si>
  <si>
    <t>2026-01-13 10:14:25</t>
  </si>
  <si>
    <t>Amisa Jumanne Jafari</t>
  </si>
  <si>
    <t>Fadhili Jumanne Iddy</t>
  </si>
  <si>
    <t>2026-01-02 23:38:12</t>
  </si>
  <si>
    <t>2026-01-13 13:15:24</t>
  </si>
  <si>
    <t>Mwita Mataro</t>
  </si>
  <si>
    <t>Baby Of Situmai Juma Mganza</t>
  </si>
  <si>
    <t>2026-01-13 17:33:56</t>
  </si>
  <si>
    <t>2026-01-23 17:35:50</t>
  </si>
  <si>
    <t>Zurfa S Makula</t>
  </si>
  <si>
    <t>63 years</t>
  </si>
  <si>
    <t>2026-01-18 21:56:03</t>
  </si>
  <si>
    <t>2026-01-29 14:33:35</t>
  </si>
  <si>
    <t>Baby Of Vaileth Meshaki Paul</t>
  </si>
  <si>
    <t>2026-01-19 00:45:02</t>
  </si>
  <si>
    <t>2026-01-29 10:32:00</t>
  </si>
  <si>
    <t>Yovina Nkeza Hana</t>
  </si>
  <si>
    <t>69 years</t>
  </si>
  <si>
    <t>2026-01-19 21:29:40</t>
  </si>
  <si>
    <t>2026-01-30 12:44:49</t>
  </si>
  <si>
    <t>Sophia Lutabila Ntabwa</t>
  </si>
  <si>
    <t>2025-12-24 15:37:23</t>
  </si>
  <si>
    <t>2026-01-02 17:55:09</t>
  </si>
  <si>
    <t>Dickson Ernest Batuvya</t>
  </si>
  <si>
    <t>2025-12-25 17:40:22</t>
  </si>
  <si>
    <t>2026-01-04 16:35:19</t>
  </si>
  <si>
    <t>Anna Emmanuel Emmanuel</t>
  </si>
  <si>
    <t>2026-01-03 20:05:14</t>
  </si>
  <si>
    <t>2026-01-13 18:05:01</t>
  </si>
  <si>
    <t>Zainabu Bilali Oled</t>
  </si>
  <si>
    <t>2026-01-03 22:09:33</t>
  </si>
  <si>
    <t>2026-01-13 12:38:28</t>
  </si>
  <si>
    <t>Rehema Evarist Kayanda</t>
  </si>
  <si>
    <t>2026-01-04 13:50:15</t>
  </si>
  <si>
    <t>2026-01-13 14:09:32</t>
  </si>
  <si>
    <t>Mashaka  Buruda Masalu</t>
  </si>
  <si>
    <t>2026-01-04 20:28:40</t>
  </si>
  <si>
    <t>2026-01-14 10:59:40</t>
  </si>
  <si>
    <t>Lawama Haruna Saidi</t>
  </si>
  <si>
    <t>2026-01-06 13:54:46</t>
  </si>
  <si>
    <t>2026-01-15 14:46:07</t>
  </si>
  <si>
    <t>Zuwena  Yusuph Mvunye</t>
  </si>
  <si>
    <t>2026-01-07 17:59:32</t>
  </si>
  <si>
    <t>2026-01-17 14:52:49</t>
  </si>
  <si>
    <t>Rebecca Peter Ntibagiligwa</t>
  </si>
  <si>
    <t>62 years</t>
  </si>
  <si>
    <t>2026-01-11 12:40:29</t>
  </si>
  <si>
    <t>2026-01-20 12:53:53</t>
  </si>
  <si>
    <t xml:space="preserve">Feyzullaah Yasin  Hussein </t>
  </si>
  <si>
    <t>2026-01-15 16:12:43</t>
  </si>
  <si>
    <t>2026-01-24 17:06:55</t>
  </si>
  <si>
    <t>Julieta Paulo Bugalu</t>
  </si>
  <si>
    <t>2026-01-16 02:05:56</t>
  </si>
  <si>
    <t>2026-01-25 14:11:53</t>
  </si>
  <si>
    <t>2026-01-18 19:12:55</t>
  </si>
  <si>
    <t>2026-01-28 14:04:07</t>
  </si>
  <si>
    <t>Elias Minani Mboneye</t>
  </si>
  <si>
    <t>77 years</t>
  </si>
  <si>
    <t>2026-01-19 14:48:48</t>
  </si>
  <si>
    <t>2026-01-29 12:47:17</t>
  </si>
  <si>
    <t>Nasra Juma  Mohammed</t>
  </si>
  <si>
    <t>Wrightmary Elton Msindai</t>
  </si>
  <si>
    <t>Kagoma Kintali Daniel</t>
  </si>
  <si>
    <t>73 years</t>
  </si>
  <si>
    <t>2026-01-20 14:01:22</t>
  </si>
  <si>
    <t>2026-01-29 16:51:27</t>
  </si>
  <si>
    <t>Boniface Batromeo Kilangi</t>
  </si>
  <si>
    <t>Marunde Masenya Dotto</t>
  </si>
  <si>
    <t>2026-01-20 19:37:11</t>
  </si>
  <si>
    <t>2026-01-30 13:53:58</t>
  </si>
  <si>
    <t>Anifa Yusuph Ramadhani</t>
  </si>
  <si>
    <t>Maisala Hemedy Said</t>
  </si>
  <si>
    <t>2025-12-24 15:55:38</t>
  </si>
  <si>
    <t>2026-01-02 09:40:54</t>
  </si>
  <si>
    <t>B/o Maisala 1 Hemedi Said</t>
  </si>
  <si>
    <t>2025-12-24 21:13:05</t>
  </si>
  <si>
    <t>2026-01-02 09:34:11</t>
  </si>
  <si>
    <t>Ramadhan Maulidi Mwehero</t>
  </si>
  <si>
    <t>70 years</t>
  </si>
  <si>
    <t>2025-12-25 14:48:22</t>
  </si>
  <si>
    <t>2026-01-02 17:30:59</t>
  </si>
  <si>
    <t>Imani Morisi Lucasi</t>
  </si>
  <si>
    <t>2025-12-29 15:13:06</t>
  </si>
  <si>
    <t>2026-01-06 15:21:55</t>
  </si>
  <si>
    <t>Stephen Samwel Buguzo</t>
  </si>
  <si>
    <t>2025-12-30 12:59:04</t>
  </si>
  <si>
    <t>2026-01-08 11:56:44</t>
  </si>
  <si>
    <t>Salima Shabani Mfundiko</t>
  </si>
  <si>
    <t>2025-12-31 17:01:40</t>
  </si>
  <si>
    <t>2026-01-08 17:51:47</t>
  </si>
  <si>
    <t>Raheli Samweli Kiyogoma</t>
  </si>
  <si>
    <t>2026-01-02 17:27:28</t>
  </si>
  <si>
    <t>2026-01-11 16:39:50</t>
  </si>
  <si>
    <t>Baby  Robert Samwel</t>
  </si>
  <si>
    <t>2026-01-04 01:31:28</t>
  </si>
  <si>
    <t>2026-01-12 12:14:25</t>
  </si>
  <si>
    <t xml:space="preserve">Mussa  Rashid  Machuza  </t>
  </si>
  <si>
    <t>12 years</t>
  </si>
  <si>
    <t>2026-01-04 20:37:35</t>
  </si>
  <si>
    <t>2026-01-13 10:05:10</t>
  </si>
  <si>
    <t>Baraka Gideon Lingowe</t>
  </si>
  <si>
    <t>Alex Medard Kamole</t>
  </si>
  <si>
    <t>2026-01-05 15:25:20</t>
  </si>
  <si>
    <t>2026-01-13 17:27:01</t>
  </si>
  <si>
    <t xml:space="preserve">Japhet Gregory Moses Kapyela </t>
  </si>
  <si>
    <t>Paulina Moshi Bukuru</t>
  </si>
  <si>
    <t>2026-01-08 18:33:56</t>
  </si>
  <si>
    <t>2026-01-17 16:24:07</t>
  </si>
  <si>
    <t>Leosia Bitega Wandongoye</t>
  </si>
  <si>
    <t>2026-01-11 15:36:12</t>
  </si>
  <si>
    <t>2026-01-20 12:16:56</t>
  </si>
  <si>
    <t>Bakuza Haji Kasogoto</t>
  </si>
  <si>
    <t>2026-01-13 09:44:07</t>
  </si>
  <si>
    <t>2026-01-21 10:40:46</t>
  </si>
  <si>
    <t>Felix Daud</t>
  </si>
  <si>
    <t>Roza Shabani Matongo</t>
  </si>
  <si>
    <t>65 years</t>
  </si>
  <si>
    <t>2026-01-14 18:23:00</t>
  </si>
  <si>
    <t>2026-01-23 16:40:21</t>
  </si>
  <si>
    <t>Silva Raphael Siame</t>
  </si>
  <si>
    <t>Neema Joel Sadock</t>
  </si>
  <si>
    <t>2026-01-15 01:17:32</t>
  </si>
  <si>
    <t>2026-01-23 12:23:35</t>
  </si>
  <si>
    <t xml:space="preserve">Gifness Peter </t>
  </si>
  <si>
    <t xml:space="preserve">Nelbroad  Jastine  Bupamba </t>
  </si>
  <si>
    <t>2026-01-15 18:32:36</t>
  </si>
  <si>
    <t>2026-01-24 15:47:34</t>
  </si>
  <si>
    <t>Clesensia Sililo Matakala</t>
  </si>
  <si>
    <t>2026-01-18 21:57:08</t>
  </si>
  <si>
    <t>2026-01-27 14:04:31</t>
  </si>
  <si>
    <t>Chausiku Jumanne Kasaba</t>
  </si>
  <si>
    <t>2026-01-19 16:51:36</t>
  </si>
  <si>
    <t>2026-01-28 08:52:45</t>
  </si>
  <si>
    <t>Rebeka  Emmanuel Ng'wandu</t>
  </si>
  <si>
    <t>Babyof Joyce Faida Sinza</t>
  </si>
  <si>
    <t>2026-01-20 23:46:37</t>
  </si>
  <si>
    <t>2026-01-29 16:58:36</t>
  </si>
  <si>
    <t>Deogratius Leonard  Mdyanko</t>
  </si>
  <si>
    <t>Mussa Hamis Feruzi</t>
  </si>
  <si>
    <t>2026-01-21 19:44:24</t>
  </si>
  <si>
    <t>2026-01-30 11:59:23</t>
  </si>
  <si>
    <t>Joseph Kibugu Mashanya</t>
  </si>
  <si>
    <t>83 years</t>
  </si>
  <si>
    <t>2026-01-23 01:54:27</t>
  </si>
  <si>
    <t>2026-01-31 17:41:37</t>
  </si>
  <si>
    <t>Petro Mawazo Kanoni</t>
  </si>
  <si>
    <t>Demza Wilberd Wilberd</t>
  </si>
  <si>
    <t>2025-12-27 16:02:20</t>
  </si>
  <si>
    <t>2026-01-04 09:41:01</t>
  </si>
  <si>
    <t>Ester Bosco Kiza</t>
  </si>
  <si>
    <t>2025-12-27 17:35:07</t>
  </si>
  <si>
    <t>2026-01-03 19:17:03</t>
  </si>
  <si>
    <t>Mariam Abdulkarim Mponda</t>
  </si>
  <si>
    <t>Mwanahamis Mohamed Dawa</t>
  </si>
  <si>
    <t>2025-12-28 14:04:28</t>
  </si>
  <si>
    <t>2026-01-04 14:18:14</t>
  </si>
  <si>
    <t xml:space="preserve">Theresia     Bernadini </t>
  </si>
  <si>
    <t>Amos Ibrahimu Katamba</t>
  </si>
  <si>
    <t>92 years</t>
  </si>
  <si>
    <t>2025-12-29 02:34:27</t>
  </si>
  <si>
    <t>2026-01-05 13:22:17</t>
  </si>
  <si>
    <t>Joseph K Mahangila</t>
  </si>
  <si>
    <t>Martha Seti Lupula</t>
  </si>
  <si>
    <t>2025-12-31 10:36:23</t>
  </si>
  <si>
    <t>2026-01-07 18:05:21</t>
  </si>
  <si>
    <t xml:space="preserve">Samweli  Makunza  Mabina </t>
  </si>
  <si>
    <t>Pius Gabriel Karemi</t>
  </si>
  <si>
    <t>2026-01-03 01:29:24</t>
  </si>
  <si>
    <t>2026-01-10 16:14:37</t>
  </si>
  <si>
    <t>Enock Ismail Balela</t>
  </si>
  <si>
    <t>Chris Kedmoni Sanifu</t>
  </si>
  <si>
    <t>2026-01-03 02:42:50</t>
  </si>
  <si>
    <t>2026-01-10 16:32:33</t>
  </si>
  <si>
    <t>Evelina Exavery Kehegwa</t>
  </si>
  <si>
    <t>2026-01-05 10:51:52</t>
  </si>
  <si>
    <t>2026-01-12 14:16:32</t>
  </si>
  <si>
    <t>Salim Japheti Makusanya</t>
  </si>
  <si>
    <t>2026-01-05 13:57:56</t>
  </si>
  <si>
    <t>2026-01-13 07:51:51</t>
  </si>
  <si>
    <t>Hawa  Omari Mkebure</t>
  </si>
  <si>
    <t>2026-01-05 19:42:36</t>
  </si>
  <si>
    <t>2026-01-13 12:02:38</t>
  </si>
  <si>
    <t>Baby Of Hawa Omari Mkebure</t>
  </si>
  <si>
    <t>2026-01-05 21:45:25</t>
  </si>
  <si>
    <t>2026-01-13 12:03:02</t>
  </si>
  <si>
    <t>Ashura Muhamed  Selemani</t>
  </si>
  <si>
    <t>2026-01-08 00:35:31</t>
  </si>
  <si>
    <t>2026-01-15 14:29:18</t>
  </si>
  <si>
    <t>Brayson Eliakim Mirnga</t>
  </si>
  <si>
    <t>2026-01-10 05:10:43</t>
  </si>
  <si>
    <t>2026-01-17 16:38:58</t>
  </si>
  <si>
    <t>Prisca Onesmo Justine</t>
  </si>
  <si>
    <t>2026-01-10 16:59:40</t>
  </si>
  <si>
    <t>2026-01-18 08:47:22</t>
  </si>
  <si>
    <t>Rahel Ibrahim Walwa</t>
  </si>
  <si>
    <t>2026-01-13 18:09:17</t>
  </si>
  <si>
    <t>2026-01-21 13:41:07</t>
  </si>
  <si>
    <t>Baby Of Rahel Ibrahim Wagwa</t>
  </si>
  <si>
    <t>2026-01-14 11:50:47</t>
  </si>
  <si>
    <t>2026-01-21 13:07:24</t>
  </si>
  <si>
    <t>Hamis Seleman Dunia</t>
  </si>
  <si>
    <t>2026-01-15 15:54:59</t>
  </si>
  <si>
    <t>2026-01-23 12:27:51</t>
  </si>
  <si>
    <t>Martha Batista Mhonda</t>
  </si>
  <si>
    <t>Sisango Ibrahim Mrisho</t>
  </si>
  <si>
    <t>2026-01-16 23:47:21</t>
  </si>
  <si>
    <t>2026-01-24 14:43:41</t>
  </si>
  <si>
    <t>Mahelo Tarmo Mahelo</t>
  </si>
  <si>
    <t>Victoria Hamisi Kashindi</t>
  </si>
  <si>
    <t>2026-01-17 01:52:59</t>
  </si>
  <si>
    <t>2026-01-24 12:12:56</t>
  </si>
  <si>
    <t>Blesla Martine Raymond</t>
  </si>
  <si>
    <t>Janeth Iberatus Choma</t>
  </si>
  <si>
    <t>2026-01-18 10:00:12</t>
  </si>
  <si>
    <t>2026-01-25 17:34:53</t>
  </si>
  <si>
    <t>1 Baby Of Janeth Liberatus Choma</t>
  </si>
  <si>
    <t>2026-01-18 16:51:26</t>
  </si>
  <si>
    <t>2026-01-25 17:34:34</t>
  </si>
  <si>
    <t>2  Baby Of Janeth Liberatus Choma</t>
  </si>
  <si>
    <t>2026-01-18 16:54:32</t>
  </si>
  <si>
    <t>2026-01-25 17:33:59</t>
  </si>
  <si>
    <t>Mathayo Rafael Zogoye</t>
  </si>
  <si>
    <t>2026-01-19 12:27:59</t>
  </si>
  <si>
    <t>2026-01-26 15:46:43</t>
  </si>
  <si>
    <t>Maua Haruna Adam</t>
  </si>
  <si>
    <t>2026-01-19 18:36:21</t>
  </si>
  <si>
    <t>2026-01-27 09:50:26</t>
  </si>
  <si>
    <t>Viviane Samwel Kayango</t>
  </si>
  <si>
    <t>2026-01-21 13:25:11</t>
  </si>
  <si>
    <t>2026-01-28 15:01:13</t>
  </si>
  <si>
    <t xml:space="preserve">Jane  Emmanuel  Sode </t>
  </si>
  <si>
    <t>2026-01-22 15:07:11</t>
  </si>
  <si>
    <t>2026-01-30 11:20:50</t>
  </si>
  <si>
    <t>Samweli Elikana Kayuli</t>
  </si>
  <si>
    <t>Aziza Abdallah Gwegu</t>
  </si>
  <si>
    <t>57 years</t>
  </si>
  <si>
    <t>2026-01-22 16:28:38</t>
  </si>
  <si>
    <t>2026-01-30 08:51:37</t>
  </si>
  <si>
    <t>Christina Marw Waryoba</t>
  </si>
  <si>
    <t>2026-01-24 03:22:20</t>
  </si>
  <si>
    <t>2026-01-31 14:39:30</t>
  </si>
  <si>
    <t>Rosa Manebwa Yakobo</t>
  </si>
  <si>
    <t>Baby Of Ashura Sungura Shabani</t>
  </si>
  <si>
    <t>2025-12-27 09:28:50</t>
  </si>
  <si>
    <t>2026-01-02 16:57:02</t>
  </si>
  <si>
    <t>Mohamed Juma Ahmad</t>
  </si>
  <si>
    <t>2025-12-27 14:25:50</t>
  </si>
  <si>
    <t>2026-01-02 18:15:35</t>
  </si>
  <si>
    <t>2 Baby Of Ester Bosco Kiza</t>
  </si>
  <si>
    <t>2025-12-28 00:00:59</t>
  </si>
  <si>
    <t>2026-01-03 19:19:40</t>
  </si>
  <si>
    <t>1 Baby Of Ester Bosco Kiza</t>
  </si>
  <si>
    <t>2025-12-28 00:10:07</t>
  </si>
  <si>
    <t>2026-01-03 19:17:26</t>
  </si>
  <si>
    <t>Jumanne Athuman Kileko</t>
  </si>
  <si>
    <t>66 years</t>
  </si>
  <si>
    <t>CHF</t>
  </si>
  <si>
    <t>2025-12-28 21:45:16</t>
  </si>
  <si>
    <t>2026-01-04 16:15:18</t>
  </si>
  <si>
    <t>Tabagale Ezekiel  Kabuga</t>
  </si>
  <si>
    <t>2025-12-28 22:43:23</t>
  </si>
  <si>
    <t>2026-01-04 09:21:41</t>
  </si>
  <si>
    <t>Mudi Godi Nyamahanga.</t>
  </si>
  <si>
    <t>Sifa Maxi Landus</t>
  </si>
  <si>
    <t>2025-12-29 13:46:38</t>
  </si>
  <si>
    <t>2026-01-05 13:41:39</t>
  </si>
  <si>
    <t>Issa Hussein Maulid</t>
  </si>
  <si>
    <t>2025-12-30 23:01:16</t>
  </si>
  <si>
    <t>2026-01-06 14:59:26</t>
  </si>
  <si>
    <t>Asinati Nasoro Kwenula</t>
  </si>
  <si>
    <t>2025-12-31 03:07:38</t>
  </si>
  <si>
    <t>2026-01-06 17:25:16</t>
  </si>
  <si>
    <t>Babyoffatuma Makwa Selemani</t>
  </si>
  <si>
    <t>2025-12-31 07:14:08</t>
  </si>
  <si>
    <t>2026-01-06 15:26:39</t>
  </si>
  <si>
    <t>Boaneji Vitus Morice</t>
  </si>
  <si>
    <t>2026-01-02 14:39:20</t>
  </si>
  <si>
    <t>2026-01-09 13:18:05</t>
  </si>
  <si>
    <t>Jeniroza Haruna Kasunzu</t>
  </si>
  <si>
    <t>2026-01-02 20:30:05</t>
  </si>
  <si>
    <t>2026-01-09 17:44:01</t>
  </si>
  <si>
    <t>Maria Gaston Ntibashima</t>
  </si>
  <si>
    <t>2026-01-03 14:53:19</t>
  </si>
  <si>
    <t>2026-01-09 18:13:13</t>
  </si>
  <si>
    <t>Amisa Moshi Panja</t>
  </si>
  <si>
    <t>2026-01-03 21:51:54</t>
  </si>
  <si>
    <t>2026-01-10 16:29:21</t>
  </si>
  <si>
    <t>Babyof Amisa Moshi Panja</t>
  </si>
  <si>
    <t>2026-01-04 14:57:28</t>
  </si>
  <si>
    <t>2026-01-10 16:13:02</t>
  </si>
  <si>
    <t>Precious Boniface Mponya</t>
  </si>
  <si>
    <t>2026-01-05 17:19:37</t>
  </si>
  <si>
    <t>2026-01-12 14:16:10</t>
  </si>
  <si>
    <t>Zuhura Antony Kanyiki</t>
  </si>
  <si>
    <t>80 years</t>
  </si>
  <si>
    <t>2026-01-05 19:08:51</t>
  </si>
  <si>
    <t>2026-01-12 11:02:28</t>
  </si>
  <si>
    <t xml:space="preserve">Wimrod  Ezekiel Ibrahim </t>
  </si>
  <si>
    <t>Nadhili Omary Nadhili</t>
  </si>
  <si>
    <t>2026-01-06 22:13:13</t>
  </si>
  <si>
    <t>2026-01-13 15:25:30</t>
  </si>
  <si>
    <t>Neema Kizenga Shabani</t>
  </si>
  <si>
    <t>2026-01-07 07:29:36</t>
  </si>
  <si>
    <t>2026-01-13 09:14:37</t>
  </si>
  <si>
    <t>2026-01-09 14:43:00</t>
  </si>
  <si>
    <t>2026-01-16 13:14:43</t>
  </si>
  <si>
    <t>Leons Maingu</t>
  </si>
  <si>
    <t>Zabibu Muhamed Hamimu</t>
  </si>
  <si>
    <t>2026-01-09 16:03:49</t>
  </si>
  <si>
    <t>2026-01-15 18:21:25</t>
  </si>
  <si>
    <t>Shedrack Azaeli Shalikubanda</t>
  </si>
  <si>
    <t>2026-01-11 04:20:20</t>
  </si>
  <si>
    <t>2026-01-17 16:55:18</t>
  </si>
  <si>
    <t>Rehema Juma Hayange</t>
  </si>
  <si>
    <t>2026-01-12 14:25:14</t>
  </si>
  <si>
    <t>2026-01-18 16:00:31</t>
  </si>
  <si>
    <t>Ezekiel Juve Fransisi</t>
  </si>
  <si>
    <t>2026-01-12 20:26:18</t>
  </si>
  <si>
    <t>2026-01-19 10:53:31</t>
  </si>
  <si>
    <t>Zabibu Juma Mongwe</t>
  </si>
  <si>
    <t>2026-01-13 10:18:54</t>
  </si>
  <si>
    <t>2026-01-19 14:36:46</t>
  </si>
  <si>
    <t>Dickson Paulo Mambo</t>
  </si>
  <si>
    <t xml:space="preserve">Fatuma Kashindi  Ramadhan </t>
  </si>
  <si>
    <t>2026-01-13 17:16:33</t>
  </si>
  <si>
    <t>2026-01-20 16:00:11</t>
  </si>
  <si>
    <t>Evaline Danniel Fadhili</t>
  </si>
  <si>
    <t>Fatuma Itti Nashoni</t>
  </si>
  <si>
    <t>2026-01-15 10:06:40</t>
  </si>
  <si>
    <t>2026-01-21 14:11:15</t>
  </si>
  <si>
    <t>Rabson T. Bagoka</t>
  </si>
  <si>
    <t>Janeth Michael Magombe</t>
  </si>
  <si>
    <t>49 years</t>
  </si>
  <si>
    <t>2026-01-15 13:11:12</t>
  </si>
  <si>
    <t>2026-01-21 16:28:41</t>
  </si>
  <si>
    <t>Abubakar Focus</t>
  </si>
  <si>
    <t>Salma Hussein Mazanzara</t>
  </si>
  <si>
    <t>2026-01-15 23:00:57</t>
  </si>
  <si>
    <t>2026-01-22 15:21:45</t>
  </si>
  <si>
    <t>Kulwa Amosi Malaka</t>
  </si>
  <si>
    <t>2026-01-16 00:02:52</t>
  </si>
  <si>
    <t>2026-01-22 14:31:26</t>
  </si>
  <si>
    <t>Zainabu Said Juma</t>
  </si>
  <si>
    <t>2026-01-18 12:03:39</t>
  </si>
  <si>
    <t>2026-01-24 18:00:12</t>
  </si>
  <si>
    <t>Julias George Batega</t>
  </si>
  <si>
    <t>2026-01-21 00:39:54</t>
  </si>
  <si>
    <t>2026-01-27 10:09:14</t>
  </si>
  <si>
    <t>Khalfan Mohamed Khalfan</t>
  </si>
  <si>
    <t>2026-01-21 11:28:09</t>
  </si>
  <si>
    <t>2026-01-28 09:22:09</t>
  </si>
  <si>
    <t>Merasiana   Amosi Maliatabu</t>
  </si>
  <si>
    <t>2026-01-22 07:17:02</t>
  </si>
  <si>
    <t>2026-01-28 16:17:07</t>
  </si>
  <si>
    <t>Mwahija Juma Kassim</t>
  </si>
  <si>
    <t>Dina Joseph Mtungilwa</t>
  </si>
  <si>
    <t>2026-01-22 23:05:06</t>
  </si>
  <si>
    <t>2026-01-29 14:29:18</t>
  </si>
  <si>
    <t>Mwavita Kapalata Erasto</t>
  </si>
  <si>
    <t>2026-01-23 18:30:13</t>
  </si>
  <si>
    <t>2026-01-30 17:26:49</t>
  </si>
  <si>
    <t>Khussein  Zubeli Kabea</t>
  </si>
  <si>
    <t>2026-01-23 22:14:58</t>
  </si>
  <si>
    <t>2026-01-30 14:54:17</t>
  </si>
  <si>
    <t>Eva Frank Massawe</t>
  </si>
  <si>
    <t>Baby Of Mwavita Kapalata Erasto</t>
  </si>
  <si>
    <t>1 months</t>
  </si>
  <si>
    <t>2026-01-24 08:12:05</t>
  </si>
  <si>
    <t>2026-01-30 17:27:17</t>
  </si>
  <si>
    <t>2026-01-24 20:52:16</t>
  </si>
  <si>
    <t>2026-01-31 17:32:35</t>
  </si>
  <si>
    <t>Feruzi Mukua Feruzi</t>
  </si>
  <si>
    <t>2025-12-28 15:51:03</t>
  </si>
  <si>
    <t>2026-01-02 16:02:12</t>
  </si>
  <si>
    <t>Khadija O Mayanga</t>
  </si>
  <si>
    <t>2025-12-30 11:20:41</t>
  </si>
  <si>
    <t>2026-01-04 13:27:23</t>
  </si>
  <si>
    <t>Baby Of Johari Ramadhan Hussein</t>
  </si>
  <si>
    <t>2025-12-31 12:47:33</t>
  </si>
  <si>
    <t>2026-01-05 17:22:35</t>
  </si>
  <si>
    <t>Mwanaisha  Omary  Bonde</t>
  </si>
  <si>
    <t>2025-12-31 17:04:45</t>
  </si>
  <si>
    <t>2026-01-06 13:03:23</t>
  </si>
  <si>
    <t>Nathal Richard Makona</t>
  </si>
  <si>
    <t>Laulent John Hamiss</t>
  </si>
  <si>
    <t>2026-01-01 05:02:17</t>
  </si>
  <si>
    <t>2026-01-06 13:21:20</t>
  </si>
  <si>
    <t>Yudeth Elisha Mbata</t>
  </si>
  <si>
    <t>2026-01-02 09:08:54</t>
  </si>
  <si>
    <t>2026-01-07 14:27:40</t>
  </si>
  <si>
    <t>Mahamudu Lusamwa Ngelula</t>
  </si>
  <si>
    <t>81 years</t>
  </si>
  <si>
    <t>2026-01-02 22:47:17</t>
  </si>
  <si>
    <t>2026-01-08 15:40:24</t>
  </si>
  <si>
    <t>Konsolata Yohana Kiyoya</t>
  </si>
  <si>
    <t>2026-01-03 03:34:26</t>
  </si>
  <si>
    <t>2026-01-08 18:11:00</t>
  </si>
  <si>
    <t>Zabibu Shabani Iddy</t>
  </si>
  <si>
    <t>2026-01-03 06:43:33</t>
  </si>
  <si>
    <t>2026-01-08 17:11:03</t>
  </si>
  <si>
    <t>Mikidadi Hassan  Kifumbe</t>
  </si>
  <si>
    <t>2026-01-04 03:14:23</t>
  </si>
  <si>
    <t>2026-01-09 15:57:03</t>
  </si>
  <si>
    <t>Mathayo  Josephath Tubailo</t>
  </si>
  <si>
    <t>2026-01-04 23:46:42</t>
  </si>
  <si>
    <t>2026-01-10 13:47:29</t>
  </si>
  <si>
    <t>Zacharia C Kimizye</t>
  </si>
  <si>
    <t>2026-01-06 16:17:19</t>
  </si>
  <si>
    <t>2026-01-12 14:26:02</t>
  </si>
  <si>
    <t xml:space="preserve">Witness Isaack Mgaya </t>
  </si>
  <si>
    <t>Dickison Robert Kayanda</t>
  </si>
  <si>
    <t>9 years</t>
  </si>
  <si>
    <t>2026-01-06 18:32:46</t>
  </si>
  <si>
    <t>2026-01-12 16:44:37</t>
  </si>
  <si>
    <t>Baby Ofpaskazia Basila Basila</t>
  </si>
  <si>
    <t>2026-01-06 19:06:21</t>
  </si>
  <si>
    <t>2026-01-12 11:53:23</t>
  </si>
  <si>
    <t>Tolia Y Mbuba</t>
  </si>
  <si>
    <t>2026-01-06 22:23:46</t>
  </si>
  <si>
    <t>2026-01-12 12:17:02</t>
  </si>
  <si>
    <t xml:space="preserve">Castus Renatus  Alfred </t>
  </si>
  <si>
    <t>Carolina Marius Liuma</t>
  </si>
  <si>
    <t>2026-01-06 22:45:34</t>
  </si>
  <si>
    <t>2026-01-12 12:14:44</t>
  </si>
  <si>
    <t>Mnana  Amani Mahamdu</t>
  </si>
  <si>
    <t>2026-01-07 00:27:30</t>
  </si>
  <si>
    <t>2026-01-12 17:51:54</t>
  </si>
  <si>
    <t>Hamisi Moshi Sokelo</t>
  </si>
  <si>
    <t>2026-01-07 00:58:18</t>
  </si>
  <si>
    <t>2026-01-12 13:55:01</t>
  </si>
  <si>
    <t>Bikolimana Daniford Michael</t>
  </si>
  <si>
    <t>2026-01-08 22:27:52</t>
  </si>
  <si>
    <t>2026-01-14 08:30:34</t>
  </si>
  <si>
    <t>Regina Francinsico Ntundalaye</t>
  </si>
  <si>
    <t>76 years</t>
  </si>
  <si>
    <t>2026-01-09 19:23:25</t>
  </si>
  <si>
    <t>2026-01-15 15:41:12</t>
  </si>
  <si>
    <t>Hawa Kasim Moaoi</t>
  </si>
  <si>
    <t>2026-01-09 21:30:10</t>
  </si>
  <si>
    <t>2026-01-15 10:27:45</t>
  </si>
  <si>
    <t>Zainabu Khatibu Hemedi</t>
  </si>
  <si>
    <t>2026-01-11 05:08:05</t>
  </si>
  <si>
    <t>2026-01-16 16:41:16</t>
  </si>
  <si>
    <t>Rahma  Juma Juma</t>
  </si>
  <si>
    <t>2026-01-12 07:19:47</t>
  </si>
  <si>
    <t>2026-01-17 14:42:21</t>
  </si>
  <si>
    <t>Sakina Mussa Idd</t>
  </si>
  <si>
    <t>2026-01-13 10:32:35</t>
  </si>
  <si>
    <t>2026-01-18 18:46:48</t>
  </si>
  <si>
    <t>Mejason Danford Maliatabu</t>
  </si>
  <si>
    <t>2026-01-13 21:00:34</t>
  </si>
  <si>
    <t>2026-01-19 14:08:46</t>
  </si>
  <si>
    <t>Bertha James Kidaha</t>
  </si>
  <si>
    <t>2026-01-14 06:53:57</t>
  </si>
  <si>
    <t>2026-01-19 13:19:07</t>
  </si>
  <si>
    <t>John Zakaria Runugwe</t>
  </si>
  <si>
    <t>71 years</t>
  </si>
  <si>
    <t>2026-01-14 18:20:46</t>
  </si>
  <si>
    <t>2026-01-20 11:48:36</t>
  </si>
  <si>
    <t>Paul Manyandodi Sospeter</t>
  </si>
  <si>
    <t>Nurdin Erick Edward</t>
  </si>
  <si>
    <t>2026-01-15 15:17:51</t>
  </si>
  <si>
    <t>2026-01-20 18:09:00</t>
  </si>
  <si>
    <t xml:space="preserve">Said  Aman  Lukoma </t>
  </si>
  <si>
    <t>2026-01-15 19:20:52</t>
  </si>
  <si>
    <t>2026-01-21 13:56:47</t>
  </si>
  <si>
    <t>Anna Mabilika Nyanda</t>
  </si>
  <si>
    <t>2026-01-15 21:22:12</t>
  </si>
  <si>
    <t>2026-01-21 15:18:24</t>
  </si>
  <si>
    <t>Osilida Wilbrod Mahulege</t>
  </si>
  <si>
    <t>2026-01-19 20:53:54</t>
  </si>
  <si>
    <t>2026-01-25 11:13:59</t>
  </si>
  <si>
    <t>Lucy Jonas Kasera</t>
  </si>
  <si>
    <t>2026-01-20 12:21:48</t>
  </si>
  <si>
    <t>2026-01-25 15:21:26</t>
  </si>
  <si>
    <t xml:space="preserve"> Lameck Mdengo</t>
  </si>
  <si>
    <t>Zabibu Saidi Misama</t>
  </si>
  <si>
    <t>2026-01-21 14:07:56</t>
  </si>
  <si>
    <t>2026-01-27 09:03:48</t>
  </si>
  <si>
    <t>Frank  Ezrom Karabwe</t>
  </si>
  <si>
    <t>Mosesi Nasibu Nguvumali</t>
  </si>
  <si>
    <t>2026-01-21 23:53:41</t>
  </si>
  <si>
    <t>2026-01-27 17:24:34</t>
  </si>
  <si>
    <t>Furaha Huruma Jumanne</t>
  </si>
  <si>
    <t>2026-01-22 18:06:07</t>
  </si>
  <si>
    <t>2026-01-28 13:42:28</t>
  </si>
  <si>
    <t>Baby Of Lusi  Pangakasi Domiani</t>
  </si>
  <si>
    <t>2026-01-23 14:04:34</t>
  </si>
  <si>
    <t>2026-01-29 08:21:48</t>
  </si>
  <si>
    <t>Hadhili Kassim Said</t>
  </si>
  <si>
    <t>2026-01-23 14:38:11</t>
  </si>
  <si>
    <t>2026-01-29 14:26:32</t>
  </si>
  <si>
    <t>Lucy J Herry</t>
  </si>
  <si>
    <t>2026-01-25 11:43:40</t>
  </si>
  <si>
    <t>2026-01-30 12:41:05</t>
  </si>
  <si>
    <t>Baby Of Anjera Wlliam Minyapi</t>
  </si>
  <si>
    <t>2026-01-25 14:52:40</t>
  </si>
  <si>
    <t>2026-01-30 17:47:38</t>
  </si>
  <si>
    <t>Ally Mwendapole Shabani</t>
  </si>
  <si>
    <t>2026-01-26 01:46:24</t>
  </si>
  <si>
    <t>2026-01-31 17:51:59</t>
  </si>
  <si>
    <t>Zuwena  Emmanuel Kazoya</t>
  </si>
  <si>
    <t>2025-12-28 20:01:28</t>
  </si>
  <si>
    <t>2026-01-02 13:47:43</t>
  </si>
  <si>
    <t>Swaum Johnson Magetha</t>
  </si>
  <si>
    <t>2025-12-28 20:02:19</t>
  </si>
  <si>
    <t>2026-01-02 12:01:52</t>
  </si>
  <si>
    <t>Vesta Enock Kagwiza</t>
  </si>
  <si>
    <t>2025-12-29 11:38:02</t>
  </si>
  <si>
    <t>2026-01-02 16:26:17</t>
  </si>
  <si>
    <t>Asia Juma Ally</t>
  </si>
  <si>
    <t>2025-12-29 19:53:09</t>
  </si>
  <si>
    <t>2026-01-03 19:05:01</t>
  </si>
  <si>
    <t>Robert Munzerele Nyamgenda</t>
  </si>
  <si>
    <t>2025-12-29 22:28:00</t>
  </si>
  <si>
    <t>2026-01-03 17:13:53</t>
  </si>
  <si>
    <t>Esterine Golagoza Shedrack</t>
  </si>
  <si>
    <t>2025-12-30 09:41:55</t>
  </si>
  <si>
    <t>2026-01-03 15:26:46</t>
  </si>
  <si>
    <t>Johari Ramadhani Hussein</t>
  </si>
  <si>
    <t>2025-12-30 11:52:33</t>
  </si>
  <si>
    <t>2026-01-03 16:45:09</t>
  </si>
  <si>
    <t>Maisara Said Mussa</t>
  </si>
  <si>
    <t>2025-12-30 16:29:19</t>
  </si>
  <si>
    <t>2026-01-04 16:13:24</t>
  </si>
  <si>
    <t>Mwavua Mussa Nkoyi</t>
  </si>
  <si>
    <t>2025-12-30 21:42:49</t>
  </si>
  <si>
    <t>2026-01-04 15:31:48</t>
  </si>
  <si>
    <t>Lucia Saidi Idd</t>
  </si>
  <si>
    <t>2025-12-31 07:59:44</t>
  </si>
  <si>
    <t>2026-01-04 15:38:30</t>
  </si>
  <si>
    <t>Zakaria Weston Mwaipula</t>
  </si>
  <si>
    <t>Ibrahim Hamimu Kasonga</t>
  </si>
  <si>
    <t>2025-12-31 14:21:50</t>
  </si>
  <si>
    <t>2026-01-05 14:20:30</t>
  </si>
  <si>
    <t>Baby Of Juliana Eliewah Hassan</t>
  </si>
  <si>
    <t>2026-01-01 01:21:08</t>
  </si>
  <si>
    <t>2026-01-05 18:33:03</t>
  </si>
  <si>
    <t>Rejina Paulo Athumani</t>
  </si>
  <si>
    <t>2026-01-01 15:39:14</t>
  </si>
  <si>
    <t>2026-01-05 17:36:53</t>
  </si>
  <si>
    <t>B/o Anna Filipo     1 Nuhu</t>
  </si>
  <si>
    <t>2026-01-02 10:30:00</t>
  </si>
  <si>
    <t>2026-01-06 13:15:18</t>
  </si>
  <si>
    <t>B/o Anna Filipo Nuhu</t>
  </si>
  <si>
    <t>2026-01-02 10:49:47</t>
  </si>
  <si>
    <t>2026-01-06 13:15:40</t>
  </si>
  <si>
    <t>Fatuma Masudi Mohamed</t>
  </si>
  <si>
    <t>2026-01-02 18:26:22</t>
  </si>
  <si>
    <t>2026-01-07 18:12:59</t>
  </si>
  <si>
    <t>Adriano Jonas Bavuma</t>
  </si>
  <si>
    <t>2026-01-03 00:01:21</t>
  </si>
  <si>
    <t>2026-01-07 10:19:45</t>
  </si>
  <si>
    <t>Tobiasi Tumain Stephano</t>
  </si>
  <si>
    <t>2026-01-03 01:31:59</t>
  </si>
  <si>
    <t>2026-01-07 17:39:12</t>
  </si>
  <si>
    <t>Juma Adam Malilo</t>
  </si>
  <si>
    <t>2026-01-03 06:46:02</t>
  </si>
  <si>
    <t>2026-01-07 16:05:15</t>
  </si>
  <si>
    <t>Ashura Jumanne Nelson</t>
  </si>
  <si>
    <t>2026-01-03 20:53:57</t>
  </si>
  <si>
    <t>2026-01-08 14:51:40</t>
  </si>
  <si>
    <t>Nasri Athuman  Daud</t>
  </si>
  <si>
    <t>2026-01-04 12:45:47</t>
  </si>
  <si>
    <t>2026-01-08 15:02:52</t>
  </si>
  <si>
    <t>Ombeni Ngoma Charly</t>
  </si>
  <si>
    <t>2026-01-04 13:29:25</t>
  </si>
  <si>
    <t>2026-01-08 17:47:52</t>
  </si>
  <si>
    <t>Goodluck B Mlela</t>
  </si>
  <si>
    <t>2026-01-05 13:08:15</t>
  </si>
  <si>
    <t>2026-01-10 11:33:53</t>
  </si>
  <si>
    <t>Lameck Rukobola Yonona</t>
  </si>
  <si>
    <t>75 years</t>
  </si>
  <si>
    <t>2026-01-05 13:26:51</t>
  </si>
  <si>
    <t>2026-01-09 16:46:56</t>
  </si>
  <si>
    <t>Koletha Venant Yohana</t>
  </si>
  <si>
    <t>2026-01-05 14:03:48</t>
  </si>
  <si>
    <t>2026-01-09 14:04:45</t>
  </si>
  <si>
    <t>Fikiri Magesa</t>
  </si>
  <si>
    <t>Hawa Sudi Daud</t>
  </si>
  <si>
    <t>2026-01-05 18:47:31</t>
  </si>
  <si>
    <t>2026-01-10 18:19:55</t>
  </si>
  <si>
    <t>Noelia Nicolaus Kanyaluka</t>
  </si>
  <si>
    <t>2026-01-06 08:59:55</t>
  </si>
  <si>
    <t>2026-01-10 17:16:09</t>
  </si>
  <si>
    <t>1 Baby Of Neema Kizenga Shabani</t>
  </si>
  <si>
    <t>2026-01-07 02:18:54</t>
  </si>
  <si>
    <t>2026-01-11 12:30:37</t>
  </si>
  <si>
    <t>2 Baby Of Neema Kizenga Shabani</t>
  </si>
  <si>
    <t>2026-01-07 02:28:10</t>
  </si>
  <si>
    <t>2026-01-11 12:29:45</t>
  </si>
  <si>
    <t>Merina Emmanuel Charles</t>
  </si>
  <si>
    <t>2026-01-07 17:03:01</t>
  </si>
  <si>
    <t>2026-01-12 13:24:56</t>
  </si>
  <si>
    <t>Ally Issa Rashio</t>
  </si>
  <si>
    <t>2026-01-08 07:59:44</t>
  </si>
  <si>
    <t>2026-01-12 17:44:39</t>
  </si>
  <si>
    <t>Agnes Musohela Nuru</t>
  </si>
  <si>
    <t>2026-01-08 15:14:19</t>
  </si>
  <si>
    <t>2026-01-13 14:03:44</t>
  </si>
  <si>
    <t>Mariam Thomas Mbiaji</t>
  </si>
  <si>
    <t>2026-01-08 17:14:05</t>
  </si>
  <si>
    <t>2026-01-13 13:47:56</t>
  </si>
  <si>
    <t>Babyof Kwimba Musa Maguja</t>
  </si>
  <si>
    <t>2026-01-09 02:18:48</t>
  </si>
  <si>
    <t>2026-01-13 16:14:21</t>
  </si>
  <si>
    <t>Abdulkarim Said Maulid</t>
  </si>
  <si>
    <t>2026-01-10 02:16:37</t>
  </si>
  <si>
    <t>2026-01-14 14:06:22</t>
  </si>
  <si>
    <t>Baby Of Viviani Samweli Kanyango</t>
  </si>
  <si>
    <t>2026-01-10 10:22:52</t>
  </si>
  <si>
    <t>2026-01-14 12:10:22</t>
  </si>
  <si>
    <t>Johari Kassim Thabit</t>
  </si>
  <si>
    <t>2026-01-10 21:10:08</t>
  </si>
  <si>
    <t>2026-01-15 14:20:56</t>
  </si>
  <si>
    <t>Anyesi George Zakaria</t>
  </si>
  <si>
    <t>2026-01-11 16:24:01</t>
  </si>
  <si>
    <t>2026-01-15 18:26:21</t>
  </si>
  <si>
    <t>Baby Of Anyesi G Zakayyo</t>
  </si>
  <si>
    <t>2026-01-11 21:50:41</t>
  </si>
  <si>
    <t>2026-01-16 15:10:57</t>
  </si>
  <si>
    <t>Baruani A Songoro</t>
  </si>
  <si>
    <t>2026-01-13 17:14:55</t>
  </si>
  <si>
    <t>2026-01-18 15:19:00</t>
  </si>
  <si>
    <t>Baby Of Sakina Mussa Iddi</t>
  </si>
  <si>
    <t>2026-01-13 18:25:28</t>
  </si>
  <si>
    <t>2026-01-17 19:08:52</t>
  </si>
  <si>
    <t>Raymond M Mchau</t>
  </si>
  <si>
    <t>2026-01-13 19:21:19</t>
  </si>
  <si>
    <t>2026-01-18 16:47:41</t>
  </si>
  <si>
    <t>Sauli Mnazi Mwilembe</t>
  </si>
  <si>
    <t>2026-01-14 12:02:21</t>
  </si>
  <si>
    <t>2026-01-18 12:58:26</t>
  </si>
  <si>
    <t>Mwajuma Juma Shabani</t>
  </si>
  <si>
    <t>Zainab Deogratias Malilo</t>
  </si>
  <si>
    <t>2026-01-14 16:04:40</t>
  </si>
  <si>
    <t>2026-01-19 12:51:03</t>
  </si>
  <si>
    <t>Prisca Hamenya Joseph</t>
  </si>
  <si>
    <t>2026-01-14 16:46:55</t>
  </si>
  <si>
    <t>2026-01-19 12:19:37</t>
  </si>
  <si>
    <t>Gerald Wilbert Ndembeka</t>
  </si>
  <si>
    <t>2026-01-14 19:20:59</t>
  </si>
  <si>
    <t>2026-01-19 15:12:03</t>
  </si>
  <si>
    <t>Faudhia Abdul Hilali</t>
  </si>
  <si>
    <t>2026-01-14 20:18:39</t>
  </si>
  <si>
    <t>2026-01-19 10:14:41</t>
  </si>
  <si>
    <t>Babyof Zainab Deogratias Malilo</t>
  </si>
  <si>
    <t>2026-01-14 23:12:49</t>
  </si>
  <si>
    <t>2026-01-19 12:52:02</t>
  </si>
  <si>
    <t>Halima Sudi Omary</t>
  </si>
  <si>
    <t>2026-01-15 09:05:39</t>
  </si>
  <si>
    <t>2026-01-20 08:17:24</t>
  </si>
  <si>
    <t>Baby  Of Bertha James Kidaha</t>
  </si>
  <si>
    <t>2026-01-15 12:04:29</t>
  </si>
  <si>
    <t>2026-01-19 13:18:53</t>
  </si>
  <si>
    <t>Babyof Queen Ahmad</t>
  </si>
  <si>
    <t>2026-01-15 12:35:24</t>
  </si>
  <si>
    <t>2026-01-19 16:09:55</t>
  </si>
  <si>
    <t>Aman Hamis Baruti</t>
  </si>
  <si>
    <t>2026-01-15 16:13:11</t>
  </si>
  <si>
    <t>2026-01-20 14:07:56</t>
  </si>
  <si>
    <t xml:space="preserve">Ratifa  Simon  Kigozi </t>
  </si>
  <si>
    <t>2026-01-15 19:06:56</t>
  </si>
  <si>
    <t>2026-01-20 08:22:54</t>
  </si>
  <si>
    <t>Shamsa Issa Galula</t>
  </si>
  <si>
    <t>2026-01-16 13:08:08</t>
  </si>
  <si>
    <t>2026-01-20 15:13:42</t>
  </si>
  <si>
    <t>Issa F Makoa</t>
  </si>
  <si>
    <t>2026-01-16 13:40:04</t>
  </si>
  <si>
    <t>2026-01-20 17:58:00</t>
  </si>
  <si>
    <t>Jenifa Wilson Yohana</t>
  </si>
  <si>
    <t>2026-01-17 09:16:36</t>
  </si>
  <si>
    <t>2026-01-21 17:14:25</t>
  </si>
  <si>
    <t>Aisha Mohamed Athuman</t>
  </si>
  <si>
    <t>2026-01-17 14:18:11</t>
  </si>
  <si>
    <t>2026-01-21 15:32:06</t>
  </si>
  <si>
    <t>Thabit Jumanne Rashid</t>
  </si>
  <si>
    <t>2026-01-17 15:15:20</t>
  </si>
  <si>
    <t>2026-01-21 16:20:34</t>
  </si>
  <si>
    <t>Tabu B Self</t>
  </si>
  <si>
    <t>2026-01-17 21:19:15</t>
  </si>
  <si>
    <t>2026-01-22 15:56:44</t>
  </si>
  <si>
    <t>Second Baby Of Jenipher Wilson Yohana</t>
  </si>
  <si>
    <t>2026-01-19 11:43:41</t>
  </si>
  <si>
    <t>2026-01-23 14:55:24</t>
  </si>
  <si>
    <t>First Baby Of Jenipher Wilson Yohana</t>
  </si>
  <si>
    <t>2026-01-19 11:44:06</t>
  </si>
  <si>
    <t>2026-01-23 14:50:52</t>
  </si>
  <si>
    <t>Abeli Gabriel Dangwa</t>
  </si>
  <si>
    <t>2026-01-19 14:44:39</t>
  </si>
  <si>
    <t>2026-01-23 15:34:35</t>
  </si>
  <si>
    <t>Jailosi Efraimu Msafiri</t>
  </si>
  <si>
    <t>Nusra Ibrahim Vinje</t>
  </si>
  <si>
    <t>2026-01-19 15:17:47</t>
  </si>
  <si>
    <t>2026-01-23 18:30:52</t>
  </si>
  <si>
    <t>Labani Mathayo Malabe</t>
  </si>
  <si>
    <t>2026-01-19 21:03:33</t>
  </si>
  <si>
    <t>2026-01-24 17:23:41</t>
  </si>
  <si>
    <t>Josephina James Elias</t>
  </si>
  <si>
    <t>2026-01-20 00:25:49</t>
  </si>
  <si>
    <t>2026-01-24 14:56:30</t>
  </si>
  <si>
    <t>Joyce Faida Sinzagi</t>
  </si>
  <si>
    <t>2026-01-20 17:22:13</t>
  </si>
  <si>
    <t>2026-01-25 08:06:52</t>
  </si>
  <si>
    <t xml:space="preserve">Osilida  Ruben  Lima </t>
  </si>
  <si>
    <t>2026-01-20 18:14:40</t>
  </si>
  <si>
    <t>2026-01-25 12:40:11</t>
  </si>
  <si>
    <t>Valelia Venas Mshingo</t>
  </si>
  <si>
    <t>2026-01-20 22:49:53</t>
  </si>
  <si>
    <t>2026-01-25 18:18:34</t>
  </si>
  <si>
    <t>Zainabu Ramadhani Ramadhani</t>
  </si>
  <si>
    <t>2026-01-21 03:28:21</t>
  </si>
  <si>
    <t>2026-01-25 17:27:15</t>
  </si>
  <si>
    <t>Amosi Elisha Amoni</t>
  </si>
  <si>
    <t>2026-01-21 15:00:55</t>
  </si>
  <si>
    <t>2026-01-25 18:11:36</t>
  </si>
  <si>
    <t>Rahma Omary Issa</t>
  </si>
  <si>
    <t>2026-01-22 00:12:19</t>
  </si>
  <si>
    <t>2026-01-26 08:22:13</t>
  </si>
  <si>
    <t>Devotha P Mallya</t>
  </si>
  <si>
    <t>2026-01-22 09:56:33</t>
  </si>
  <si>
    <t>2026-01-26 13:26:19</t>
  </si>
  <si>
    <t xml:space="preserve">Laurent  Adolfu  Hokazi </t>
  </si>
  <si>
    <t>Tausi Kayagwa Kachina</t>
  </si>
  <si>
    <t>116 years</t>
  </si>
  <si>
    <t>2026-01-22 13:49:05</t>
  </si>
  <si>
    <t>2026-01-26 14:29:20</t>
  </si>
  <si>
    <t>Danieli Lukula Toyi</t>
  </si>
  <si>
    <t>2026-01-22 19:11:59</t>
  </si>
  <si>
    <t>2026-01-27 11:07:04</t>
  </si>
  <si>
    <t>Terezia Marko Minani</t>
  </si>
  <si>
    <t>2026-01-22 23:24:01</t>
  </si>
  <si>
    <t>2026-01-27 13:54:26</t>
  </si>
  <si>
    <t>Mariam Baraza Alfan</t>
  </si>
  <si>
    <t>2026-01-23 09:24:34</t>
  </si>
  <si>
    <t>2026-01-27 11:24:05</t>
  </si>
  <si>
    <t>Alex Mabula Jonijo</t>
  </si>
  <si>
    <t>2026-01-23 22:15:42</t>
  </si>
  <si>
    <t>2026-01-28 15:54:52</t>
  </si>
  <si>
    <t>Jefta Kefasoni James</t>
  </si>
  <si>
    <t>2026-01-23 22:18:32</t>
  </si>
  <si>
    <t>2026-01-28 18:01:08</t>
  </si>
  <si>
    <t>Baby Of Christina Marwa Wariyoba</t>
  </si>
  <si>
    <t>2026-01-24 07:57:08</t>
  </si>
  <si>
    <t>2026-01-28 12:40:22</t>
  </si>
  <si>
    <t>Jackline Humphrey Mpembeni</t>
  </si>
  <si>
    <t>2026-01-24 12:28:28</t>
  </si>
  <si>
    <t>2026-01-28 16:02:43</t>
  </si>
  <si>
    <t>Isaack Luhamba</t>
  </si>
  <si>
    <t>Hadija S Mkandama</t>
  </si>
  <si>
    <t>67 years</t>
  </si>
  <si>
    <t>2026-01-24 15:12:45</t>
  </si>
  <si>
    <t>2026-01-29 12:59:23</t>
  </si>
  <si>
    <t>Ngayane Maguha</t>
  </si>
  <si>
    <t>Hairath Mbaruku Omary</t>
  </si>
  <si>
    <t>2026-01-24 22:38:32</t>
  </si>
  <si>
    <t>2026-01-29 15:48:36</t>
  </si>
  <si>
    <t>Jamila Sadi Walidi</t>
  </si>
  <si>
    <t>2026-01-25 03:02:55</t>
  </si>
  <si>
    <t>2026-01-29 08:42:57</t>
  </si>
  <si>
    <t>Jefta Joseph Shimikilo</t>
  </si>
  <si>
    <t>2026-01-25 15:13:06</t>
  </si>
  <si>
    <t>2026-01-30 11:38:56</t>
  </si>
  <si>
    <t>Madina Haruna Chalesi</t>
  </si>
  <si>
    <t>2026-01-26 07:20:35</t>
  </si>
  <si>
    <t>2026-01-30 15:09:25</t>
  </si>
  <si>
    <t>Elesi Juma Mbwiliza</t>
  </si>
  <si>
    <t>2026-01-27 11:57:13</t>
  </si>
  <si>
    <t>2026-01-31 17:01:00</t>
  </si>
  <si>
    <t>Baby Of Sophia Lutabili Atabwa</t>
  </si>
  <si>
    <t>2025-12-29 19:03:50</t>
  </si>
  <si>
    <t>2026-01-02 18:48:58</t>
  </si>
  <si>
    <t>Fatuma Makwe Seleman</t>
  </si>
  <si>
    <t>2025-12-30 09:29:32</t>
  </si>
  <si>
    <t>2026-01-02 17:19:10</t>
  </si>
  <si>
    <t>Hamida  Yasini Mahawa</t>
  </si>
  <si>
    <t>2025-12-30 11:06:41</t>
  </si>
  <si>
    <t>2026-01-02 19:09:46</t>
  </si>
  <si>
    <t>B/o Sawaum  J  Magetha</t>
  </si>
  <si>
    <t>2025-12-30 12:52:57</t>
  </si>
  <si>
    <t>2026-01-02 16:07:01</t>
  </si>
  <si>
    <t>Maria John Lugusi</t>
  </si>
  <si>
    <t>2025-12-30 16:59:06</t>
  </si>
  <si>
    <t>2026-01-03 08:11:13</t>
  </si>
  <si>
    <t>Skitu Jumanne Mussa</t>
  </si>
  <si>
    <t>2025-12-31 20:59:55</t>
  </si>
  <si>
    <t>2026-01-04 12:45:12</t>
  </si>
  <si>
    <t xml:space="preserve">Anjelina Cretus Benard </t>
  </si>
  <si>
    <t>Anitha Sostenes Misago</t>
  </si>
  <si>
    <t>2026-01-01 19:34:30</t>
  </si>
  <si>
    <t>2026-01-05 14:26:20</t>
  </si>
  <si>
    <t>Simoni Amosi Kisula</t>
  </si>
  <si>
    <t>2026-01-01 22:58:29</t>
  </si>
  <si>
    <t>2026-01-05 17:15:21</t>
  </si>
  <si>
    <t>Fatuma M Mwaiponya</t>
  </si>
  <si>
    <t>2026-01-02 03:49:03</t>
  </si>
  <si>
    <t>2026-01-05 14:02:09</t>
  </si>
  <si>
    <t>B/o Zuhura  Amri Rashid</t>
  </si>
  <si>
    <t>2026-01-02 17:16:21</t>
  </si>
  <si>
    <t>2026-01-06 09:28:42</t>
  </si>
  <si>
    <t>Gradness Fedrick Lameck</t>
  </si>
  <si>
    <t>2026-01-02 22:13:19</t>
  </si>
  <si>
    <t>2026-01-06 16:55:42</t>
  </si>
  <si>
    <t>Yasri Muhamedi Amrani</t>
  </si>
  <si>
    <t>2026-01-03 01:22:51</t>
  </si>
  <si>
    <t>2026-01-06 13:57:58</t>
  </si>
  <si>
    <t>Agness Biseko Eliasi</t>
  </si>
  <si>
    <t>2026-01-03 13:11:40</t>
  </si>
  <si>
    <t>2026-01-07 11:01:32</t>
  </si>
  <si>
    <t>Ntabi Sadiki Lubondo</t>
  </si>
  <si>
    <t>2026-01-03 14:19:53</t>
  </si>
  <si>
    <t>2026-01-07 09:30:55</t>
  </si>
  <si>
    <t>Michael Peres Maganga</t>
  </si>
  <si>
    <t>2026-01-03 22:07:00</t>
  </si>
  <si>
    <t>2026-01-07 13:58:36</t>
  </si>
  <si>
    <t>Kiza Rashidi Ally</t>
  </si>
  <si>
    <t>2026-01-04 02:30:31</t>
  </si>
  <si>
    <t>2026-01-07 17:11:22</t>
  </si>
  <si>
    <t>Athumani Muhamedi Athumani</t>
  </si>
  <si>
    <t>2026-01-04 06:19:47</t>
  </si>
  <si>
    <t>2026-01-07 08:13:28</t>
  </si>
  <si>
    <t>Anastazia Kelvini Yambesi</t>
  </si>
  <si>
    <t>2026-01-04 06:22:34</t>
  </si>
  <si>
    <t>2026-01-07 16:22:46</t>
  </si>
  <si>
    <t>Edwin Kibirigi Msuhuke</t>
  </si>
  <si>
    <t>2026-01-04 12:12:52</t>
  </si>
  <si>
    <t>2026-01-07 16:32:38</t>
  </si>
  <si>
    <t>Shabani Karume Shabani</t>
  </si>
  <si>
    <t>2026-01-04 15:01:26</t>
  </si>
  <si>
    <t>2026-01-07 15:59:36</t>
  </si>
  <si>
    <t>Baby Of Meresiana Saimon Kipeche</t>
  </si>
  <si>
    <t>2026-01-05 06:49:11</t>
  </si>
  <si>
    <t>2026-01-08 15:46:20</t>
  </si>
  <si>
    <t>Neema Nicholaus Chacha</t>
  </si>
  <si>
    <t>Tausi Yamungu Ramadhani</t>
  </si>
  <si>
    <t>2026-01-05 12:59:48</t>
  </si>
  <si>
    <t>2026-01-09 12:50:29</t>
  </si>
  <si>
    <t>Flora A Isaya</t>
  </si>
  <si>
    <t>2026-01-05 13:51:53</t>
  </si>
  <si>
    <t>2026-01-08 15:58:09</t>
  </si>
  <si>
    <t>Grace M. Kasekwa</t>
  </si>
  <si>
    <t>Kwarezma Issaka Mbako</t>
  </si>
  <si>
    <t>2026-01-05 17:09:58</t>
  </si>
  <si>
    <t>2026-01-09 16:04:24</t>
  </si>
  <si>
    <t>Morice Zegeli Mahabula</t>
  </si>
  <si>
    <t>2026-01-05 17:28:43</t>
  </si>
  <si>
    <t>2026-01-09 08:41:54</t>
  </si>
  <si>
    <t>Neema  Lawama Muhamedi</t>
  </si>
  <si>
    <t>2026-01-05 19:32:42</t>
  </si>
  <si>
    <t>2026-01-09 13:35:03</t>
  </si>
  <si>
    <t>Eva Mwaro Mwaro</t>
  </si>
  <si>
    <t>2026-01-06 13:35:04</t>
  </si>
  <si>
    <t>2026-01-10 13:14:34</t>
  </si>
  <si>
    <t>Christina Silvanus Kiyai</t>
  </si>
  <si>
    <t>2026-01-07 17:19:21</t>
  </si>
  <si>
    <t>2026-01-11 14:07:06</t>
  </si>
  <si>
    <t>Agano Obedi Mburugwa</t>
  </si>
  <si>
    <t>2026-01-07 19:05:23</t>
  </si>
  <si>
    <t>2026-01-11 14:23:59</t>
  </si>
  <si>
    <t xml:space="preserve">Yakobo  Fred Yakobo </t>
  </si>
  <si>
    <t>Kabisu Amani Shaban</t>
  </si>
  <si>
    <t>2026-01-07 23:02:04</t>
  </si>
  <si>
    <t>2026-01-11 17:49:29</t>
  </si>
  <si>
    <t>Zainabu Athumani Mussa</t>
  </si>
  <si>
    <t>2026-01-08 01:43:54</t>
  </si>
  <si>
    <t>2026-01-11 16:04:19</t>
  </si>
  <si>
    <t xml:space="preserve">Avelina Hendry Kimario </t>
  </si>
  <si>
    <t>Hadija Madua  Omary</t>
  </si>
  <si>
    <t>2026-01-08 15:33:14</t>
  </si>
  <si>
    <t>2026-01-11 18:05:03</t>
  </si>
  <si>
    <t>Aziza Adamu Issa</t>
  </si>
  <si>
    <t>2026-01-09 19:19:21</t>
  </si>
  <si>
    <t>2026-01-13 11:54:12</t>
  </si>
  <si>
    <t>Ajuaye Nyamshila William</t>
  </si>
  <si>
    <t>2026-01-09 19:59:57</t>
  </si>
  <si>
    <t>2026-01-13 18:43:47</t>
  </si>
  <si>
    <t>Baby Of Asinati Ibrahim Tanganyika</t>
  </si>
  <si>
    <t>2026-01-09 20:23:39</t>
  </si>
  <si>
    <t>2026-01-13 20:19:44</t>
  </si>
  <si>
    <t>Esnati Maiko Mabuku</t>
  </si>
  <si>
    <t>2026-01-09 21:17:47</t>
  </si>
  <si>
    <t>2026-01-13 19:25:20</t>
  </si>
  <si>
    <t>Joyce Michael Buchumi</t>
  </si>
  <si>
    <t>2026-01-10 02:55:09</t>
  </si>
  <si>
    <t>2026-01-13 18:35:04</t>
  </si>
  <si>
    <t>Shani Adam Nganga</t>
  </si>
  <si>
    <t>2026-01-10 09:16:06</t>
  </si>
  <si>
    <t>2026-01-13 17:57:47</t>
  </si>
  <si>
    <t>Flora Samson Kipala</t>
  </si>
  <si>
    <t>2026-01-10 11:20:00</t>
  </si>
  <si>
    <t>2026-01-13 20:06:07</t>
  </si>
  <si>
    <t>Baby Of Hawa Kassim Mpapi</t>
  </si>
  <si>
    <t>2026-01-11 06:58:03</t>
  </si>
  <si>
    <t>2026-01-14 08:35:23</t>
  </si>
  <si>
    <t>B/o Ashura Mohamed Seleman</t>
  </si>
  <si>
    <t>2026-01-11 14:43:17</t>
  </si>
  <si>
    <t>2026-01-14 17:25:05</t>
  </si>
  <si>
    <t>Josephina C Masirori</t>
  </si>
  <si>
    <t>2026-01-11 15:09:46</t>
  </si>
  <si>
    <t>2026-01-15 14:02:04</t>
  </si>
  <si>
    <t>Frotias Paschal Bimbiza</t>
  </si>
  <si>
    <t>2026-01-11 15:51:11</t>
  </si>
  <si>
    <t>2026-01-15 13:40:13</t>
  </si>
  <si>
    <t>Pendo Lucas Nkaba</t>
  </si>
  <si>
    <t>2026-01-11 18:01:11</t>
  </si>
  <si>
    <t>2026-01-15 07:46:48</t>
  </si>
  <si>
    <t>Prosper Deus Sospiter</t>
  </si>
  <si>
    <t>2026-01-12 11:49:55</t>
  </si>
  <si>
    <t>2026-01-15 16:11:42</t>
  </si>
  <si>
    <t>Venus John Galagula</t>
  </si>
  <si>
    <t>2026-01-12 12:51:21</t>
  </si>
  <si>
    <t>2026-01-16 08:47:15</t>
  </si>
  <si>
    <t xml:space="preserve">Baby Of Bahati Swed  Lembe </t>
  </si>
  <si>
    <t>2026-01-12 17:43:44</t>
  </si>
  <si>
    <t>2026-01-16 12:21:32</t>
  </si>
  <si>
    <t>Mariam Eliud Elisha</t>
  </si>
  <si>
    <t>2026-01-13 19:03:47</t>
  </si>
  <si>
    <t>2026-01-17 17:44:16</t>
  </si>
  <si>
    <t>Edisa Dominiko Mkuyu</t>
  </si>
  <si>
    <t>2026-01-14 16:34:51</t>
  </si>
  <si>
    <t>2026-01-17 19:11:22</t>
  </si>
  <si>
    <t>Diana Patrick Kazyoba</t>
  </si>
  <si>
    <t>2026-01-15 00:09:57</t>
  </si>
  <si>
    <t>2026-01-18 18:27:45</t>
  </si>
  <si>
    <t>Boniphace Bahumenye Busigaliye</t>
  </si>
  <si>
    <t>2026-01-15 14:25:01</t>
  </si>
  <si>
    <t>2026-01-19 11:37:59</t>
  </si>
  <si>
    <t>Baby Of Halima Sudi Omary</t>
  </si>
  <si>
    <t>2026-01-15 22:26:14</t>
  </si>
  <si>
    <t>2026-01-19 11:01:16</t>
  </si>
  <si>
    <t>Asma Abala Mzelela</t>
  </si>
  <si>
    <t>2026-01-16 08:04:13</t>
  </si>
  <si>
    <t>2026-01-19 15:53:36</t>
  </si>
  <si>
    <t>Hamidu Said Ntilubaye</t>
  </si>
  <si>
    <t>2026-01-16 23:49:20</t>
  </si>
  <si>
    <t>2026-01-20 17:54:49</t>
  </si>
  <si>
    <t>Daniel Alfred Luchumo</t>
  </si>
  <si>
    <t>2026-01-17 18:48:40</t>
  </si>
  <si>
    <t>2026-01-21 17:52:34</t>
  </si>
  <si>
    <t>Badi Abu Mvano</t>
  </si>
  <si>
    <t>Fales Jacobo Dungu</t>
  </si>
  <si>
    <t>2026-01-17 18:55:45</t>
  </si>
  <si>
    <t>2026-01-21 16:48:56</t>
  </si>
  <si>
    <t>Asha Sadati Sadiki</t>
  </si>
  <si>
    <t>2026-01-17 19:01:00</t>
  </si>
  <si>
    <t>2026-01-21 15:19:59</t>
  </si>
  <si>
    <t>Piera Nestory Piera</t>
  </si>
  <si>
    <t>2026-01-18 03:29:24</t>
  </si>
  <si>
    <t>2026-01-21 18:13:20</t>
  </si>
  <si>
    <t>Witness Tindibenza Costantine</t>
  </si>
  <si>
    <t>2026-01-18 14:16:48</t>
  </si>
  <si>
    <t>2026-01-22 08:58:24</t>
  </si>
  <si>
    <t>Baby Of Sarafina Jailos John</t>
  </si>
  <si>
    <t>2026-01-18 20:33:45</t>
  </si>
  <si>
    <t>2026-01-22 12:15:14</t>
  </si>
  <si>
    <t>Ester Jeremia Makwa</t>
  </si>
  <si>
    <t>2026-01-19 02:14:34</t>
  </si>
  <si>
    <t>2026-01-22 14:18:31</t>
  </si>
  <si>
    <t>Shamsa Mussa Maulidi</t>
  </si>
  <si>
    <t>2026-01-19 20:45:58</t>
  </si>
  <si>
    <t>2026-01-23 20:10:34</t>
  </si>
  <si>
    <t>Joyce Bernard Kamara</t>
  </si>
  <si>
    <t>2026-01-20 01:09:41</t>
  </si>
  <si>
    <t>2026-01-23 14:59:00</t>
  </si>
  <si>
    <t>Angelina Mashamba Edward</t>
  </si>
  <si>
    <t>2026-01-20 11:57:52</t>
  </si>
  <si>
    <t>2026-01-23 15:43:23</t>
  </si>
  <si>
    <t>Asia Amani Kengwa</t>
  </si>
  <si>
    <t>Kakonko</t>
  </si>
  <si>
    <t>2026-01-20 12:55:43</t>
  </si>
  <si>
    <t>2026-01-23 18:48:51</t>
  </si>
  <si>
    <t>Mvano Haji Mvano</t>
  </si>
  <si>
    <t>2026-01-20 14:45:53</t>
  </si>
  <si>
    <t>2026-01-23 17:43:06</t>
  </si>
  <si>
    <t>Zawadi S Hussein</t>
  </si>
  <si>
    <t>2026-01-20 14:46:42</t>
  </si>
  <si>
    <t>2026-01-24 13:59:08</t>
  </si>
  <si>
    <t>Mwasiti Hamis Hamis</t>
  </si>
  <si>
    <t>2026-01-20 15:27:04</t>
  </si>
  <si>
    <t>2026-01-23 18:53:42</t>
  </si>
  <si>
    <t>Christian E Katula</t>
  </si>
  <si>
    <t>2026-01-20 15:48:26</t>
  </si>
  <si>
    <t>2026-01-24 11:28:33</t>
  </si>
  <si>
    <t>Naomi William Elisha</t>
  </si>
  <si>
    <t>2026-01-20 16:02:54</t>
  </si>
  <si>
    <t>2026-01-23 16:35:08</t>
  </si>
  <si>
    <t>Patrick John Samwel</t>
  </si>
  <si>
    <t>2026-01-20 18:15:25</t>
  </si>
  <si>
    <t>2026-01-24 07:48:49</t>
  </si>
  <si>
    <t>Dabonde Almas Dabonde</t>
  </si>
  <si>
    <t>2026-01-20 23:43:09</t>
  </si>
  <si>
    <t>2026-01-24 16:09:40</t>
  </si>
  <si>
    <t>Christina Samson Yesse</t>
  </si>
  <si>
    <t>2026-01-21 08:51:33</t>
  </si>
  <si>
    <t>2026-01-24 13:54:18</t>
  </si>
  <si>
    <t>B/o Janeth Emmanuel Samaza</t>
  </si>
  <si>
    <t>2026-01-21 13:10:01</t>
  </si>
  <si>
    <t>2026-01-25 08:21:41</t>
  </si>
  <si>
    <t>Olympia S Lyimo</t>
  </si>
  <si>
    <t>2026-01-22 01:23:41</t>
  </si>
  <si>
    <t>2026-01-25 08:31:15</t>
  </si>
  <si>
    <t>Hadija Ramadhan Hamis</t>
  </si>
  <si>
    <t>2026-01-22 02:20:25</t>
  </si>
  <si>
    <t>2026-01-25 15:01:27</t>
  </si>
  <si>
    <t>Ibrahim Twalha Issa</t>
  </si>
  <si>
    <t>2026-01-22 02:21:09</t>
  </si>
  <si>
    <t>2026-01-25 08:26:50</t>
  </si>
  <si>
    <t>Salma Sharifu Ibrahim</t>
  </si>
  <si>
    <t>2026-01-22 21:15:55</t>
  </si>
  <si>
    <t>2026-01-26 15:55:37</t>
  </si>
  <si>
    <t>Asnath  Dabal Dabal</t>
  </si>
  <si>
    <t>2026-01-22 22:16:50</t>
  </si>
  <si>
    <t>2026-01-26 16:31:44</t>
  </si>
  <si>
    <t>Neema Ismail Abeid</t>
  </si>
  <si>
    <t>2026-01-23 08:45:59</t>
  </si>
  <si>
    <t>2026-01-26 17:34:42</t>
  </si>
  <si>
    <t>Baby Of Neema Abedi Issa</t>
  </si>
  <si>
    <t>2026-01-23 17:28:56</t>
  </si>
  <si>
    <t>2026-01-26 17:37:20</t>
  </si>
  <si>
    <t>Zainabu Amran Hussein</t>
  </si>
  <si>
    <t>2026-01-23 19:37:14</t>
  </si>
  <si>
    <t>2026-01-27 09:02:42</t>
  </si>
  <si>
    <t>Masudi Madua Masudi</t>
  </si>
  <si>
    <t>Salma Mzee Kibole</t>
  </si>
  <si>
    <t>2026-01-23 19:56:42</t>
  </si>
  <si>
    <t>2026-01-27 17:21:33</t>
  </si>
  <si>
    <t>Amina Bakari Chongera</t>
  </si>
  <si>
    <t>2026-01-24 06:00:23</t>
  </si>
  <si>
    <t>2026-01-27 16:43:41</t>
  </si>
  <si>
    <t>Tinasi Alex Kimpi</t>
  </si>
  <si>
    <t>2026-01-24 14:57:15</t>
  </si>
  <si>
    <t>2026-01-27 16:31:07</t>
  </si>
  <si>
    <t>Milgreda Ntilulagana Kinyamgala</t>
  </si>
  <si>
    <t>2026-01-24 17:02:45</t>
  </si>
  <si>
    <t>2026-01-28 09:11:29</t>
  </si>
  <si>
    <t xml:space="preserve">Maganga Daudi  Salu  </t>
  </si>
  <si>
    <t>Romense Alfayo Shabani</t>
  </si>
  <si>
    <t>2026-01-24 17:19:51</t>
  </si>
  <si>
    <t>2026-01-27 17:32:10</t>
  </si>
  <si>
    <t>Safi  Bweka Masudi</t>
  </si>
  <si>
    <t>2026-01-24 23:07:13</t>
  </si>
  <si>
    <t>2026-01-28 15:47:07</t>
  </si>
  <si>
    <t>Jesca Philimoni Chakupewa</t>
  </si>
  <si>
    <t>2026-01-25 02:12:49</t>
  </si>
  <si>
    <t>2026-01-28 13:44:33</t>
  </si>
  <si>
    <t>Anatoria Daudi Yabiro</t>
  </si>
  <si>
    <t>2026-01-25 09:00:58</t>
  </si>
  <si>
    <t>2026-01-28 14:59:40</t>
  </si>
  <si>
    <t>Pelepetua Kacha Kamo</t>
  </si>
  <si>
    <t>82 years</t>
  </si>
  <si>
    <t>2026-01-25 11:44:58</t>
  </si>
  <si>
    <t>2026-01-28 14:56:00</t>
  </si>
  <si>
    <t>Leobelle Malima Machumu</t>
  </si>
  <si>
    <t>2026-01-25 15:47:39</t>
  </si>
  <si>
    <t>2026-01-29 12:26:02</t>
  </si>
  <si>
    <t>Ismail Moshi Ramadhan</t>
  </si>
  <si>
    <t>2026-01-25 16:30:43</t>
  </si>
  <si>
    <t>2026-01-29 16:22:16</t>
  </si>
  <si>
    <t xml:space="preserve">Ramadhan  Issa  Mnyefu </t>
  </si>
  <si>
    <t>Mlele</t>
  </si>
  <si>
    <t>2026-01-26 14:23:17</t>
  </si>
  <si>
    <t>2026-01-29 14:36:47</t>
  </si>
  <si>
    <t>Frank Martin Sudai</t>
  </si>
  <si>
    <t>Katavi</t>
  </si>
  <si>
    <t>Josephina Mtangi Kitenza</t>
  </si>
  <si>
    <t>2026-01-26 14:48:54</t>
  </si>
  <si>
    <t>2026-01-30 12:46:38</t>
  </si>
  <si>
    <t>Abely Green Sichone</t>
  </si>
  <si>
    <t>Steven Anord Sazi</t>
  </si>
  <si>
    <t>2026-01-26 21:30:27</t>
  </si>
  <si>
    <t>2026-01-30 15:31:37</t>
  </si>
  <si>
    <t>Ernest E Toyi</t>
  </si>
  <si>
    <t>2026-01-26 23:18:35</t>
  </si>
  <si>
    <t>2026-01-30 14:34:02</t>
  </si>
  <si>
    <t>Baby Of Mariam Zephani Lenard</t>
  </si>
  <si>
    <t>2026-01-27 07:04:26</t>
  </si>
  <si>
    <t>2026-01-30 16:40:58</t>
  </si>
  <si>
    <t>Sophia Edwin Rugwiza</t>
  </si>
  <si>
    <t>2026-01-27 15:41:05</t>
  </si>
  <si>
    <t>2026-01-31 15:13:24</t>
  </si>
  <si>
    <t>Akina Isack Bihele</t>
  </si>
  <si>
    <t>2026-01-27 18:30:07</t>
  </si>
  <si>
    <t>2026-01-31 16:43:52</t>
  </si>
  <si>
    <t>2026-01-28 09:09:33</t>
  </si>
  <si>
    <t>2026-01-31 15:37:34</t>
  </si>
  <si>
    <t>Baby Of Jamila Sadi Waridi</t>
  </si>
  <si>
    <t>2026-01-28 09:44:30</t>
  </si>
  <si>
    <t>2026-01-31 15:58:06</t>
  </si>
  <si>
    <t>Hadija Ramadhani Ismail</t>
  </si>
  <si>
    <t>2026-01-28 10:26:08</t>
  </si>
  <si>
    <t>2026-01-31 16:50:51</t>
  </si>
  <si>
    <t>Shedrack Nyaburanga Sula</t>
  </si>
  <si>
    <t>2026-01-28 13:43:54</t>
  </si>
  <si>
    <t>2026-01-31 15:21:09</t>
  </si>
  <si>
    <t>Getruda J Kalinde</t>
  </si>
  <si>
    <t>2025-12-29 13:18:35</t>
  </si>
  <si>
    <t>2026-01-01 09:49:22</t>
  </si>
  <si>
    <t>Naima Mustafa Lukamvya</t>
  </si>
  <si>
    <t>2025-12-30 04:10:50</t>
  </si>
  <si>
    <t>2026-01-01 15:07:24</t>
  </si>
  <si>
    <t>Sibomana J Amon</t>
  </si>
  <si>
    <t>2025-12-30 15:34:50</t>
  </si>
  <si>
    <t>2026-01-01 16:10:29</t>
  </si>
  <si>
    <t>Irene Ilunga Ngoi</t>
  </si>
  <si>
    <t>2025-12-30 20:23:15</t>
  </si>
  <si>
    <t>2026-01-02 15:03:54</t>
  </si>
  <si>
    <t>Kashindye Masangu Masaganya</t>
  </si>
  <si>
    <t>2025-12-31 00:51:03</t>
  </si>
  <si>
    <t>2026-01-02 08:46:05</t>
  </si>
  <si>
    <t>Mary Godwin Elimeliki</t>
  </si>
  <si>
    <t>2026-01-01 14:03:27</t>
  </si>
  <si>
    <t>2026-01-03 15:41:38</t>
  </si>
  <si>
    <t>2026-01-01 21:03:27</t>
  </si>
  <si>
    <t>2026-01-04 13:27:07</t>
  </si>
  <si>
    <t>Ally Ramadhan Zuber</t>
  </si>
  <si>
    <t>2026-01-02 00:23:31</t>
  </si>
  <si>
    <t>2026-01-04 15:19:23</t>
  </si>
  <si>
    <t>Gloria L Makela</t>
  </si>
  <si>
    <t>2026-01-02 02:16:49</t>
  </si>
  <si>
    <t>2026-01-04 10:45:10</t>
  </si>
  <si>
    <t>Shimiyeimana B Nashon</t>
  </si>
  <si>
    <t>2026-01-02 02:25:09</t>
  </si>
  <si>
    <t>2026-01-04 16:24:26</t>
  </si>
  <si>
    <t>Zuwena A Issa</t>
  </si>
  <si>
    <t>2026-01-02 03:57:56</t>
  </si>
  <si>
    <t>2026-01-04 10:48:13</t>
  </si>
  <si>
    <t>Hadija Shamtee Hamisi</t>
  </si>
  <si>
    <t>2026-01-02 22:15:34</t>
  </si>
  <si>
    <t>2026-01-05 16:30:12</t>
  </si>
  <si>
    <t>Beatrice H Mwangi</t>
  </si>
  <si>
    <t>2026-01-03 00:06:07</t>
  </si>
  <si>
    <t>2026-01-05 13:47:56</t>
  </si>
  <si>
    <t>Grolia  Lameck Emmanuel</t>
  </si>
  <si>
    <t>2026-01-03 00:56:21</t>
  </si>
  <si>
    <t>2026-01-05 15:23:47</t>
  </si>
  <si>
    <t>Penina Frednand Ntibikekha</t>
  </si>
  <si>
    <t>2026-01-03 06:25:49</t>
  </si>
  <si>
    <t>2026-01-05 17:15:52</t>
  </si>
  <si>
    <t>Geishoni Benjamini Aluna</t>
  </si>
  <si>
    <t>2026-01-03 12:40:48</t>
  </si>
  <si>
    <t>2026-01-05 13:16:20</t>
  </si>
  <si>
    <t>Modester G Bakunda</t>
  </si>
  <si>
    <t>2026-01-03 17:02:46</t>
  </si>
  <si>
    <t>2026-01-06 13:43:22</t>
  </si>
  <si>
    <t>Raymond B Gafuruza</t>
  </si>
  <si>
    <t>58 years</t>
  </si>
  <si>
    <t>2026-01-03 20:05:18</t>
  </si>
  <si>
    <t>2026-01-06 13:10:08</t>
  </si>
  <si>
    <t>Babyof Ashura Jumanne Nelson</t>
  </si>
  <si>
    <t>2026-01-04 02:07:23</t>
  </si>
  <si>
    <t>2026-01-06 13:29:33</t>
  </si>
  <si>
    <t>Hemedi Filiasi Kakozi</t>
  </si>
  <si>
    <t>2026-01-04 20:26:44</t>
  </si>
  <si>
    <t>2026-01-07 16:16:02</t>
  </si>
  <si>
    <t>2026-01-04 21:17:57</t>
  </si>
  <si>
    <t>2026-01-06 23:03:50</t>
  </si>
  <si>
    <t>Sabrina Twalib Lubea</t>
  </si>
  <si>
    <t>2026-01-05 16:12:08</t>
  </si>
  <si>
    <t>2026-01-07 18:03:29</t>
  </si>
  <si>
    <t>Samaka Edward Songera</t>
  </si>
  <si>
    <t>2026-01-06 04:01:28</t>
  </si>
  <si>
    <t>2026-01-08 20:43:18</t>
  </si>
  <si>
    <t>Samwel K Samwel</t>
  </si>
  <si>
    <t>2026-01-06 13:52:38</t>
  </si>
  <si>
    <t>2026-01-08 15:47:23</t>
  </si>
  <si>
    <t>Hussein Adamu Hussein</t>
  </si>
  <si>
    <t>2026-01-06 15:52:05</t>
  </si>
  <si>
    <t>2026-01-09 14:02:47</t>
  </si>
  <si>
    <t>Rosemary Reonard Rusimba</t>
  </si>
  <si>
    <t>2026-01-06 17:34:52</t>
  </si>
  <si>
    <t>2026-01-09 17:22:09</t>
  </si>
  <si>
    <t>Haruna Masumbuko Magulu</t>
  </si>
  <si>
    <t>2026-01-06 19:56:41</t>
  </si>
  <si>
    <t>2026-01-09 17:03:09</t>
  </si>
  <si>
    <t>Prisca Daniel Maselenge</t>
  </si>
  <si>
    <t>Kaliua</t>
  </si>
  <si>
    <t>2026-01-06 20:54:44</t>
  </si>
  <si>
    <t>2026-01-09 19:05:35</t>
  </si>
  <si>
    <t>Tabora</t>
  </si>
  <si>
    <t>Pascazia Bazila Kiyago</t>
  </si>
  <si>
    <t>2026-01-06 23:01:44</t>
  </si>
  <si>
    <t>2026-01-09 17:29:57</t>
  </si>
  <si>
    <t>Babyof Noelia Nicolausi Nicolausi</t>
  </si>
  <si>
    <t>2026-01-07 09:04:46</t>
  </si>
  <si>
    <t>2026-01-09 16:10:16</t>
  </si>
  <si>
    <t>Balanyikwa  Kudra Ahmad</t>
  </si>
  <si>
    <t>13 years</t>
  </si>
  <si>
    <t>2026-01-07 14:43:42</t>
  </si>
  <si>
    <t>2026-01-09 16:16:31</t>
  </si>
  <si>
    <t>Zena Abdallah Kikoko</t>
  </si>
  <si>
    <t>2026-01-07 18:31:37</t>
  </si>
  <si>
    <t>2026-01-10 11:41:01</t>
  </si>
  <si>
    <t>Siwema Madua Ally</t>
  </si>
  <si>
    <t>2026-01-08 03:51:30</t>
  </si>
  <si>
    <t>2026-01-10 16:38:33</t>
  </si>
  <si>
    <t>Janson Lukas Mpamba</t>
  </si>
  <si>
    <t>2026-01-08 19:17:21</t>
  </si>
  <si>
    <t>2026-01-11 14:09:25</t>
  </si>
  <si>
    <t>Babyof Leuwina Didas Daniford</t>
  </si>
  <si>
    <t>2026-01-09 00:04:55</t>
  </si>
  <si>
    <t>2026-01-11 14:21:09</t>
  </si>
  <si>
    <t>Mariam Mrisho Nyunguye</t>
  </si>
  <si>
    <t>2026-01-09 02:07:00</t>
  </si>
  <si>
    <t>2026-01-11 15:48:33</t>
  </si>
  <si>
    <t>Kwimba Musa Maguja</t>
  </si>
  <si>
    <t>2026-01-09 02:27:37</t>
  </si>
  <si>
    <t>2026-01-11 17:56:13</t>
  </si>
  <si>
    <t>Mariam Edson Tija</t>
  </si>
  <si>
    <t>2026-01-09 08:25:43</t>
  </si>
  <si>
    <t>2026-01-11 16:08:39</t>
  </si>
  <si>
    <t>Joyce Zakayo Feliaza</t>
  </si>
  <si>
    <t>2026-01-09 10:54:37</t>
  </si>
  <si>
    <t>2026-01-11 13:01:09</t>
  </si>
  <si>
    <t>Baby Of Kabisu Amani Shabani</t>
  </si>
  <si>
    <t>2026-01-09 14:26:40</t>
  </si>
  <si>
    <t>2026-01-11 17:44:20</t>
  </si>
  <si>
    <t>Ashura Chaku Mohamed</t>
  </si>
  <si>
    <t>2026-01-09 15:33:34</t>
  </si>
  <si>
    <t>2026-01-12 13:31:08</t>
  </si>
  <si>
    <t>Ivan Kesibe Mwalongo</t>
  </si>
  <si>
    <t>2026-01-09 16:01:10</t>
  </si>
  <si>
    <t>2026-01-12 15:31:11</t>
  </si>
  <si>
    <t>Rahel Antony Lazaro</t>
  </si>
  <si>
    <t>2026-01-09 19:24:23</t>
  </si>
  <si>
    <t>2026-01-12 17:17:05</t>
  </si>
  <si>
    <t>Angelina Paulo Kajuli</t>
  </si>
  <si>
    <t>2026-01-10 17:02:27</t>
  </si>
  <si>
    <t>2026-01-13 15:43:33</t>
  </si>
  <si>
    <t>Maricelina Thadeo Senkula</t>
  </si>
  <si>
    <t>2026-01-10 18:07:41</t>
  </si>
  <si>
    <t>2026-01-13 17:37:28</t>
  </si>
  <si>
    <t>Baby Of Shani  Adam Ngara</t>
  </si>
  <si>
    <t>2026-01-10 18:42:05</t>
  </si>
  <si>
    <t>2026-01-13 17:57:10</t>
  </si>
  <si>
    <t>Juliana Yohana Balizila</t>
  </si>
  <si>
    <t>2026-01-11 00:50:52</t>
  </si>
  <si>
    <t>2026-01-13 12:00:55</t>
  </si>
  <si>
    <t>Giriadi Kitumbu Nyanda</t>
  </si>
  <si>
    <t>2026-01-11 01:51:47</t>
  </si>
  <si>
    <t>2026-01-13 13:03:44</t>
  </si>
  <si>
    <t>Mrisho Kudra Ramadhani</t>
  </si>
  <si>
    <t>2026-01-11 07:29:10</t>
  </si>
  <si>
    <t>2026-01-13 13:30:48</t>
  </si>
  <si>
    <t>Immakulata Silvanus Lwabuhaya</t>
  </si>
  <si>
    <t>2026-01-11 11:56:55</t>
  </si>
  <si>
    <t>2026-01-13 13:13:57</t>
  </si>
  <si>
    <t>Mariantonia Juma Nyangoma</t>
  </si>
  <si>
    <t>2026-01-11 12:50:37</t>
  </si>
  <si>
    <t>2026-01-14 12:11:24</t>
  </si>
  <si>
    <t>Zuhura Hemmed Katozo</t>
  </si>
  <si>
    <t>79 years</t>
  </si>
  <si>
    <t>2026-01-11 15:08:35</t>
  </si>
  <si>
    <t>2026-01-14 13:45:05</t>
  </si>
  <si>
    <t>Zainabu Juma Poloto</t>
  </si>
  <si>
    <t>2026-01-12 01:30:15</t>
  </si>
  <si>
    <t>2026-01-14 14:05:21</t>
  </si>
  <si>
    <t>Adela Alex Hwituye</t>
  </si>
  <si>
    <t>2026-01-12 08:13:39</t>
  </si>
  <si>
    <t>2026-01-14 19:08:30</t>
  </si>
  <si>
    <t>Apolonali N Ndaluboneye</t>
  </si>
  <si>
    <t>2026-01-12 09:54:53</t>
  </si>
  <si>
    <t>2026-01-14 10:24:34</t>
  </si>
  <si>
    <t>Naomi Esau Kahunga</t>
  </si>
  <si>
    <t>2026-01-12 11:40:29</t>
  </si>
  <si>
    <t>2026-01-14 13:17:02</t>
  </si>
  <si>
    <t>Nicolaus  Emenuel Nagwa</t>
  </si>
  <si>
    <t>2026-01-12 12:49:51</t>
  </si>
  <si>
    <t>2026-01-14 14:54:02</t>
  </si>
  <si>
    <t xml:space="preserve">Melisia  Laurent  Mekisela </t>
  </si>
  <si>
    <t>2026-01-12 16:31:13</t>
  </si>
  <si>
    <t>2026-01-14 16:56:48</t>
  </si>
  <si>
    <t>Joseph Msafiri Kamba</t>
  </si>
  <si>
    <t>2026-01-12 16:55:05</t>
  </si>
  <si>
    <t>2026-01-15 11:59:15</t>
  </si>
  <si>
    <t>Vivian  Imani Salumu</t>
  </si>
  <si>
    <t>2026-01-12 21:56:56</t>
  </si>
  <si>
    <t>2026-01-15 12:11:38</t>
  </si>
  <si>
    <t>Victor Boniphace Maulidi</t>
  </si>
  <si>
    <t>2026-01-12 22:57:04</t>
  </si>
  <si>
    <t>2026-01-15 11:11:01</t>
  </si>
  <si>
    <t>Rahma Issa Makame</t>
  </si>
  <si>
    <t>2026-01-13 10:52:41</t>
  </si>
  <si>
    <t>2026-01-15 13:17:44</t>
  </si>
  <si>
    <t>Jonia L Rwezimula</t>
  </si>
  <si>
    <t>2026-01-13 15:54:54</t>
  </si>
  <si>
    <t>2026-01-16 13:04:20</t>
  </si>
  <si>
    <t xml:space="preserve">Kabuye  Emmanuel Richard </t>
  </si>
  <si>
    <t>2026-01-13 18:36:24</t>
  </si>
  <si>
    <t>2026-01-16 13:32:46</t>
  </si>
  <si>
    <t xml:space="preserve">Wengeslaus  Bwilinde  Kazuzuru </t>
  </si>
  <si>
    <t>2026-01-13 23:10:01</t>
  </si>
  <si>
    <t>2026-01-16 15:20:20</t>
  </si>
  <si>
    <t>Baby Of Happy Nahitaji Ahazi</t>
  </si>
  <si>
    <t>2026-01-14 03:58:13</t>
  </si>
  <si>
    <t>2026-01-16 17:45:01</t>
  </si>
  <si>
    <t>Sanairer Jumbe Lameck</t>
  </si>
  <si>
    <t>2026-01-14 15:22:46</t>
  </si>
  <si>
    <t>2026-01-17 13:27:51</t>
  </si>
  <si>
    <t>Wiston Lukasi Emily</t>
  </si>
  <si>
    <t>2026-01-14 18:09:12</t>
  </si>
  <si>
    <t>2026-01-17 17:42:58</t>
  </si>
  <si>
    <t>Jeniloza Kiki Ntilema</t>
  </si>
  <si>
    <t>2026-01-15 00:18:46</t>
  </si>
  <si>
    <t>2026-01-17 18:20:47</t>
  </si>
  <si>
    <t>2026-01-15 00:44:31</t>
  </si>
  <si>
    <t>2026-01-17 09:42:01</t>
  </si>
  <si>
    <t>Oscer  Luhomela Mweshi</t>
  </si>
  <si>
    <t>2026-01-15 12:11:22</t>
  </si>
  <si>
    <t>2026-01-17 18:35:08</t>
  </si>
  <si>
    <t xml:space="preserve">Kulwa  Paul Ruchoronga </t>
  </si>
  <si>
    <t>2026-01-15 14:33:41</t>
  </si>
  <si>
    <t>2026-01-17 17:38:23</t>
  </si>
  <si>
    <t>2026-01-15 17:24:36</t>
  </si>
  <si>
    <t>2026-01-18 15:36:29</t>
  </si>
  <si>
    <t>Khuzayma  Juma Hassan</t>
  </si>
  <si>
    <t>Diana Ramadhani Paya</t>
  </si>
  <si>
    <t>2026-01-15 21:48:45</t>
  </si>
  <si>
    <t>2026-01-18 16:30:50</t>
  </si>
  <si>
    <t xml:space="preserve">Gibson  Jeremia  Merikizedeki </t>
  </si>
  <si>
    <t>2026-01-16 06:03:15</t>
  </si>
  <si>
    <t>2026-01-18 08:40:49</t>
  </si>
  <si>
    <t>Maria John Madede</t>
  </si>
  <si>
    <t>2026-01-17 14:19:33</t>
  </si>
  <si>
    <t>2026-01-19 18:10:05</t>
  </si>
  <si>
    <t>Joseph Anglibert Kalabashinze</t>
  </si>
  <si>
    <t>2026-01-17 15:26:15</t>
  </si>
  <si>
    <t>2026-01-19 16:22:33</t>
  </si>
  <si>
    <t>Asia Kanoni Ismail</t>
  </si>
  <si>
    <t>2026-01-17 15:50:52</t>
  </si>
  <si>
    <t>2026-01-19 17:50:46</t>
  </si>
  <si>
    <t>Mada Hassan Halfani</t>
  </si>
  <si>
    <t>2026-01-17 16:43:46</t>
  </si>
  <si>
    <t>2026-01-20 13:39:50</t>
  </si>
  <si>
    <t>Fatuma Mustafa Bagamika</t>
  </si>
  <si>
    <t>2026-01-18 10:39:12</t>
  </si>
  <si>
    <t>2026-01-20 14:30:00</t>
  </si>
  <si>
    <t>Stella Aron Mwasipaja</t>
  </si>
  <si>
    <t>2026-01-18 14:31:27</t>
  </si>
  <si>
    <t>2026-01-21 09:23:41</t>
  </si>
  <si>
    <t>Ayman J Mghase</t>
  </si>
  <si>
    <t>2026-01-18 15:16:47</t>
  </si>
  <si>
    <t>2026-01-20 18:39:14</t>
  </si>
  <si>
    <t>Daniel T Nawera</t>
  </si>
  <si>
    <t>2026-01-18 16:43:46</t>
  </si>
  <si>
    <t>2026-01-21 15:18:01</t>
  </si>
  <si>
    <t>Aisha Mustafa Athuman</t>
  </si>
  <si>
    <t>2026-01-19 02:50:38</t>
  </si>
  <si>
    <t>2026-01-21 17:57:51</t>
  </si>
  <si>
    <t>Ali Ahmed Bakar</t>
  </si>
  <si>
    <t>2026-01-19 13:23:45</t>
  </si>
  <si>
    <t>2026-01-21 13:52:25</t>
  </si>
  <si>
    <t>Esha Ramadhani  Abdallah</t>
  </si>
  <si>
    <t>Faustina Anania Makwasha</t>
  </si>
  <si>
    <t>2026-01-19 21:38:53</t>
  </si>
  <si>
    <t>2026-01-22 18:03:39</t>
  </si>
  <si>
    <t>Baby Of Zainabu Jumanne Yasini</t>
  </si>
  <si>
    <t>2026-01-19 23:00:00</t>
  </si>
  <si>
    <t>2026-01-22 14:50:52</t>
  </si>
  <si>
    <t xml:space="preserve">Nurdin  Razaro  Nurdin </t>
  </si>
  <si>
    <t>2026-01-20 00:00:34</t>
  </si>
  <si>
    <t>2026-01-22 15:01:23</t>
  </si>
  <si>
    <t>Baby Of Shamsa Mussa Maulidi</t>
  </si>
  <si>
    <t>2026-01-20 07:01:25</t>
  </si>
  <si>
    <t>2026-01-22 15:47:19</t>
  </si>
  <si>
    <t>Aida Macho Rajabu</t>
  </si>
  <si>
    <t>2026-01-20 20:24:51</t>
  </si>
  <si>
    <t>2026-01-23 18:09:42</t>
  </si>
  <si>
    <t>Mwamini Kahoza Kisebwa</t>
  </si>
  <si>
    <t>2026-01-20 22:33:05</t>
  </si>
  <si>
    <t>2026-01-23 10:39:59</t>
  </si>
  <si>
    <t>Veronica Mwandu Mpengele</t>
  </si>
  <si>
    <t>2026-01-21 05:45:50</t>
  </si>
  <si>
    <t>2026-01-23 15:19:40</t>
  </si>
  <si>
    <t>Eveline Chakupewa Likila</t>
  </si>
  <si>
    <t>2026-01-21 06:58:28</t>
  </si>
  <si>
    <t>2026-01-23 18:21:47</t>
  </si>
  <si>
    <t>Tabu A Mkoko</t>
  </si>
  <si>
    <t>2026-01-21 15:37:41</t>
  </si>
  <si>
    <t>2026-01-24 14:52:33</t>
  </si>
  <si>
    <t>Michael Isack Zyezi</t>
  </si>
  <si>
    <t>2026-01-21 17:26:21</t>
  </si>
  <si>
    <t>2026-01-24 11:56:42</t>
  </si>
  <si>
    <t>Hasna Bakari Haruna</t>
  </si>
  <si>
    <t>2026-01-21 22:15:20</t>
  </si>
  <si>
    <t>2026-01-24 13:53:28</t>
  </si>
  <si>
    <t>Anasitazia Emmanuel Kilajaga</t>
  </si>
  <si>
    <t>2026-01-22 06:59:47</t>
  </si>
  <si>
    <t>2026-01-24 15:12:04</t>
  </si>
  <si>
    <t>Babyof Olympia Sylvester Lymo</t>
  </si>
  <si>
    <t>2026-01-22 07:03:22</t>
  </si>
  <si>
    <t>2026-01-24 14:51:50</t>
  </si>
  <si>
    <t>Briella Hamis John</t>
  </si>
  <si>
    <t>2026-01-22 13:16:03</t>
  </si>
  <si>
    <t>2026-01-24 17:00:04</t>
  </si>
  <si>
    <t>Amida Mussa Dondoli</t>
  </si>
  <si>
    <t>2026-01-22 20:00:55</t>
  </si>
  <si>
    <t>2026-01-25 15:26:45</t>
  </si>
  <si>
    <t>Hanajina Kenedi Masumbuko</t>
  </si>
  <si>
    <t>2026-01-22 23:06:58</t>
  </si>
  <si>
    <t>2026-01-25 09:13:30</t>
  </si>
  <si>
    <t>Winifrida  Fred Petro</t>
  </si>
  <si>
    <t>2026-01-23 01:12:11</t>
  </si>
  <si>
    <t>2026-01-25 08:01:12</t>
  </si>
  <si>
    <t>Baby Of Rahma Omary Issa</t>
  </si>
  <si>
    <t>2026-01-23 15:22:26</t>
  </si>
  <si>
    <t>2026-01-25 17:30:25</t>
  </si>
  <si>
    <t>Maleekah Ibrahim Ndembo</t>
  </si>
  <si>
    <t>2026-01-23 17:46:15</t>
  </si>
  <si>
    <t>2026-01-26 15:42:48</t>
  </si>
  <si>
    <t>Veronika  Daniel Daudi</t>
  </si>
  <si>
    <t>2026-01-23 18:09:43</t>
  </si>
  <si>
    <t>2026-01-25 18:41:27</t>
  </si>
  <si>
    <t>Baby Of Salma Sharifu Ibrahim</t>
  </si>
  <si>
    <t>2026-01-23 19:59:11</t>
  </si>
  <si>
    <t>2026-01-26 15:55:17</t>
  </si>
  <si>
    <t xml:space="preserve">William Ezekiel  Miyeleko </t>
  </si>
  <si>
    <t>Asia Yusuph Mombo</t>
  </si>
  <si>
    <t>2026-01-23 22:34:38</t>
  </si>
  <si>
    <t>2026-01-26 15:09:09</t>
  </si>
  <si>
    <t>Madua Amos Munyaga</t>
  </si>
  <si>
    <t>2026-01-24 19:08:09</t>
  </si>
  <si>
    <t>2026-01-27 13:10:46</t>
  </si>
  <si>
    <t>Sefu Sadick Kaduguda</t>
  </si>
  <si>
    <t>48 years</t>
  </si>
  <si>
    <t>2026-01-25 01:06:40</t>
  </si>
  <si>
    <t>2026-01-27 13:05:24</t>
  </si>
  <si>
    <t>Enock Mawazo Abias</t>
  </si>
  <si>
    <t>2026-01-25 04:36:50</t>
  </si>
  <si>
    <t>2026-01-27 17:35:04</t>
  </si>
  <si>
    <t>Gian Festo Modest</t>
  </si>
  <si>
    <t>2026-01-25 10:20:14</t>
  </si>
  <si>
    <t>2026-01-27 17:35:20</t>
  </si>
  <si>
    <t>Agnes M Maingu</t>
  </si>
  <si>
    <t>2026-01-25 11:04:01</t>
  </si>
  <si>
    <t>2026-01-27 13:39:24</t>
  </si>
  <si>
    <t xml:space="preserve">Lazaro  Madeha </t>
  </si>
  <si>
    <t>Elisha Fyula Kuyeko</t>
  </si>
  <si>
    <t>2026-01-25 15:01:32</t>
  </si>
  <si>
    <t>2026-01-28 12:51:19</t>
  </si>
  <si>
    <t>Alvina A Maganga</t>
  </si>
  <si>
    <t>2026-01-25 15:44:36</t>
  </si>
  <si>
    <t>2026-01-28 11:46:31</t>
  </si>
  <si>
    <t>Lilian Machicho</t>
  </si>
  <si>
    <t>Elisha Inosent Paulo</t>
  </si>
  <si>
    <t>2026-01-25 16:41:56</t>
  </si>
  <si>
    <t>2026-01-28 11:52:38</t>
  </si>
  <si>
    <t>Sesilia Daud Sasila</t>
  </si>
  <si>
    <t>2026-01-25 16:44:53</t>
  </si>
  <si>
    <t>2026-01-28 14:13:18</t>
  </si>
  <si>
    <t>Hamimu Makanga Ally</t>
  </si>
  <si>
    <t>2026-01-25 19:18:05</t>
  </si>
  <si>
    <t>2026-01-28 13:52:25</t>
  </si>
  <si>
    <t>Rajabu Mtoro Temela</t>
  </si>
  <si>
    <t>2026-01-25 20:59:33</t>
  </si>
  <si>
    <t>2026-01-28 16:31:51</t>
  </si>
  <si>
    <t>Kelemesia Mtabangi Mtabangi</t>
  </si>
  <si>
    <t>2026-01-26 00:34:08</t>
  </si>
  <si>
    <t>2026-01-28 16:29:49</t>
  </si>
  <si>
    <t>Ummy Maulid Rajabu</t>
  </si>
  <si>
    <t xml:space="preserve"> JKT BULOMBOLA</t>
  </si>
  <si>
    <t>2026-01-26 11:33:43</t>
  </si>
  <si>
    <t>2026-01-28 14:24:33</t>
  </si>
  <si>
    <t>Gianna A Evarist</t>
  </si>
  <si>
    <t>2026-01-26 19:46:15</t>
  </si>
  <si>
    <t>2026-01-29 15:51:55</t>
  </si>
  <si>
    <t>David Josephat Ngenzi</t>
  </si>
  <si>
    <t>2026-01-26 22:11:53</t>
  </si>
  <si>
    <t>2026-01-29 15:59:00</t>
  </si>
  <si>
    <t xml:space="preserve">Gilbet  Osward  Kambanga </t>
  </si>
  <si>
    <t>2026-01-27 05:26:21</t>
  </si>
  <si>
    <t>2026-01-29 08:32:34</t>
  </si>
  <si>
    <t>Leonia Mpamba Lusohoka</t>
  </si>
  <si>
    <t>2026-01-27 10:13:16</t>
  </si>
  <si>
    <t>2026-01-29 10:58:27</t>
  </si>
  <si>
    <t>Situmai K Mtandanyi</t>
  </si>
  <si>
    <t>2026-01-27 13:41:24</t>
  </si>
  <si>
    <t>2026-01-29 13:51:26</t>
  </si>
  <si>
    <t>Christopher Philipo Samuyango</t>
  </si>
  <si>
    <t>2026-01-27 17:27:28</t>
  </si>
  <si>
    <t>2026-01-30 12:36:27</t>
  </si>
  <si>
    <t>Mwavita  Furaha</t>
  </si>
  <si>
    <t>2026-01-27 17:30:49</t>
  </si>
  <si>
    <t>2026-01-30 14:30:02</t>
  </si>
  <si>
    <t>Kakulu Yasin Mihozo</t>
  </si>
  <si>
    <t>2026-01-28 10:43:11</t>
  </si>
  <si>
    <t>2026-01-30 15:17:42</t>
  </si>
  <si>
    <t>Zawadi Jackson Nanda</t>
  </si>
  <si>
    <t>2026-01-28 13:58:24</t>
  </si>
  <si>
    <t>2026-01-30 16:21:23</t>
  </si>
  <si>
    <t>Hadija Robson Rusovu</t>
  </si>
  <si>
    <t>2026-01-28 22:09:20</t>
  </si>
  <si>
    <t>2026-01-31 18:02:34</t>
  </si>
  <si>
    <t>Shabani Ramadhani Saleh</t>
  </si>
  <si>
    <t>Kalia Hussein Kubaza</t>
  </si>
  <si>
    <t>2026-01-29 03:33:39</t>
  </si>
  <si>
    <t>2026-01-31 17:39:49</t>
  </si>
  <si>
    <t>Milgreda Essau Japhet</t>
  </si>
  <si>
    <t>2026-01-29 11:16:06</t>
  </si>
  <si>
    <t>2026-01-31 16:46:02</t>
  </si>
  <si>
    <t>Halfan Shaban Somaso</t>
  </si>
  <si>
    <t>2026-01-29 12:05:56</t>
  </si>
  <si>
    <t>2026-01-31 16:31:43</t>
  </si>
  <si>
    <t>Zaina Rambei Jeremia</t>
  </si>
  <si>
    <t>2025-12-30 12:38:10</t>
  </si>
  <si>
    <t>2026-01-01 10:10:38</t>
  </si>
  <si>
    <t>Pili Ahmadi Mneza</t>
  </si>
  <si>
    <t>2025-12-30 13:21:13</t>
  </si>
  <si>
    <t>2026-01-01 09:36:42</t>
  </si>
  <si>
    <t>Grace Peter Muhambo</t>
  </si>
  <si>
    <t>2025-12-30 17:20:42</t>
  </si>
  <si>
    <t>2026-01-01 11:29:20</t>
  </si>
  <si>
    <t>Eliza Samson Samwel</t>
  </si>
  <si>
    <t>2025-12-30 19:16:18</t>
  </si>
  <si>
    <t>2026-01-01 14:17:29</t>
  </si>
  <si>
    <t>Eliada Robert Robert</t>
  </si>
  <si>
    <t>2025-12-30 19:32:32</t>
  </si>
  <si>
    <t>2026-01-01 15:37:14</t>
  </si>
  <si>
    <t>Hashim Habibu Kayago</t>
  </si>
  <si>
    <t>2025-12-30 21:08:32</t>
  </si>
  <si>
    <t>2026-01-01 14:17:18</t>
  </si>
  <si>
    <t>Gian Hassan Msuba</t>
  </si>
  <si>
    <t>2025-12-31 00:50:32</t>
  </si>
  <si>
    <t>2026-01-01 14:34:45</t>
  </si>
  <si>
    <t>Fatuma Said Kilungu</t>
  </si>
  <si>
    <t>2025-12-31 11:32:46</t>
  </si>
  <si>
    <t>2026-01-01 17:49:53</t>
  </si>
  <si>
    <t>Aisha Rashid Msuta</t>
  </si>
  <si>
    <t>2025-12-31 17:00:52</t>
  </si>
  <si>
    <t>2026-01-01 17:24:56</t>
  </si>
  <si>
    <t>Abdulrahman K Kadito</t>
  </si>
  <si>
    <t>2025-12-31 23:33:32</t>
  </si>
  <si>
    <t>2026-01-02 11:56:10</t>
  </si>
  <si>
    <t>Pelina H Noboka</t>
  </si>
  <si>
    <t>2026-01-01 15:43:26</t>
  </si>
  <si>
    <t>2026-01-03 08:55:23</t>
  </si>
  <si>
    <t>Anna Filipo Nuhu</t>
  </si>
  <si>
    <t>2026-01-02 01:33:27</t>
  </si>
  <si>
    <t>2026-01-03 17:52:32</t>
  </si>
  <si>
    <t>Fatuma Tosili Eliasa</t>
  </si>
  <si>
    <t>2026-01-02 08:50:51</t>
  </si>
  <si>
    <t>2026-01-03 14:58:57</t>
  </si>
  <si>
    <t>Huberto Mahanga Tegera</t>
  </si>
  <si>
    <t>2026-01-02 09:01:01</t>
  </si>
  <si>
    <t>2026-01-03 12:19:06</t>
  </si>
  <si>
    <t>Bryson Fedrick Stephano</t>
  </si>
  <si>
    <t>2026-01-02 13:03:32</t>
  </si>
  <si>
    <t>2026-01-03 13:11:22</t>
  </si>
  <si>
    <t>Winifrida Elidadi Bujiji</t>
  </si>
  <si>
    <t>2026-01-02 15:30:32</t>
  </si>
  <si>
    <t>2026-01-04 13:45:10</t>
  </si>
  <si>
    <t>Lucia  Onesmo Holle</t>
  </si>
  <si>
    <t>2026-01-02 18:59:24</t>
  </si>
  <si>
    <t>2026-01-04 13:41:30</t>
  </si>
  <si>
    <t>Brown Matwili Matinde</t>
  </si>
  <si>
    <t>2026-01-03 00:38:36</t>
  </si>
  <si>
    <t>2026-01-04 13:42:11</t>
  </si>
  <si>
    <t>Hudhaifa Sadick Yusuph</t>
  </si>
  <si>
    <t>2026-01-03 01:57:39</t>
  </si>
  <si>
    <t>2026-01-04 12:36:48</t>
  </si>
  <si>
    <t>Raikani Erikado Severino</t>
  </si>
  <si>
    <t>2026-01-03 17:25:36</t>
  </si>
  <si>
    <t>2026-01-05 10:29:03</t>
  </si>
  <si>
    <t>2026-01-03 17:55:26</t>
  </si>
  <si>
    <t>2026-01-05 17:23:02</t>
  </si>
  <si>
    <t>Herieth J Kamuangile</t>
  </si>
  <si>
    <t>2026-01-04 11:21:29</t>
  </si>
  <si>
    <t>2026-01-05 14:34:28</t>
  </si>
  <si>
    <t>Marcellino Issa Ntulyasili</t>
  </si>
  <si>
    <t>2026-01-04 11:33:33</t>
  </si>
  <si>
    <t>2026-01-05 18:00:27</t>
  </si>
  <si>
    <t>Mercy   Assey</t>
  </si>
  <si>
    <t>Melisiana Saimon Saimon</t>
  </si>
  <si>
    <t>2026-01-04 14:32:11</t>
  </si>
  <si>
    <t>2026-01-05 16:44:04</t>
  </si>
  <si>
    <t>Careen Yohana Joel</t>
  </si>
  <si>
    <t>2026-01-04 15:40:26</t>
  </si>
  <si>
    <t>2026-01-06 13:21:45</t>
  </si>
  <si>
    <t>Catherine Y Joel</t>
  </si>
  <si>
    <t>2026-01-04 15:41:36</t>
  </si>
  <si>
    <t>2026-01-06 13:22:34</t>
  </si>
  <si>
    <t>Rosa Laurent Antony</t>
  </si>
  <si>
    <t>2026-01-04 19:38:50</t>
  </si>
  <si>
    <t>2026-01-06 15:33:34</t>
  </si>
  <si>
    <t>Benjamin Wilson Sheho</t>
  </si>
  <si>
    <t>2026-01-04 21:48:02</t>
  </si>
  <si>
    <t>2026-01-06 17:48:05</t>
  </si>
  <si>
    <t>Rose Bernad Helman</t>
  </si>
  <si>
    <t>2026-01-05 07:42:12</t>
  </si>
  <si>
    <t>2026-01-06 14:48:18</t>
  </si>
  <si>
    <t>Samweli Nsengiyumva Azori</t>
  </si>
  <si>
    <t>2026-01-05 08:54:54</t>
  </si>
  <si>
    <t>2026-01-06 16:10:09</t>
  </si>
  <si>
    <t>Nemy Gosbert Ndamagi</t>
  </si>
  <si>
    <t>Angela Cacubert Ndereka</t>
  </si>
  <si>
    <t>2026-01-05 11:09:30</t>
  </si>
  <si>
    <t>2026-01-06 17:34:31</t>
  </si>
  <si>
    <t>Genipher Venance Mbeya</t>
  </si>
  <si>
    <t>2026-01-05 12:10:07</t>
  </si>
  <si>
    <t>2026-01-06 14:45:33</t>
  </si>
  <si>
    <t>Adolph T Nyegee</t>
  </si>
  <si>
    <t>2026-01-05 12:27:57</t>
  </si>
  <si>
    <t>2026-01-06 14:31:48</t>
  </si>
  <si>
    <t>Fanuel  Rabani Chishako</t>
  </si>
  <si>
    <t>2026-01-05 17:09:06</t>
  </si>
  <si>
    <t>2026-01-07 16:29:23</t>
  </si>
  <si>
    <t>Asia Kilmagiye Mitabhalo</t>
  </si>
  <si>
    <t>2026-01-05 17:39:32</t>
  </si>
  <si>
    <t>2026-01-07 17:15:35</t>
  </si>
  <si>
    <t>Denis V Kahendaguza</t>
  </si>
  <si>
    <t>2026-01-05 20:23:26</t>
  </si>
  <si>
    <t>2026-01-07 17:23:44</t>
  </si>
  <si>
    <t>Amida Mohammedi Kapungo</t>
  </si>
  <si>
    <t>2026-01-06 00:24:24</t>
  </si>
  <si>
    <t>2026-01-07 18:03:48</t>
  </si>
  <si>
    <t>Ibrahim Kajuna Ibrahim</t>
  </si>
  <si>
    <t>2026-01-08 17:04:37</t>
  </si>
  <si>
    <t>Dylan David Deusi</t>
  </si>
  <si>
    <t>2026-01-07 17:54:54</t>
  </si>
  <si>
    <t>2026-01-09 15:40:24</t>
  </si>
  <si>
    <t>Nuriat Juma Baruani</t>
  </si>
  <si>
    <t>2026-01-07 19:52:02</t>
  </si>
  <si>
    <t>2026-01-09 18:49:19</t>
  </si>
  <si>
    <t>Charles N Ipagala</t>
  </si>
  <si>
    <t>2026-01-07 20:07:33</t>
  </si>
  <si>
    <t>2026-01-09 16:42:23</t>
  </si>
  <si>
    <t>Piele Juma Juma</t>
  </si>
  <si>
    <t>2026-01-08 03:45:21</t>
  </si>
  <si>
    <t>2026-01-09 10:16:55</t>
  </si>
  <si>
    <t>Chiku A Mwinyi</t>
  </si>
  <si>
    <t>74 years</t>
  </si>
  <si>
    <t>2026-01-08 08:18:17</t>
  </si>
  <si>
    <t>2026-01-09 13:56:51</t>
  </si>
  <si>
    <t>Baby Of Rosemary  Leonard Lusimbi</t>
  </si>
  <si>
    <t>2026-01-08 12:09:01</t>
  </si>
  <si>
    <t>2026-01-09 15:48:39</t>
  </si>
  <si>
    <t>Phanuel M Manwa</t>
  </si>
  <si>
    <t>2026-01-08 16:54:47</t>
  </si>
  <si>
    <t>2026-01-10 11:26:22</t>
  </si>
  <si>
    <t>Sebaste Dickison Sereste</t>
  </si>
  <si>
    <t>2026-01-09 00:07:13</t>
  </si>
  <si>
    <t>2026-01-10 16:56:00</t>
  </si>
  <si>
    <t>2026-01-09 13:17:43</t>
  </si>
  <si>
    <t>2026-01-11 13:02:45</t>
  </si>
  <si>
    <t>Jakobo Matheo Michael</t>
  </si>
  <si>
    <t>2026-01-09 13:52:46</t>
  </si>
  <si>
    <t>2026-01-10 16:54:28</t>
  </si>
  <si>
    <t>Lujaina Maliki Abasi</t>
  </si>
  <si>
    <t>2026-01-10 14:59:18</t>
  </si>
  <si>
    <t>2026-01-11 19:37:52</t>
  </si>
  <si>
    <t>Said Musa Mwanampemba</t>
  </si>
  <si>
    <t>2026-01-10 16:54:31</t>
  </si>
  <si>
    <t>2026-01-12 13:14:22</t>
  </si>
  <si>
    <t>Kezia Keka Kagoma</t>
  </si>
  <si>
    <t>2026-01-11 04:50:33</t>
  </si>
  <si>
    <t>2026-01-12 12:29:11</t>
  </si>
  <si>
    <t>Baraka Festo John</t>
  </si>
  <si>
    <t>2026-01-11 18:46:42</t>
  </si>
  <si>
    <t>2026-01-13 18:25:23</t>
  </si>
  <si>
    <t>Mariam Sungura Rashid</t>
  </si>
  <si>
    <t>2026-01-11 20:24:09</t>
  </si>
  <si>
    <t>2026-01-13 16:00:47</t>
  </si>
  <si>
    <t>Tatu  Hassan Rajabu</t>
  </si>
  <si>
    <t>2026-01-11 20:49:28</t>
  </si>
  <si>
    <t>2026-01-13 13:11:54</t>
  </si>
  <si>
    <t>Halima Ismail Hassani</t>
  </si>
  <si>
    <t>2026-01-12 06:56:43</t>
  </si>
  <si>
    <t>2026-01-13 14:32:25</t>
  </si>
  <si>
    <t>Storina Samweli Yaredi</t>
  </si>
  <si>
    <t>2026-01-12 09:45:17</t>
  </si>
  <si>
    <t>2026-01-13 17:34:08</t>
  </si>
  <si>
    <t>Rebeka Moshi Omary</t>
  </si>
  <si>
    <t>2026-01-12 10:57:00</t>
  </si>
  <si>
    <t>2026-01-13 17:36:05</t>
  </si>
  <si>
    <t>Dafroza Kivike Betod</t>
  </si>
  <si>
    <t>2026-01-12 11:20:16</t>
  </si>
  <si>
    <t>2026-01-13 18:21:25</t>
  </si>
  <si>
    <t>Asia Kassim Magiro</t>
  </si>
  <si>
    <t>2026-01-12 13:13:39</t>
  </si>
  <si>
    <t>2026-01-13 18:13:18</t>
  </si>
  <si>
    <t>Meritha M Mgaya</t>
  </si>
  <si>
    <t>2026-01-12 14:08:56</t>
  </si>
  <si>
    <t>2026-01-14 12:41:26</t>
  </si>
  <si>
    <t>2026-01-12 14:34:02</t>
  </si>
  <si>
    <t>2026-01-14 10:49:28</t>
  </si>
  <si>
    <t>Zuwena Gidion Nungu</t>
  </si>
  <si>
    <t>2026-01-12 15:24:57</t>
  </si>
  <si>
    <t>2026-01-14 10:14:03</t>
  </si>
  <si>
    <t>Anatoria Leonard Ndamgoba</t>
  </si>
  <si>
    <t>2026-01-12 22:50:44</t>
  </si>
  <si>
    <t>2026-01-14 11:43:07</t>
  </si>
  <si>
    <t>2026-01-12 22:53:56</t>
  </si>
  <si>
    <t>2026-01-14 12:34:23</t>
  </si>
  <si>
    <t>Bahati Hamisi Chongella</t>
  </si>
  <si>
    <t>2026-01-13 10:42:42</t>
  </si>
  <si>
    <t>2026-01-14 12:32:06</t>
  </si>
  <si>
    <t>Anyesi John Ernest</t>
  </si>
  <si>
    <t>2026-01-13 16:37:39</t>
  </si>
  <si>
    <t>2026-01-15 13:24:06</t>
  </si>
  <si>
    <t>Shida Ramadhani Mkoko</t>
  </si>
  <si>
    <t>2026-01-13 21:06:48</t>
  </si>
  <si>
    <t>2026-01-15 15:15:43</t>
  </si>
  <si>
    <t xml:space="preserve">Novastis  Sango Mathias </t>
  </si>
  <si>
    <t>2026-01-13 23:11:13</t>
  </si>
  <si>
    <t>2026-01-15 17:49:13</t>
  </si>
  <si>
    <t>Jackson Sologo Domo</t>
  </si>
  <si>
    <t>2026-01-14 00:47:31</t>
  </si>
  <si>
    <t>2026-01-15 14:14:52</t>
  </si>
  <si>
    <t>Zainabu Makiga Hamimu</t>
  </si>
  <si>
    <t>2026-01-14 14:06:12</t>
  </si>
  <si>
    <t>2026-01-16 11:45:28</t>
  </si>
  <si>
    <t>Saidi Ntilubaye Bilaho</t>
  </si>
  <si>
    <t>89 years</t>
  </si>
  <si>
    <t>2026-01-14 16:45:37</t>
  </si>
  <si>
    <t>2026-01-16 15:16:07</t>
  </si>
  <si>
    <t>Neema Said Ramadhan</t>
  </si>
  <si>
    <t>2026-01-14 21:52:59</t>
  </si>
  <si>
    <t>2026-01-16 16:56:27</t>
  </si>
  <si>
    <t>Masasila Lufogola Malando</t>
  </si>
  <si>
    <t>2026-01-15 00:49:18</t>
  </si>
  <si>
    <t>2026-01-16 13:50:24</t>
  </si>
  <si>
    <t>Baby Ofedisa Dominiko Mkuyu</t>
  </si>
  <si>
    <t>2026-01-15 03:19:56</t>
  </si>
  <si>
    <t>2026-01-16 16:59:58</t>
  </si>
  <si>
    <t>Chakuku Mashaka Chakuku</t>
  </si>
  <si>
    <t>2026-01-15 10:16:38</t>
  </si>
  <si>
    <t>2026-01-17 10:07:50</t>
  </si>
  <si>
    <t>Shamira Omary Salumu</t>
  </si>
  <si>
    <t>2026-01-15 16:01:46</t>
  </si>
  <si>
    <t>2026-01-16 17:57:50</t>
  </si>
  <si>
    <t>Bernadetha Kiyaba John</t>
  </si>
  <si>
    <t>2026-01-16 03:36:01</t>
  </si>
  <si>
    <t>2026-01-17 12:43:27</t>
  </si>
  <si>
    <t>Anastazia Mwigulu Joseph</t>
  </si>
  <si>
    <t>2026-01-16 07:27:57</t>
  </si>
  <si>
    <t>2026-01-17 12:38:35</t>
  </si>
  <si>
    <t>Saudat Moshi Shabani</t>
  </si>
  <si>
    <t>2026-01-16 10:08:38</t>
  </si>
  <si>
    <t>2026-01-17 17:41:47</t>
  </si>
  <si>
    <t>Kassimu N Rumogela</t>
  </si>
  <si>
    <t>2026-01-16 10:11:06</t>
  </si>
  <si>
    <t>2026-01-17 16:08:06</t>
  </si>
  <si>
    <t>2026-01-16 12:49:40</t>
  </si>
  <si>
    <t>2026-01-17 14:22:00</t>
  </si>
  <si>
    <t>Riziki R Mahara</t>
  </si>
  <si>
    <t>2026-01-16 18:23:20</t>
  </si>
  <si>
    <t>2026-01-18 16:40:23</t>
  </si>
  <si>
    <t>Baby Of Anastazia Kassian Nyanzale</t>
  </si>
  <si>
    <t>2026-01-17 14:08:38</t>
  </si>
  <si>
    <t>2026-01-19 12:07:30</t>
  </si>
  <si>
    <t>Baby Of Mwanne Salum Mwami</t>
  </si>
  <si>
    <t>2026-01-17 15:40:36</t>
  </si>
  <si>
    <t>2026-01-18 15:52:39</t>
  </si>
  <si>
    <t>Husna  Husein Omary</t>
  </si>
  <si>
    <t>2026-01-17 16:54:14</t>
  </si>
  <si>
    <t>2026-01-19 16:12:09</t>
  </si>
  <si>
    <t>Baby Of Aisha  Mohamed Athumani</t>
  </si>
  <si>
    <t>2026-01-17 18:00:38</t>
  </si>
  <si>
    <t>2026-01-19 10:01:07</t>
  </si>
  <si>
    <t>Zena Juma Adilema</t>
  </si>
  <si>
    <t>2026-01-17 18:38:02</t>
  </si>
  <si>
    <t>2026-01-19 17:15:05</t>
  </si>
  <si>
    <t>Frederick K Fufu</t>
  </si>
  <si>
    <t>2026-01-17 18:42:40</t>
  </si>
  <si>
    <t>2026-01-19 15:57:42</t>
  </si>
  <si>
    <t>Mwasiti Makonga Idd</t>
  </si>
  <si>
    <t>2026-01-17 20:02:56</t>
  </si>
  <si>
    <t>2026-01-19 17:36:01</t>
  </si>
  <si>
    <t xml:space="preserve">Baby Of Shamsa  Issa  Galula </t>
  </si>
  <si>
    <t>2026-01-18 09:17:09</t>
  </si>
  <si>
    <t>2026-01-19 14:34:08</t>
  </si>
  <si>
    <t>Azati Karim Abdallah</t>
  </si>
  <si>
    <t>2026-01-18 10:19:01</t>
  </si>
  <si>
    <t>2026-01-19 16:36:35</t>
  </si>
  <si>
    <t>Mgisha M Swagara</t>
  </si>
  <si>
    <t>2026-01-18 20:04:27</t>
  </si>
  <si>
    <t>2026-01-20 14:46:59</t>
  </si>
  <si>
    <t>Baby Of Ester  Jeremia Malewa</t>
  </si>
  <si>
    <t>2026-01-18 21:40:04</t>
  </si>
  <si>
    <t>2026-01-20 08:28:41</t>
  </si>
  <si>
    <t>Pelagia  Doniniko Goloba</t>
  </si>
  <si>
    <t>2026-01-19 01:39:22</t>
  </si>
  <si>
    <t>2026-01-20 15:56:08</t>
  </si>
  <si>
    <t>Yussuph K Milimo</t>
  </si>
  <si>
    <t>Buhigwe</t>
  </si>
  <si>
    <t>2026-01-19 13:20:58</t>
  </si>
  <si>
    <t>2026-01-21 11:59:22</t>
  </si>
  <si>
    <t>Ally  Segumba Hamisi</t>
  </si>
  <si>
    <t>2026-01-19 14:22:46</t>
  </si>
  <si>
    <t>2026-01-20 14:41:04</t>
  </si>
  <si>
    <t>Paulbiden Keiphace Paul</t>
  </si>
  <si>
    <t>2026-01-19 17:02:33</t>
  </si>
  <si>
    <t>2026-01-21 13:51:17</t>
  </si>
  <si>
    <t>Amina Abdallah Selemani</t>
  </si>
  <si>
    <t>2026-01-19 21:55:06</t>
  </si>
  <si>
    <t>2026-01-21 15:19:42</t>
  </si>
  <si>
    <t>Mwanaharus  Hussein  Mahamudu</t>
  </si>
  <si>
    <t>2026-01-20 10:45:29</t>
  </si>
  <si>
    <t>2026-01-21 16:53:30</t>
  </si>
  <si>
    <t>Ramla  Ahmad  Majoro</t>
  </si>
  <si>
    <t>2026-01-20 15:50:57</t>
  </si>
  <si>
    <t>2026-01-21 16:40:11</t>
  </si>
  <si>
    <t>Consolata Francis Sindani</t>
  </si>
  <si>
    <t>2026-01-20 18:42:26</t>
  </si>
  <si>
    <t>2026-01-22 16:15:45</t>
  </si>
  <si>
    <t>B/o  Jamira Amri Seif</t>
  </si>
  <si>
    <t>2026-01-20 18:44:12</t>
  </si>
  <si>
    <t>2026-01-22 14:39:23</t>
  </si>
  <si>
    <t>Hamza Ajali Yahaya</t>
  </si>
  <si>
    <t>2026-01-20 23:49:36</t>
  </si>
  <si>
    <t>2026-01-22 10:40:06</t>
  </si>
  <si>
    <t>Lucia C Kapusi</t>
  </si>
  <si>
    <t>2026-01-21 10:14:38</t>
  </si>
  <si>
    <t>2026-01-22 12:12:49</t>
  </si>
  <si>
    <t>Jorada Elias Jackob</t>
  </si>
  <si>
    <t>2026-01-21 12:04:16</t>
  </si>
  <si>
    <t>2026-01-23 09:58:56</t>
  </si>
  <si>
    <t>Ahmad H Bidida</t>
  </si>
  <si>
    <t>2026-01-21 13:04:30</t>
  </si>
  <si>
    <t>2026-01-23 12:40:27</t>
  </si>
  <si>
    <t>Patrick M Bukomeye</t>
  </si>
  <si>
    <t>2026-01-21 17:18:39</t>
  </si>
  <si>
    <t>2026-01-23 12:38:56</t>
  </si>
  <si>
    <t>Sijapata H Makwaya</t>
  </si>
  <si>
    <t>2026-01-21 18:33:45</t>
  </si>
  <si>
    <t>2026-01-23 10:46:26</t>
  </si>
  <si>
    <t>John Anordi John</t>
  </si>
  <si>
    <t>2026-01-22 00:00:37</t>
  </si>
  <si>
    <t>2026-01-23 17:21:16</t>
  </si>
  <si>
    <t>2026-01-22 00:28:39</t>
  </si>
  <si>
    <t>2026-01-23 09:26:19</t>
  </si>
  <si>
    <t>Hosea Jayloce Sendeka</t>
  </si>
  <si>
    <t>2026-01-22 01:07:49</t>
  </si>
  <si>
    <t>2026-01-23 15:04:52</t>
  </si>
  <si>
    <t>Specioiza N Bilahandi</t>
  </si>
  <si>
    <t>2026-01-22 10:51:16</t>
  </si>
  <si>
    <t>2026-01-23 15:06:16</t>
  </si>
  <si>
    <t>Penina K Eliphace</t>
  </si>
  <si>
    <t>2026-01-22 11:03:08</t>
  </si>
  <si>
    <t>2026-01-23 14:59:53</t>
  </si>
  <si>
    <t>Elisia Zogoye Mpindukila</t>
  </si>
  <si>
    <t>2026-01-22 14:15:10</t>
  </si>
  <si>
    <t>2026-01-24 11:44:49</t>
  </si>
  <si>
    <t>Sania Mikidadi Khalifani</t>
  </si>
  <si>
    <t>2026-01-22 15:11:17</t>
  </si>
  <si>
    <t>2026-01-24 15:04:25</t>
  </si>
  <si>
    <t>Ariana Deus Oscar</t>
  </si>
  <si>
    <t>2026-01-22 17:38:13</t>
  </si>
  <si>
    <t>2026-01-24 16:02:49</t>
  </si>
  <si>
    <t>Aisha Alipipi Mwamengo</t>
  </si>
  <si>
    <t>2026-01-22 18:08:41</t>
  </si>
  <si>
    <t>2026-01-24 17:37:44</t>
  </si>
  <si>
    <t>Theodora Amani Kilatungwa</t>
  </si>
  <si>
    <t>2026-01-22 20:31:24</t>
  </si>
  <si>
    <t>2026-01-24 13:40:07</t>
  </si>
  <si>
    <t>Nuhu Shabani Midogi</t>
  </si>
  <si>
    <t>2026-01-22 23:20:39</t>
  </si>
  <si>
    <t>2026-01-24 13:59:27</t>
  </si>
  <si>
    <t>Bright Bruno Lameck</t>
  </si>
  <si>
    <t>2026-01-23 06:45:30</t>
  </si>
  <si>
    <t>2026-01-24 16:32:47</t>
  </si>
  <si>
    <t>Marry M Alsen</t>
  </si>
  <si>
    <t>2026-01-23 14:36:55</t>
  </si>
  <si>
    <t>2026-01-25 12:32:55</t>
  </si>
  <si>
    <t>Benedicto B Method</t>
  </si>
  <si>
    <t>2026-01-23 15:13:43</t>
  </si>
  <si>
    <t>2026-01-25 12:10:33</t>
  </si>
  <si>
    <t>Jovan Emmanuel Msuya</t>
  </si>
  <si>
    <t>2026-01-23 15:34:57</t>
  </si>
  <si>
    <t>2026-01-25 12:27:36</t>
  </si>
  <si>
    <t>Chimpaye Philbert Baliyangaa</t>
  </si>
  <si>
    <t>2026-01-23 16:31:30</t>
  </si>
  <si>
    <t>2026-01-25 13:27:18</t>
  </si>
  <si>
    <t>Imelida Elias Selekwa</t>
  </si>
  <si>
    <t>2026-01-23 19:32:57</t>
  </si>
  <si>
    <t>2026-01-25 15:19:45</t>
  </si>
  <si>
    <t>Aisha Mombo Kakozi</t>
  </si>
  <si>
    <t>2026-01-23 20:20:37</t>
  </si>
  <si>
    <t>2026-01-25 13:13:04</t>
  </si>
  <si>
    <t>Upendo Robin Kafulama</t>
  </si>
  <si>
    <t>2026-01-23 21:45:45</t>
  </si>
  <si>
    <t>2026-01-25 13:12:06</t>
  </si>
  <si>
    <t>Rachel Amosi Antony</t>
  </si>
  <si>
    <t>2026-01-24 12:33:27</t>
  </si>
  <si>
    <t>2026-01-25 13:07:14</t>
  </si>
  <si>
    <t>Telezia Gwimo Mnonela</t>
  </si>
  <si>
    <t>2026-01-24 14:57:04</t>
  </si>
  <si>
    <t>2026-01-25 15:17:25</t>
  </si>
  <si>
    <t>Happy Raphael Andrea</t>
  </si>
  <si>
    <t>2026-01-24 21:52:58</t>
  </si>
  <si>
    <t>2026-01-26 09:02:50</t>
  </si>
  <si>
    <t>Junhang Song Junhang</t>
  </si>
  <si>
    <t>2026-01-24 23:20:12</t>
  </si>
  <si>
    <t>2026-01-26 13:53:02</t>
  </si>
  <si>
    <t>Habibu  Zuberi</t>
  </si>
  <si>
    <t>2026-01-25 13:01:30</t>
  </si>
  <si>
    <t>2026-01-26 14:40:34</t>
  </si>
  <si>
    <t>Eilan Desdery Credo</t>
  </si>
  <si>
    <t>2026-01-25 14:12:48</t>
  </si>
  <si>
    <t>2026-01-26 14:57:52</t>
  </si>
  <si>
    <t>2026-01-25 20:45:11</t>
  </si>
  <si>
    <t>2026-01-27 16:32:42</t>
  </si>
  <si>
    <t>Pendo Kahena Mayonga</t>
  </si>
  <si>
    <t>2026-01-25 21:13:50</t>
  </si>
  <si>
    <t>2026-01-27 14:19:50</t>
  </si>
  <si>
    <t>Miriam Joseph Stenga</t>
  </si>
  <si>
    <t>2026-01-25 21:26:49</t>
  </si>
  <si>
    <t>2026-01-27 16:36:20</t>
  </si>
  <si>
    <t>Madina Hussein Amrani</t>
  </si>
  <si>
    <t>2026-01-25 21:55:23</t>
  </si>
  <si>
    <t>2026-01-27 12:40:56</t>
  </si>
  <si>
    <t>Hamisi Given Kasumuni</t>
  </si>
  <si>
    <t>2026-01-25 22:13:52</t>
  </si>
  <si>
    <t>2026-01-27 11:21:19</t>
  </si>
  <si>
    <t>Flora J Bikogwa</t>
  </si>
  <si>
    <t>2026-01-26 06:31:52</t>
  </si>
  <si>
    <t>2026-01-27 13:07:49</t>
  </si>
  <si>
    <t>Winfrida Edward  Phiri</t>
  </si>
  <si>
    <t>2026-01-26 09:58:22</t>
  </si>
  <si>
    <t>2026-01-27 17:30:18</t>
  </si>
  <si>
    <t>Halfan Hamis Kayweywe</t>
  </si>
  <si>
    <t>Simon Ntanzi Rubavu</t>
  </si>
  <si>
    <t>2026-01-26 14:54:42</t>
  </si>
  <si>
    <t>2026-01-27 15:56:10</t>
  </si>
  <si>
    <t>Upendo Asheri Elisha</t>
  </si>
  <si>
    <t>11 years</t>
  </si>
  <si>
    <t>2026-01-26 15:47:10</t>
  </si>
  <si>
    <t>2026-01-28 11:54:46</t>
  </si>
  <si>
    <t>Amos Mabwati Nkoni</t>
  </si>
  <si>
    <t>2026-01-26 17:39:32</t>
  </si>
  <si>
    <t>2026-01-28 15:43:19</t>
  </si>
  <si>
    <t>Albina Binamungu Yohana</t>
  </si>
  <si>
    <t>2026-01-26 19:38:19</t>
  </si>
  <si>
    <t>2026-01-28 13:06:02</t>
  </si>
  <si>
    <t>Anitha Mtunzi Levelian</t>
  </si>
  <si>
    <t>2026-01-26 21:01:50</t>
  </si>
  <si>
    <t>2026-01-28 14:17:02</t>
  </si>
  <si>
    <t>Innocensia Anthony Kasunzu</t>
  </si>
  <si>
    <t>Melania M Petro</t>
  </si>
  <si>
    <t>2026-01-26 21:05:55</t>
  </si>
  <si>
    <t>2026-01-28 14:22:41</t>
  </si>
  <si>
    <t>Eva Kanyekebo Sama</t>
  </si>
  <si>
    <t>2026-01-26 21:58:40</t>
  </si>
  <si>
    <t>2026-01-28 12:32:51</t>
  </si>
  <si>
    <t>Sada Athuman Sadick</t>
  </si>
  <si>
    <t>2026-01-27 00:02:36</t>
  </si>
  <si>
    <t>2026-01-28 13:37:41</t>
  </si>
  <si>
    <t>Adija Almas Mondo</t>
  </si>
  <si>
    <t>2026-01-27 11:09:02</t>
  </si>
  <si>
    <t>2026-01-28 15:50:36</t>
  </si>
  <si>
    <t>Amina S Kingombe</t>
  </si>
  <si>
    <t>2026-01-27 12:50:19</t>
  </si>
  <si>
    <t>2026-01-29 09:00:28</t>
  </si>
  <si>
    <t>Asia Kuremba Sungura</t>
  </si>
  <si>
    <t>2026-01-27 16:00:00</t>
  </si>
  <si>
    <t>2026-01-29 15:52:13</t>
  </si>
  <si>
    <t>B/o Hairath Mbaruku Omary</t>
  </si>
  <si>
    <t>2026-01-27 16:55:37</t>
  </si>
  <si>
    <t>2026-01-29 15:48:16</t>
  </si>
  <si>
    <t>Debola Masama Ndege</t>
  </si>
  <si>
    <t>4 months</t>
  </si>
  <si>
    <t>OTHER INSURANCE</t>
  </si>
  <si>
    <t>2026-01-27 19:09:12</t>
  </si>
  <si>
    <t>2026-01-29 10:38:04</t>
  </si>
  <si>
    <t>Baby Of Aisha Said Rashid</t>
  </si>
  <si>
    <t>2026-01-28 08:46:45</t>
  </si>
  <si>
    <t>2026-01-29 08:55:04</t>
  </si>
  <si>
    <t>Annastazia Michael Simwanza</t>
  </si>
  <si>
    <t>2026-01-28 15:29:58</t>
  </si>
  <si>
    <t>2026-01-30 11:32:47</t>
  </si>
  <si>
    <t>Nuriath Ally Hassani</t>
  </si>
  <si>
    <t>2026-01-28 17:04:17</t>
  </si>
  <si>
    <t>2026-01-30 15:18:11</t>
  </si>
  <si>
    <t>Zacharia Stephano Kagoma</t>
  </si>
  <si>
    <t>2026-01-28 18:23:33</t>
  </si>
  <si>
    <t>2026-01-30 13:23:55</t>
  </si>
  <si>
    <t>Wifoad Erdard Elisha</t>
  </si>
  <si>
    <t>2026-01-29 00:43:19</t>
  </si>
  <si>
    <t>2026-01-30 12:43:11</t>
  </si>
  <si>
    <t>Babyof Wivina Fransinsi Bungwa</t>
  </si>
  <si>
    <t>2026-01-29 17:05:23</t>
  </si>
  <si>
    <t>2026-01-31 16:11:39</t>
  </si>
  <si>
    <t>Sumaiya Hafidhi Ngarambe</t>
  </si>
  <si>
    <t>2026-01-29 19:33:59</t>
  </si>
  <si>
    <t>2026-01-31 17:47:56</t>
  </si>
  <si>
    <t>Mwajuma Fikilini Hussein</t>
  </si>
  <si>
    <t>2026-01-29 20:56:21</t>
  </si>
  <si>
    <t>2026-01-31 15:41:21</t>
  </si>
  <si>
    <t>2025-12-31 13:50:50</t>
  </si>
  <si>
    <t>2026-01-01 10:07:19</t>
  </si>
  <si>
    <t>Pudensia Petro Mwaya</t>
  </si>
  <si>
    <t>2025-12-31 14:43:55</t>
  </si>
  <si>
    <t>2026-01-01 13:02:58</t>
  </si>
  <si>
    <t>Leah J David</t>
  </si>
  <si>
    <t>2025-12-31 15:25:51</t>
  </si>
  <si>
    <t>2026-01-01 14:41:44</t>
  </si>
  <si>
    <t>Kyango Gabriel Gowa</t>
  </si>
  <si>
    <t>2026-01-01 03:04:17</t>
  </si>
  <si>
    <t>2026-01-01 16:35:05</t>
  </si>
  <si>
    <t>Amina Ismail Hussein</t>
  </si>
  <si>
    <t>2026-01-01 06:22:16</t>
  </si>
  <si>
    <t>2026-01-01 17:31:56</t>
  </si>
  <si>
    <t>Zena Stefano Musa</t>
  </si>
  <si>
    <t>2026-01-01 11:38:38</t>
  </si>
  <si>
    <t>2026-01-01 12:29:39</t>
  </si>
  <si>
    <t>Shamsa Hamis Omary</t>
  </si>
  <si>
    <t>2026-01-01 14:08:10</t>
  </si>
  <si>
    <t>2026-01-02 12:18:12</t>
  </si>
  <si>
    <t>Subira Shadrack Masogi</t>
  </si>
  <si>
    <t>2026-01-01 15:09:49</t>
  </si>
  <si>
    <t>2026-01-01 16:09:26</t>
  </si>
  <si>
    <t>2026-01-01 19:41:04</t>
  </si>
  <si>
    <t>2026-01-02 13:52:11</t>
  </si>
  <si>
    <t>Pendo Paul Sigalo</t>
  </si>
  <si>
    <t>2026-01-02 09:25:02</t>
  </si>
  <si>
    <t>2026-01-02 17:38:36</t>
  </si>
  <si>
    <t>Denis Amon Nyalusage</t>
  </si>
  <si>
    <t>2026-01-02 14:45:23</t>
  </si>
  <si>
    <t>2026-01-03 13:02:16</t>
  </si>
  <si>
    <t>Judith Thimotheo Mbiha</t>
  </si>
  <si>
    <t>2026-01-02 18:36:49</t>
  </si>
  <si>
    <t>2026-01-03 12:27:38</t>
  </si>
  <si>
    <t>Jackline Mpembeni</t>
  </si>
  <si>
    <t>Moses Selemani Mgoo</t>
  </si>
  <si>
    <t>2026-01-02 21:21:09</t>
  </si>
  <si>
    <t>2026-01-03 19:02:55</t>
  </si>
  <si>
    <t>Anitha Moshi Kishanga</t>
  </si>
  <si>
    <t>2026-01-03 00:59:52</t>
  </si>
  <si>
    <t>2026-01-03 14:54:27</t>
  </si>
  <si>
    <t>Hadija Nuhu Lameki</t>
  </si>
  <si>
    <t>2026-01-04 20:02:22</t>
  </si>
  <si>
    <t>2026-01-05 13:53:43</t>
  </si>
  <si>
    <t>Veronica Juma Malendeja</t>
  </si>
  <si>
    <t>2026-01-04 20:52:00</t>
  </si>
  <si>
    <t>2026-01-05 16:31:46</t>
  </si>
  <si>
    <t>Said M Shaban</t>
  </si>
  <si>
    <t>2026-01-05 11:03:24</t>
  </si>
  <si>
    <t>2026-01-06 10:54:04</t>
  </si>
  <si>
    <t>Boazi Moshi Midarasto</t>
  </si>
  <si>
    <t>2026-01-05 16:23:09</t>
  </si>
  <si>
    <t>2026-01-06 16:02:44</t>
  </si>
  <si>
    <t>Tatu Yahaya Kilola</t>
  </si>
  <si>
    <t>2026-01-05 16:40:16</t>
  </si>
  <si>
    <t>2026-01-06 13:50:48</t>
  </si>
  <si>
    <t>Swalehe  Amrani Nduhiye</t>
  </si>
  <si>
    <t>2026-01-05 19:11:29</t>
  </si>
  <si>
    <t>2026-01-06 11:59:31</t>
  </si>
  <si>
    <t>Omari  Saidi Kamalanyi</t>
  </si>
  <si>
    <t>2026-01-05 19:15:21</t>
  </si>
  <si>
    <t>2026-01-06 16:19:30</t>
  </si>
  <si>
    <t>Agness Gunga Tarie</t>
  </si>
  <si>
    <t>2026-01-05 21:40:43</t>
  </si>
  <si>
    <t>2026-01-06 16:41:19</t>
  </si>
  <si>
    <t>Irene Emmanuel Mbwiliza</t>
  </si>
  <si>
    <t>2026-01-06 13:01:56</t>
  </si>
  <si>
    <t>2026-01-06 13:13:05</t>
  </si>
  <si>
    <t>Yusuph Idd Omary</t>
  </si>
  <si>
    <t>2026-01-07 03:56:53</t>
  </si>
  <si>
    <t>2026-01-07 16:51:03</t>
  </si>
  <si>
    <t>Hawa Abubakari Amrani</t>
  </si>
  <si>
    <t>2026-01-07 17:10:42</t>
  </si>
  <si>
    <t>2026-01-08 16:00:57</t>
  </si>
  <si>
    <t>Lucy A Mpantwa</t>
  </si>
  <si>
    <t>2026-01-08 22:35:40</t>
  </si>
  <si>
    <t>2026-01-09 17:32:12</t>
  </si>
  <si>
    <t>Athuman Rashid Athuman</t>
  </si>
  <si>
    <t>2026-01-09 04:39:40</t>
  </si>
  <si>
    <t>2026-01-09 15:29:50</t>
  </si>
  <si>
    <t>Martha John Michael</t>
  </si>
  <si>
    <t>2026-01-09 16:48:40</t>
  </si>
  <si>
    <t>2026-01-09 18:08:50</t>
  </si>
  <si>
    <t>Fatuma Hassan Ntayogola</t>
  </si>
  <si>
    <t>2026-01-09 19:37:01</t>
  </si>
  <si>
    <t>2026-01-10 15:47:47</t>
  </si>
  <si>
    <t>Neema Frank Masuba</t>
  </si>
  <si>
    <t>2026-01-11 15:43:07</t>
  </si>
  <si>
    <t>2026-01-11 15:52:11</t>
  </si>
  <si>
    <t>Joyce Josephat Buhaga</t>
  </si>
  <si>
    <t>2026-01-12 13:24:59</t>
  </si>
  <si>
    <t>2026-01-12 14:23:48</t>
  </si>
  <si>
    <t>Rahabu Amani Hiza</t>
  </si>
  <si>
    <t>2026-01-12 17:07:25</t>
  </si>
  <si>
    <t>2026-01-13 15:19:52</t>
  </si>
  <si>
    <t>Heri Juma Kiaga</t>
  </si>
  <si>
    <t>Nyanzala Lusesa Mahahila</t>
  </si>
  <si>
    <t>2026-01-12 20:27:37</t>
  </si>
  <si>
    <t>2026-01-13 16:20:19</t>
  </si>
  <si>
    <t>Mariam Juma Rashid</t>
  </si>
  <si>
    <t>2026-01-12 22:52:38</t>
  </si>
  <si>
    <t>2026-01-13 19:49:22</t>
  </si>
  <si>
    <t>Rahabu Richard Abednego</t>
  </si>
  <si>
    <t>2026-01-12 23:02:47</t>
  </si>
  <si>
    <t>2026-01-13 16:53:07</t>
  </si>
  <si>
    <t>Josephine S Kanyomeye</t>
  </si>
  <si>
    <t>2026-01-13 00:53:08</t>
  </si>
  <si>
    <t>2026-01-13 17:22:12</t>
  </si>
  <si>
    <t>Baby Of Rahma Juma Juma</t>
  </si>
  <si>
    <t>2026-01-13 16:09:59</t>
  </si>
  <si>
    <t>2026-01-13 17:41:37</t>
  </si>
  <si>
    <t>Ramla H Kubebo</t>
  </si>
  <si>
    <t>2026-01-13 21:23:17</t>
  </si>
  <si>
    <t>2026-01-14 13:22:27</t>
  </si>
  <si>
    <t>Naudela E Gama</t>
  </si>
  <si>
    <t>2026-01-14 04:46:01</t>
  </si>
  <si>
    <t>2026-01-14 15:26:02</t>
  </si>
  <si>
    <t>Test</t>
  </si>
  <si>
    <t>Temeke</t>
  </si>
  <si>
    <t>JUBILEE</t>
  </si>
  <si>
    <t>2026-01-14 08:57:51</t>
  </si>
  <si>
    <t>2026-01-14 09:20:59</t>
  </si>
  <si>
    <t>System Adminstrator</t>
  </si>
  <si>
    <t>Dar es salaam</t>
  </si>
  <si>
    <t>Happy Nahitaji  Ahazi</t>
  </si>
  <si>
    <t>2026-01-14 12:06:12</t>
  </si>
  <si>
    <t>2026-01-15 08:59:29</t>
  </si>
  <si>
    <t>Kesi S Kamdanga</t>
  </si>
  <si>
    <t>2026-01-14 13:01:25</t>
  </si>
  <si>
    <t>2026-01-15 09:19:23</t>
  </si>
  <si>
    <t>Teresia Kashindi Hamisi</t>
  </si>
  <si>
    <t>2026-01-14 16:45:46</t>
  </si>
  <si>
    <t>2026-01-15 11:09:29</t>
  </si>
  <si>
    <t>Prisca Thomas Raulent</t>
  </si>
  <si>
    <t>2026-01-14 23:26:56</t>
  </si>
  <si>
    <t>2026-01-15 15:13:33</t>
  </si>
  <si>
    <t>Odetha Noah Michael</t>
  </si>
  <si>
    <t>2026-01-15 00:26:24</t>
  </si>
  <si>
    <t>2026-01-15 16:42:36</t>
  </si>
  <si>
    <t>2026-01-15 01:09:06</t>
  </si>
  <si>
    <t>2026-01-15 15:49:14</t>
  </si>
  <si>
    <t xml:space="preserve">Heris  Kalumbe  Laulent </t>
  </si>
  <si>
    <t>2026-01-15 17:21:40</t>
  </si>
  <si>
    <t>2026-01-16 14:52:41</t>
  </si>
  <si>
    <t>Majaliwa Alhaji Rashidi</t>
  </si>
  <si>
    <t>2026-01-16 16:46:27</t>
  </si>
  <si>
    <t>2026-01-17 14:23:28</t>
  </si>
  <si>
    <t>Gian Emmanuel Maganga</t>
  </si>
  <si>
    <t>2026-01-16 17:06:13</t>
  </si>
  <si>
    <t>2026-01-17 14:54:34</t>
  </si>
  <si>
    <t>Retisia  Peter Chipunugu</t>
  </si>
  <si>
    <t>2026-01-17 23:17:01</t>
  </si>
  <si>
    <t>2026-01-18 18:16:33</t>
  </si>
  <si>
    <t>Edna J Makala</t>
  </si>
  <si>
    <t>2026-01-18 04:51:19</t>
  </si>
  <si>
    <t>2026-01-18 18:21:31</t>
  </si>
  <si>
    <t>Selemani Mtumo Kasimu</t>
  </si>
  <si>
    <t>2026-01-18 15:32:02</t>
  </si>
  <si>
    <t>2026-01-19 14:02:37</t>
  </si>
  <si>
    <t>2026-01-18 18:32:21</t>
  </si>
  <si>
    <t>2026-01-19 07:32:18</t>
  </si>
  <si>
    <t>Babyof Fatuma Mustafa Bagamika</t>
  </si>
  <si>
    <t>2026-01-18 20:27:19</t>
  </si>
  <si>
    <t>2026-01-19 12:29:20</t>
  </si>
  <si>
    <t>Rose Akas Shayo</t>
  </si>
  <si>
    <t>2026-01-19 03:12:21</t>
  </si>
  <si>
    <t>2026-01-19 18:01:38</t>
  </si>
  <si>
    <t>Pendo Matias Marko</t>
  </si>
  <si>
    <t>2026-01-19 16:02:58</t>
  </si>
  <si>
    <t>2026-01-20 14:32:48</t>
  </si>
  <si>
    <t>Pili Moshi Kayela</t>
  </si>
  <si>
    <t>2026-01-19 21:21:47</t>
  </si>
  <si>
    <t>2026-01-20 11:20:19</t>
  </si>
  <si>
    <t>Nasra Hassan Abdi</t>
  </si>
  <si>
    <t>2026-01-20 09:24:21</t>
  </si>
  <si>
    <t>2026-01-21 08:48:27</t>
  </si>
  <si>
    <t>2026-01-20 15:45:26</t>
  </si>
  <si>
    <t>2026-01-21 08:23:58</t>
  </si>
  <si>
    <t>Babyof Aida Macho Rajabu</t>
  </si>
  <si>
    <t>2026-01-20 20:35:21</t>
  </si>
  <si>
    <t>2026-01-21 08:40:29</t>
  </si>
  <si>
    <t>Zainabu Hussein Kanyamanza</t>
  </si>
  <si>
    <t>2026-01-20 21:39:29</t>
  </si>
  <si>
    <t>2026-01-21 15:16:04</t>
  </si>
  <si>
    <t>Samwel Nasibu Samwel</t>
  </si>
  <si>
    <t>2026-01-21 03:27:35</t>
  </si>
  <si>
    <t>2026-01-21 15:33:46</t>
  </si>
  <si>
    <t>Asteria Gerivus Bayi</t>
  </si>
  <si>
    <t>2026-01-21 15:42:27</t>
  </si>
  <si>
    <t>2026-01-22 14:19:22</t>
  </si>
  <si>
    <t>Jastin G Rulelekana</t>
  </si>
  <si>
    <t>2026-01-21 16:16:02</t>
  </si>
  <si>
    <t>2026-01-22 14:24:39</t>
  </si>
  <si>
    <t>Juma  Massanja</t>
  </si>
  <si>
    <t>Naima Hamisi Mussa</t>
  </si>
  <si>
    <t>2026-01-22 16:43:01</t>
  </si>
  <si>
    <t>2026-01-23 11:18:24</t>
  </si>
  <si>
    <t>Pili H Simba</t>
  </si>
  <si>
    <t>2026-01-22 22:19:21</t>
  </si>
  <si>
    <t>2026-01-23 15:02:09</t>
  </si>
  <si>
    <t>Ally Juma Mustapha</t>
  </si>
  <si>
    <t>2026-01-24 13:11:05</t>
  </si>
  <si>
    <t>2026-01-25 10:00:56</t>
  </si>
  <si>
    <t>Hemedi Swedi Shabani</t>
  </si>
  <si>
    <t>2026-01-24 17:54:36</t>
  </si>
  <si>
    <t>2026-01-25 16:14:14</t>
  </si>
  <si>
    <t>Richard Boniface Makulilo</t>
  </si>
  <si>
    <t>2026-01-24 18:13:36</t>
  </si>
  <si>
    <t>2026-01-25 15:03:28</t>
  </si>
  <si>
    <t>Juma Saidi Masudi</t>
  </si>
  <si>
    <t>2026-01-24 23:11:05</t>
  </si>
  <si>
    <t>2026-01-25 09:40:49</t>
  </si>
  <si>
    <t>Teddy Gregory Tando</t>
  </si>
  <si>
    <t>2026-01-24 23:35:41</t>
  </si>
  <si>
    <t>2026-01-25 18:21:46</t>
  </si>
  <si>
    <t>Husna Mahmud Kalaseza</t>
  </si>
  <si>
    <t>2026-01-25 07:24:50</t>
  </si>
  <si>
    <t>2026-01-25 07:57:22</t>
  </si>
  <si>
    <t>Dalius Venas Rafael</t>
  </si>
  <si>
    <t>2026-01-25 14:58:46</t>
  </si>
  <si>
    <t>2026-01-26 14:34:49</t>
  </si>
  <si>
    <t>Anipher Chenja January</t>
  </si>
  <si>
    <t>2026-01-25 23:29:48</t>
  </si>
  <si>
    <t>2026-01-26 14:36:36</t>
  </si>
  <si>
    <t>Muslim Maneno Ramadhan</t>
  </si>
  <si>
    <t>2026-01-26 00:10:55</t>
  </si>
  <si>
    <t>2026-01-26 14:30:28</t>
  </si>
  <si>
    <t>Rebeca Josephina Mbilize</t>
  </si>
  <si>
    <t>2026-01-26 07:21:00</t>
  </si>
  <si>
    <t>2026-01-26 18:00:43</t>
  </si>
  <si>
    <t>Kamanda Hussein Saidi</t>
  </si>
  <si>
    <t>84 years</t>
  </si>
  <si>
    <t>2026-01-26 19:17:19</t>
  </si>
  <si>
    <t>2026-01-27 13:57:30</t>
  </si>
  <si>
    <t>Avelina Amon Mawazo</t>
  </si>
  <si>
    <t>2026-01-26 22:47:32</t>
  </si>
  <si>
    <t>2026-01-27 13:49:01</t>
  </si>
  <si>
    <t>Pascal John Mnazi</t>
  </si>
  <si>
    <t>2026-01-26 23:20:39</t>
  </si>
  <si>
    <t>2026-01-27 14:21:06</t>
  </si>
  <si>
    <t>Tuponile James Kaboko</t>
  </si>
  <si>
    <t>2026-01-27 01:22:35</t>
  </si>
  <si>
    <t>2026-01-27 12:54:13</t>
  </si>
  <si>
    <t>Neema Vicent Kasako</t>
  </si>
  <si>
    <t>2026-01-27 05:24:18</t>
  </si>
  <si>
    <t>2026-01-27 15:41:58</t>
  </si>
  <si>
    <t>Yasinta Masanja Mtamla</t>
  </si>
  <si>
    <t>2026-01-27 15:36:21</t>
  </si>
  <si>
    <t>Kelvin P Kamzora</t>
  </si>
  <si>
    <t>2026-01-27 20:50:20</t>
  </si>
  <si>
    <t>2026-01-28 14:26:55</t>
  </si>
  <si>
    <t>B/o Hadija Ramadhan Ismail</t>
  </si>
  <si>
    <t>2026-01-28 19:14:12</t>
  </si>
  <si>
    <t>2026-01-29 09:11:49</t>
  </si>
  <si>
    <t>Esnati Joel Apolonali</t>
  </si>
  <si>
    <t>2026-01-28 22:05:12</t>
  </si>
  <si>
    <t>2026-01-29 17:07:25</t>
  </si>
  <si>
    <t>Abdul Khalid Kasa</t>
  </si>
  <si>
    <t>2026-01-29 00:04:46</t>
  </si>
  <si>
    <t>2026-01-29 08:14:16</t>
  </si>
  <si>
    <t>Zainabu Raphael Mwami</t>
  </si>
  <si>
    <t>2026-01-29 13:41:56</t>
  </si>
  <si>
    <t>2026-01-30 11:47:27</t>
  </si>
  <si>
    <t>Ramadhan Mussa Maulid</t>
  </si>
  <si>
    <t>2026-01-29 16:15:37</t>
  </si>
  <si>
    <t>2026-01-30 12:32:32</t>
  </si>
  <si>
    <t>Baby Of Ashura Hamisi Mrisho</t>
  </si>
  <si>
    <t>2026-01-29 20:25:54</t>
  </si>
  <si>
    <t>2026-01-30 17:31:29</t>
  </si>
  <si>
    <t>Careen Elia Hamis</t>
  </si>
  <si>
    <t>2026-01-30 19:15:42</t>
  </si>
  <si>
    <t>2026-01-31 16:13:59</t>
  </si>
  <si>
    <t>Abdi Issa</t>
  </si>
  <si>
    <t>Adam Rambada Adam</t>
  </si>
  <si>
    <t>2026-01-30 21:09:08</t>
  </si>
  <si>
    <t>2026-01-31 16:33:25</t>
  </si>
  <si>
    <t>Age (Yrs)</t>
  </si>
  <si>
    <t>Validity Check</t>
  </si>
  <si>
    <t>Clean Discharge</t>
  </si>
  <si>
    <t>Neonatal</t>
  </si>
  <si>
    <t>Kigoma Ujiji Mc</t>
  </si>
  <si>
    <t>Labour</t>
  </si>
  <si>
    <t>11/12</t>
  </si>
  <si>
    <t>Paediatric</t>
  </si>
  <si>
    <t>Female Surg, Ortho &amp; Gyn</t>
  </si>
  <si>
    <t>Psychiatrist</t>
  </si>
  <si>
    <t>9/12</t>
  </si>
  <si>
    <t>10/12</t>
  </si>
  <si>
    <t>8/12</t>
  </si>
  <si>
    <t>7/12</t>
  </si>
  <si>
    <t>6/12</t>
  </si>
  <si>
    <t>Grade 1</t>
  </si>
  <si>
    <t>Male Surg &amp; Orthopedic</t>
  </si>
  <si>
    <t>Male Medical</t>
  </si>
  <si>
    <t>5/12</t>
  </si>
  <si>
    <t>2/12</t>
  </si>
  <si>
    <t>3/12</t>
  </si>
  <si>
    <t>Grade 2</t>
  </si>
  <si>
    <t>Female Medical</t>
  </si>
  <si>
    <t>1/12</t>
  </si>
  <si>
    <t>4/12</t>
  </si>
  <si>
    <t>REMEMBER TIP</t>
  </si>
  <si>
    <t>Check for negative values or non-numbers:</t>
  </si>
  <si>
    <t>IF(NOT(ISNUMBER(U2)), "Text Error", IF(U2&lt;0, "Negative", "OK"))</t>
  </si>
  <si>
    <t>How to Fix the Column Permanently (Recommended)</t>
  </si>
  <si>
    <t>Instead of keeping helper formulas, you can standardize the original column directly:</t>
  </si>
  <si>
    <t>1. Select the entire Date column (Column O).</t>
  </si>
  <si>
    <t>2. Go to the Data tab on the top ribbon and click Text to Columns.</t>
  </si>
  <si>
    <t>3. Choose Delimited → Click Next.</t>
  </si>
  <si>
    <t>4. Uncheck all delimiter boxes → Click Next.</t>
  </si>
  <si>
    <t>5. Select Date under Column data format and pick YMD from the dropdown.</t>
  </si>
  <si>
    <t>6. Click Finish.</t>
  </si>
  <si>
    <t>7. Format the column as Short Date or custom YYYY-MM-DD HH:MM:SS using Ctrl + 1.</t>
  </si>
  <si>
    <t>District Clean</t>
  </si>
  <si>
    <t>Ward 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</si>
</sst>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.5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left"/>
    </xf>
    <xf numFmtId="22" fontId="0" fillId="0" borderId="0" xfId="0" applyNumberFormat="1"/>
    <xf numFmtId="0" fontId="3" fillId="3" borderId="0" xfId="0" applyFont="1" applyFill="1" applyAlignment="1">
      <alignment horizontal="left" vertical="center"/>
    </xf>
    <xf numFmtId="0" fontId="2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9A76-B013-4606-BAD8-3F87878C859B}">
  <dimension ref="A1:R908"/>
  <sheetViews>
    <sheetView tabSelected="1" topLeftCell="I1" zoomScale="115" zoomScaleNormal="115" workbookViewId="0">
      <pane ySplit="1" topLeftCell="A59" activePane="bottomLeft" state="frozen"/>
      <selection activeCell="D1" sqref="D1"/>
      <selection pane="bottomLeft" activeCell="O1" sqref="O1:O1048576"/>
    </sheetView>
  </sheetViews>
  <sheetFormatPr defaultRowHeight="15.75" x14ac:dyDescent="0.25"/>
  <cols>
    <col min="1" max="1" width="33.625" bestFit="1" customWidth="1"/>
    <col min="2" max="2" width="13.625" bestFit="1" customWidth="1"/>
    <col min="6" max="6" width="47.125" bestFit="1" customWidth="1"/>
    <col min="8" max="9" width="17.75" bestFit="1" customWidth="1"/>
    <col min="11" max="11" width="15.5" bestFit="1" customWidth="1"/>
    <col min="12" max="12" width="26.25" bestFit="1" customWidth="1"/>
    <col min="13" max="13" width="17.75" customWidth="1"/>
    <col min="14" max="14" width="22.25" bestFit="1" customWidth="1"/>
    <col min="15" max="15" width="18.5" customWidth="1"/>
    <col min="16" max="16" width="13" bestFit="1" customWidth="1"/>
    <col min="17" max="17" width="12.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92772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382</v>
      </c>
      <c r="K2" t="s">
        <v>25</v>
      </c>
      <c r="L2" t="s">
        <v>26</v>
      </c>
      <c r="M2" t="s">
        <v>27</v>
      </c>
      <c r="N2" t="s">
        <v>28</v>
      </c>
      <c r="O2" t="s">
        <v>26</v>
      </c>
      <c r="P2" t="s">
        <v>29</v>
      </c>
      <c r="Q2" t="s">
        <v>30</v>
      </c>
    </row>
    <row r="3" spans="1:17" x14ac:dyDescent="0.25">
      <c r="A3" t="s">
        <v>31</v>
      </c>
      <c r="B3">
        <v>93921</v>
      </c>
      <c r="C3" t="s">
        <v>18</v>
      </c>
      <c r="D3" t="s">
        <v>32</v>
      </c>
      <c r="E3" t="s">
        <v>33</v>
      </c>
      <c r="F3" t="s">
        <v>21</v>
      </c>
      <c r="G3" t="s">
        <v>22</v>
      </c>
      <c r="H3" t="s">
        <v>34</v>
      </c>
      <c r="I3" t="s">
        <v>35</v>
      </c>
      <c r="J3">
        <v>369</v>
      </c>
      <c r="K3" t="s">
        <v>25</v>
      </c>
      <c r="L3" t="s">
        <v>26</v>
      </c>
      <c r="M3" t="s">
        <v>36</v>
      </c>
      <c r="N3" t="s">
        <v>28</v>
      </c>
      <c r="O3" t="s">
        <v>37</v>
      </c>
      <c r="P3" t="s">
        <v>29</v>
      </c>
      <c r="Q3" t="s">
        <v>30</v>
      </c>
    </row>
    <row r="4" spans="1:17" x14ac:dyDescent="0.25">
      <c r="A4" t="s">
        <v>38</v>
      </c>
      <c r="B4">
        <v>99223</v>
      </c>
      <c r="C4" t="s">
        <v>39</v>
      </c>
      <c r="D4" t="s">
        <v>32</v>
      </c>
      <c r="E4" t="s">
        <v>33</v>
      </c>
      <c r="F4" t="s">
        <v>40</v>
      </c>
      <c r="G4" t="s">
        <v>22</v>
      </c>
      <c r="H4" t="s">
        <v>41</v>
      </c>
      <c r="I4" t="s">
        <v>42</v>
      </c>
      <c r="J4">
        <v>314</v>
      </c>
      <c r="K4" t="s">
        <v>25</v>
      </c>
      <c r="L4" t="s">
        <v>43</v>
      </c>
      <c r="M4" t="s">
        <v>44</v>
      </c>
      <c r="N4" t="s">
        <v>45</v>
      </c>
      <c r="O4" t="s">
        <v>46</v>
      </c>
      <c r="P4" t="s">
        <v>29</v>
      </c>
      <c r="Q4" t="s">
        <v>30</v>
      </c>
    </row>
    <row r="5" spans="1:17" x14ac:dyDescent="0.25">
      <c r="A5" t="s">
        <v>47</v>
      </c>
      <c r="B5">
        <v>99453</v>
      </c>
      <c r="C5" t="s">
        <v>18</v>
      </c>
      <c r="D5" t="s">
        <v>19</v>
      </c>
      <c r="E5" t="s">
        <v>33</v>
      </c>
      <c r="F5" t="s">
        <v>21</v>
      </c>
      <c r="G5" t="s">
        <v>22</v>
      </c>
      <c r="H5" t="s">
        <v>48</v>
      </c>
      <c r="I5" t="s">
        <v>49</v>
      </c>
      <c r="J5">
        <v>311</v>
      </c>
      <c r="K5" t="s">
        <v>25</v>
      </c>
      <c r="L5" t="s">
        <v>50</v>
      </c>
      <c r="M5" t="s">
        <v>51</v>
      </c>
      <c r="N5" t="s">
        <v>28</v>
      </c>
      <c r="O5" t="s">
        <v>52</v>
      </c>
      <c r="P5" t="s">
        <v>29</v>
      </c>
      <c r="Q5" t="s">
        <v>30</v>
      </c>
    </row>
    <row r="6" spans="1:17" x14ac:dyDescent="0.25">
      <c r="A6" t="s">
        <v>53</v>
      </c>
      <c r="B6">
        <v>99888</v>
      </c>
      <c r="C6" t="s">
        <v>54</v>
      </c>
      <c r="D6" t="s">
        <v>32</v>
      </c>
      <c r="E6" t="s">
        <v>33</v>
      </c>
      <c r="F6" t="s">
        <v>40</v>
      </c>
      <c r="G6" t="s">
        <v>22</v>
      </c>
      <c r="H6" t="s">
        <v>55</v>
      </c>
      <c r="I6" t="s">
        <v>56</v>
      </c>
      <c r="J6">
        <v>306</v>
      </c>
      <c r="K6" t="s">
        <v>25</v>
      </c>
      <c r="L6" t="s">
        <v>57</v>
      </c>
      <c r="M6" t="s">
        <v>58</v>
      </c>
      <c r="N6" t="s">
        <v>45</v>
      </c>
      <c r="O6" t="s">
        <v>59</v>
      </c>
      <c r="P6" t="s">
        <v>29</v>
      </c>
      <c r="Q6" t="s">
        <v>30</v>
      </c>
    </row>
    <row r="7" spans="1:17" x14ac:dyDescent="0.25">
      <c r="A7" t="s">
        <v>60</v>
      </c>
      <c r="B7">
        <v>101331</v>
      </c>
      <c r="C7" t="s">
        <v>61</v>
      </c>
      <c r="D7" t="s">
        <v>32</v>
      </c>
      <c r="E7" t="s">
        <v>62</v>
      </c>
      <c r="F7" t="s">
        <v>40</v>
      </c>
      <c r="G7" t="s">
        <v>22</v>
      </c>
      <c r="H7" t="s">
        <v>63</v>
      </c>
      <c r="I7" t="s">
        <v>64</v>
      </c>
      <c r="J7">
        <v>290</v>
      </c>
      <c r="K7" t="s">
        <v>65</v>
      </c>
      <c r="L7" t="s">
        <v>57</v>
      </c>
      <c r="M7" t="s">
        <v>66</v>
      </c>
      <c r="N7" t="s">
        <v>45</v>
      </c>
      <c r="O7" t="s">
        <v>26</v>
      </c>
      <c r="P7" t="s">
        <v>29</v>
      </c>
      <c r="Q7" t="s">
        <v>30</v>
      </c>
    </row>
    <row r="8" spans="1:17" x14ac:dyDescent="0.25">
      <c r="A8" t="s">
        <v>67</v>
      </c>
      <c r="B8">
        <v>38859</v>
      </c>
      <c r="C8" t="s">
        <v>68</v>
      </c>
      <c r="D8" t="s">
        <v>32</v>
      </c>
      <c r="E8" t="s">
        <v>33</v>
      </c>
      <c r="F8" t="s">
        <v>40</v>
      </c>
      <c r="G8" t="s">
        <v>22</v>
      </c>
      <c r="H8" t="s">
        <v>69</v>
      </c>
      <c r="I8" t="s">
        <v>70</v>
      </c>
      <c r="J8">
        <v>287</v>
      </c>
      <c r="K8" t="s">
        <v>25</v>
      </c>
      <c r="L8" t="s">
        <v>46</v>
      </c>
      <c r="M8" t="s">
        <v>71</v>
      </c>
      <c r="N8" t="s">
        <v>45</v>
      </c>
      <c r="O8" t="s">
        <v>72</v>
      </c>
      <c r="P8" t="s">
        <v>29</v>
      </c>
      <c r="Q8" t="s">
        <v>30</v>
      </c>
    </row>
    <row r="9" spans="1:17" x14ac:dyDescent="0.25">
      <c r="A9" t="s">
        <v>73</v>
      </c>
      <c r="B9">
        <v>101662</v>
      </c>
      <c r="C9" t="s">
        <v>74</v>
      </c>
      <c r="D9" t="s">
        <v>32</v>
      </c>
      <c r="E9" t="s">
        <v>33</v>
      </c>
      <c r="F9" t="s">
        <v>40</v>
      </c>
      <c r="G9" t="s">
        <v>22</v>
      </c>
      <c r="H9" t="s">
        <v>75</v>
      </c>
      <c r="I9" t="s">
        <v>76</v>
      </c>
      <c r="J9">
        <v>286</v>
      </c>
      <c r="K9" t="s">
        <v>25</v>
      </c>
      <c r="L9" t="s">
        <v>77</v>
      </c>
      <c r="M9" t="s">
        <v>78</v>
      </c>
      <c r="N9" t="s">
        <v>45</v>
      </c>
      <c r="O9" t="s">
        <v>46</v>
      </c>
      <c r="P9" t="s">
        <v>29</v>
      </c>
      <c r="Q9" t="s">
        <v>30</v>
      </c>
    </row>
    <row r="10" spans="1:17" x14ac:dyDescent="0.25">
      <c r="A10" t="s">
        <v>79</v>
      </c>
      <c r="B10">
        <v>102455</v>
      </c>
      <c r="C10" t="s">
        <v>80</v>
      </c>
      <c r="D10" t="s">
        <v>32</v>
      </c>
      <c r="E10" t="s">
        <v>62</v>
      </c>
      <c r="F10" t="s">
        <v>40</v>
      </c>
      <c r="G10" t="s">
        <v>22</v>
      </c>
      <c r="H10" t="s">
        <v>81</v>
      </c>
      <c r="I10" t="s">
        <v>82</v>
      </c>
      <c r="J10">
        <v>276</v>
      </c>
      <c r="K10" t="s">
        <v>25</v>
      </c>
      <c r="L10" t="s">
        <v>83</v>
      </c>
      <c r="M10" t="s">
        <v>84</v>
      </c>
      <c r="N10" t="s">
        <v>45</v>
      </c>
      <c r="O10" t="s">
        <v>72</v>
      </c>
      <c r="P10" t="s">
        <v>29</v>
      </c>
      <c r="Q10" t="s">
        <v>30</v>
      </c>
    </row>
    <row r="11" spans="1:17" x14ac:dyDescent="0.25">
      <c r="A11" t="s">
        <v>85</v>
      </c>
      <c r="B11">
        <v>102626</v>
      </c>
      <c r="C11" t="s">
        <v>86</v>
      </c>
      <c r="D11" t="s">
        <v>32</v>
      </c>
      <c r="E11" t="s">
        <v>33</v>
      </c>
      <c r="F11" t="s">
        <v>40</v>
      </c>
      <c r="G11" t="s">
        <v>22</v>
      </c>
      <c r="H11" t="s">
        <v>87</v>
      </c>
      <c r="I11" t="s">
        <v>88</v>
      </c>
      <c r="J11">
        <v>274</v>
      </c>
      <c r="K11" t="s">
        <v>25</v>
      </c>
      <c r="L11" t="s">
        <v>77</v>
      </c>
      <c r="M11" t="s">
        <v>89</v>
      </c>
      <c r="N11" t="s">
        <v>45</v>
      </c>
      <c r="O11" t="s">
        <v>72</v>
      </c>
      <c r="P11" t="s">
        <v>29</v>
      </c>
      <c r="Q11" t="s">
        <v>30</v>
      </c>
    </row>
    <row r="12" spans="1:17" x14ac:dyDescent="0.25">
      <c r="A12" t="s">
        <v>90</v>
      </c>
      <c r="B12">
        <v>103251</v>
      </c>
      <c r="C12" t="s">
        <v>91</v>
      </c>
      <c r="D12" t="s">
        <v>19</v>
      </c>
      <c r="E12" t="s">
        <v>33</v>
      </c>
      <c r="F12" t="s">
        <v>21</v>
      </c>
      <c r="G12" t="s">
        <v>22</v>
      </c>
      <c r="H12" t="s">
        <v>92</v>
      </c>
      <c r="I12" t="s">
        <v>93</v>
      </c>
      <c r="J12">
        <v>267</v>
      </c>
      <c r="K12" t="s">
        <v>25</v>
      </c>
      <c r="L12" t="s">
        <v>94</v>
      </c>
      <c r="M12" t="s">
        <v>95</v>
      </c>
      <c r="N12" t="s">
        <v>28</v>
      </c>
      <c r="O12" t="s">
        <v>72</v>
      </c>
      <c r="P12" t="s">
        <v>29</v>
      </c>
      <c r="Q12" t="s">
        <v>30</v>
      </c>
    </row>
    <row r="13" spans="1:17" x14ac:dyDescent="0.25">
      <c r="A13" t="s">
        <v>96</v>
      </c>
      <c r="B13">
        <v>103250</v>
      </c>
      <c r="C13" t="s">
        <v>91</v>
      </c>
      <c r="D13" t="s">
        <v>32</v>
      </c>
      <c r="E13" t="s">
        <v>33</v>
      </c>
      <c r="F13" t="s">
        <v>21</v>
      </c>
      <c r="G13" t="s">
        <v>22</v>
      </c>
      <c r="H13" s="5">
        <v>45763.986527777779</v>
      </c>
      <c r="I13" t="s">
        <v>98</v>
      </c>
      <c r="J13">
        <v>267</v>
      </c>
      <c r="K13" t="s">
        <v>25</v>
      </c>
      <c r="L13" t="s">
        <v>94</v>
      </c>
      <c r="M13" t="s">
        <v>95</v>
      </c>
      <c r="N13" t="s">
        <v>28</v>
      </c>
      <c r="O13" t="s">
        <v>72</v>
      </c>
      <c r="P13" t="s">
        <v>29</v>
      </c>
      <c r="Q13" t="s">
        <v>30</v>
      </c>
    </row>
    <row r="14" spans="1:17" x14ac:dyDescent="0.25">
      <c r="A14" t="s">
        <v>99</v>
      </c>
      <c r="B14">
        <v>103252</v>
      </c>
      <c r="C14" t="s">
        <v>91</v>
      </c>
      <c r="D14" t="s">
        <v>19</v>
      </c>
      <c r="E14" t="s">
        <v>33</v>
      </c>
      <c r="F14" t="s">
        <v>21</v>
      </c>
      <c r="G14" t="s">
        <v>22</v>
      </c>
      <c r="H14" t="s">
        <v>100</v>
      </c>
      <c r="I14" t="s">
        <v>101</v>
      </c>
      <c r="J14">
        <v>267</v>
      </c>
      <c r="K14" t="s">
        <v>25</v>
      </c>
      <c r="L14" t="s">
        <v>94</v>
      </c>
      <c r="M14" t="s">
        <v>95</v>
      </c>
      <c r="N14" t="s">
        <v>28</v>
      </c>
      <c r="O14" t="s">
        <v>72</v>
      </c>
      <c r="P14" t="s">
        <v>29</v>
      </c>
      <c r="Q14" t="s">
        <v>30</v>
      </c>
    </row>
    <row r="15" spans="1:17" x14ac:dyDescent="0.25">
      <c r="A15" t="s">
        <v>102</v>
      </c>
      <c r="B15">
        <v>103340</v>
      </c>
      <c r="C15" t="s">
        <v>74</v>
      </c>
      <c r="D15" t="s">
        <v>32</v>
      </c>
      <c r="E15" t="s">
        <v>62</v>
      </c>
      <c r="F15" t="s">
        <v>40</v>
      </c>
      <c r="G15" t="s">
        <v>22</v>
      </c>
      <c r="H15" t="s">
        <v>103</v>
      </c>
      <c r="I15" t="s">
        <v>104</v>
      </c>
      <c r="J15">
        <v>266</v>
      </c>
      <c r="K15" t="s">
        <v>25</v>
      </c>
      <c r="L15" t="s">
        <v>105</v>
      </c>
      <c r="M15" t="s">
        <v>106</v>
      </c>
      <c r="N15" t="s">
        <v>45</v>
      </c>
      <c r="O15" t="s">
        <v>72</v>
      </c>
      <c r="P15" t="s">
        <v>29</v>
      </c>
      <c r="Q15" t="s">
        <v>30</v>
      </c>
    </row>
    <row r="16" spans="1:17" x14ac:dyDescent="0.25">
      <c r="A16" t="s">
        <v>107</v>
      </c>
      <c r="B16">
        <v>103551</v>
      </c>
      <c r="C16" t="s">
        <v>108</v>
      </c>
      <c r="D16" t="s">
        <v>19</v>
      </c>
      <c r="E16" t="s">
        <v>62</v>
      </c>
      <c r="F16" t="s">
        <v>109</v>
      </c>
      <c r="G16" t="s">
        <v>22</v>
      </c>
      <c r="H16" t="s">
        <v>110</v>
      </c>
      <c r="I16" t="s">
        <v>111</v>
      </c>
      <c r="J16">
        <v>266</v>
      </c>
      <c r="K16" t="s">
        <v>112</v>
      </c>
      <c r="L16" t="s">
        <v>57</v>
      </c>
      <c r="M16" t="s">
        <v>113</v>
      </c>
      <c r="N16" t="s">
        <v>28</v>
      </c>
      <c r="O16" t="s">
        <v>50</v>
      </c>
      <c r="P16" t="s">
        <v>29</v>
      </c>
      <c r="Q16" t="s">
        <v>30</v>
      </c>
    </row>
    <row r="17" spans="1:18" x14ac:dyDescent="0.25">
      <c r="A17" t="s">
        <v>114</v>
      </c>
      <c r="B17">
        <v>103649</v>
      </c>
      <c r="C17" t="s">
        <v>91</v>
      </c>
      <c r="D17" t="s">
        <v>19</v>
      </c>
      <c r="E17" t="s">
        <v>33</v>
      </c>
      <c r="F17" t="s">
        <v>21</v>
      </c>
      <c r="G17" t="s">
        <v>22</v>
      </c>
      <c r="H17" t="s">
        <v>115</v>
      </c>
      <c r="I17" t="s">
        <v>116</v>
      </c>
      <c r="J17">
        <v>261</v>
      </c>
      <c r="K17" t="s">
        <v>25</v>
      </c>
      <c r="L17" t="s">
        <v>94</v>
      </c>
      <c r="M17" t="s">
        <v>117</v>
      </c>
      <c r="N17" t="s">
        <v>28</v>
      </c>
      <c r="O17" t="s">
        <v>72</v>
      </c>
      <c r="P17" t="s">
        <v>29</v>
      </c>
      <c r="Q17" t="s">
        <v>30</v>
      </c>
    </row>
    <row r="18" spans="1:18" x14ac:dyDescent="0.25">
      <c r="A18" t="s">
        <v>118</v>
      </c>
      <c r="B18">
        <v>104157</v>
      </c>
      <c r="C18" t="s">
        <v>80</v>
      </c>
      <c r="D18" t="s">
        <v>32</v>
      </c>
      <c r="E18" t="s">
        <v>33</v>
      </c>
      <c r="F18" t="s">
        <v>40</v>
      </c>
      <c r="G18" t="s">
        <v>22</v>
      </c>
      <c r="H18" t="s">
        <v>119</v>
      </c>
      <c r="I18" t="s">
        <v>120</v>
      </c>
      <c r="J18">
        <v>255</v>
      </c>
      <c r="K18" t="s">
        <v>25</v>
      </c>
      <c r="L18" t="s">
        <v>26</v>
      </c>
      <c r="M18" t="s">
        <v>89</v>
      </c>
      <c r="N18" t="s">
        <v>28</v>
      </c>
      <c r="O18" t="s">
        <v>77</v>
      </c>
      <c r="P18" t="s">
        <v>29</v>
      </c>
      <c r="Q18" t="s">
        <v>30</v>
      </c>
    </row>
    <row r="19" spans="1:18" x14ac:dyDescent="0.25">
      <c r="A19" t="s">
        <v>121</v>
      </c>
      <c r="B19">
        <v>104427</v>
      </c>
      <c r="C19" t="s">
        <v>122</v>
      </c>
      <c r="D19" t="s">
        <v>32</v>
      </c>
      <c r="E19" t="s">
        <v>33</v>
      </c>
      <c r="F19" t="s">
        <v>123</v>
      </c>
      <c r="G19" t="s">
        <v>22</v>
      </c>
      <c r="H19" t="s">
        <v>124</v>
      </c>
      <c r="I19" t="s">
        <v>125</v>
      </c>
      <c r="J19">
        <v>252</v>
      </c>
      <c r="K19" t="s">
        <v>65</v>
      </c>
      <c r="L19" t="s">
        <v>126</v>
      </c>
      <c r="M19" t="s">
        <v>127</v>
      </c>
      <c r="N19" t="s">
        <v>28</v>
      </c>
      <c r="O19" t="s">
        <v>128</v>
      </c>
      <c r="P19" t="s">
        <v>29</v>
      </c>
      <c r="Q19" t="s">
        <v>30</v>
      </c>
    </row>
    <row r="20" spans="1:18" x14ac:dyDescent="0.25">
      <c r="A20" t="s">
        <v>129</v>
      </c>
      <c r="B20">
        <v>104514</v>
      </c>
      <c r="C20" t="s">
        <v>39</v>
      </c>
      <c r="D20" t="s">
        <v>32</v>
      </c>
      <c r="E20" t="s">
        <v>130</v>
      </c>
      <c r="F20" t="s">
        <v>123</v>
      </c>
      <c r="G20" t="s">
        <v>22</v>
      </c>
      <c r="H20" t="s">
        <v>131</v>
      </c>
      <c r="I20" t="s">
        <v>132</v>
      </c>
      <c r="J20">
        <v>252</v>
      </c>
      <c r="K20" t="s">
        <v>65</v>
      </c>
      <c r="L20" t="s">
        <v>57</v>
      </c>
      <c r="M20" t="s">
        <v>133</v>
      </c>
      <c r="N20" t="s">
        <v>28</v>
      </c>
      <c r="O20" t="s">
        <v>26</v>
      </c>
      <c r="P20" t="s">
        <v>29</v>
      </c>
      <c r="Q20" t="s">
        <v>30</v>
      </c>
    </row>
    <row r="21" spans="1:18" x14ac:dyDescent="0.25">
      <c r="A21" t="s">
        <v>134</v>
      </c>
      <c r="B21">
        <v>105121</v>
      </c>
      <c r="C21" t="s">
        <v>80</v>
      </c>
      <c r="D21" t="s">
        <v>32</v>
      </c>
      <c r="E21" t="s">
        <v>33</v>
      </c>
      <c r="F21" t="s">
        <v>40</v>
      </c>
      <c r="G21" t="s">
        <v>22</v>
      </c>
      <c r="H21" t="s">
        <v>135</v>
      </c>
      <c r="I21" t="s">
        <v>136</v>
      </c>
      <c r="J21">
        <v>245</v>
      </c>
      <c r="K21" t="s">
        <v>25</v>
      </c>
      <c r="L21" t="s">
        <v>105</v>
      </c>
      <c r="M21" t="s">
        <v>106</v>
      </c>
      <c r="N21" t="s">
        <v>28</v>
      </c>
      <c r="O21" t="s">
        <v>83</v>
      </c>
      <c r="P21" t="s">
        <v>29</v>
      </c>
      <c r="Q21" t="s">
        <v>30</v>
      </c>
    </row>
    <row r="22" spans="1:18" x14ac:dyDescent="0.25">
      <c r="A22" t="s">
        <v>137</v>
      </c>
      <c r="B22">
        <v>105271</v>
      </c>
      <c r="C22" t="s">
        <v>138</v>
      </c>
      <c r="D22" t="s">
        <v>32</v>
      </c>
      <c r="E22" t="s">
        <v>33</v>
      </c>
      <c r="F22" t="s">
        <v>123</v>
      </c>
      <c r="G22" t="s">
        <v>22</v>
      </c>
      <c r="H22" t="s">
        <v>139</v>
      </c>
      <c r="I22" t="s">
        <v>140</v>
      </c>
      <c r="J22">
        <v>243</v>
      </c>
      <c r="K22" t="s">
        <v>25</v>
      </c>
      <c r="L22" t="s">
        <v>57</v>
      </c>
      <c r="M22" t="s">
        <v>133</v>
      </c>
      <c r="N22" t="s">
        <v>28</v>
      </c>
      <c r="O22" t="s">
        <v>77</v>
      </c>
      <c r="P22" t="s">
        <v>29</v>
      </c>
      <c r="Q22" t="s">
        <v>30</v>
      </c>
    </row>
    <row r="23" spans="1:18" x14ac:dyDescent="0.25">
      <c r="A23" t="s">
        <v>141</v>
      </c>
      <c r="B23">
        <v>105513</v>
      </c>
      <c r="C23" t="s">
        <v>142</v>
      </c>
      <c r="D23" t="s">
        <v>32</v>
      </c>
      <c r="E23" t="s">
        <v>62</v>
      </c>
      <c r="F23" t="s">
        <v>40</v>
      </c>
      <c r="G23" t="s">
        <v>22</v>
      </c>
      <c r="H23" t="s">
        <v>143</v>
      </c>
      <c r="I23" t="s">
        <v>144</v>
      </c>
      <c r="J23">
        <v>240</v>
      </c>
      <c r="K23" t="s">
        <v>25</v>
      </c>
      <c r="L23" t="s">
        <v>145</v>
      </c>
      <c r="M23" t="s">
        <v>89</v>
      </c>
      <c r="N23" t="s">
        <v>28</v>
      </c>
      <c r="O23" t="s">
        <v>26</v>
      </c>
      <c r="P23" t="s">
        <v>29</v>
      </c>
      <c r="Q23" t="s">
        <v>30</v>
      </c>
    </row>
    <row r="24" spans="1:18" x14ac:dyDescent="0.25">
      <c r="A24" t="s">
        <v>146</v>
      </c>
      <c r="B24">
        <v>105835</v>
      </c>
      <c r="C24" t="s">
        <v>147</v>
      </c>
      <c r="D24" t="s">
        <v>32</v>
      </c>
      <c r="E24" t="s">
        <v>62</v>
      </c>
      <c r="F24" t="s">
        <v>40</v>
      </c>
      <c r="G24" t="s">
        <v>22</v>
      </c>
      <c r="H24" t="s">
        <v>148</v>
      </c>
      <c r="I24" t="s">
        <v>149</v>
      </c>
      <c r="J24">
        <v>237</v>
      </c>
      <c r="K24" t="s">
        <v>25</v>
      </c>
      <c r="L24" t="s">
        <v>145</v>
      </c>
      <c r="M24" t="s">
        <v>71</v>
      </c>
      <c r="N24" t="s">
        <v>28</v>
      </c>
      <c r="O24" t="s">
        <v>72</v>
      </c>
      <c r="P24" t="s">
        <v>29</v>
      </c>
      <c r="Q24" t="s">
        <v>30</v>
      </c>
    </row>
    <row r="25" spans="1:18" x14ac:dyDescent="0.25">
      <c r="A25" t="s">
        <v>150</v>
      </c>
      <c r="B25">
        <v>105902</v>
      </c>
      <c r="C25" t="s">
        <v>151</v>
      </c>
      <c r="D25" t="s">
        <v>32</v>
      </c>
      <c r="E25" t="s">
        <v>33</v>
      </c>
      <c r="F25" t="s">
        <v>40</v>
      </c>
      <c r="G25" t="s">
        <v>22</v>
      </c>
      <c r="H25" t="s">
        <v>152</v>
      </c>
      <c r="I25" t="s">
        <v>153</v>
      </c>
      <c r="J25">
        <v>235</v>
      </c>
      <c r="K25" t="s">
        <v>25</v>
      </c>
      <c r="L25" t="s">
        <v>145</v>
      </c>
      <c r="M25" t="s">
        <v>89</v>
      </c>
      <c r="N25" t="s">
        <v>45</v>
      </c>
      <c r="O25" t="s">
        <v>26</v>
      </c>
      <c r="P25" t="s">
        <v>29</v>
      </c>
      <c r="Q25" t="s">
        <v>30</v>
      </c>
    </row>
    <row r="26" spans="1:18" x14ac:dyDescent="0.25">
      <c r="A26" t="s">
        <v>154</v>
      </c>
      <c r="B26">
        <v>87415</v>
      </c>
      <c r="C26" t="s">
        <v>108</v>
      </c>
      <c r="D26" t="s">
        <v>19</v>
      </c>
      <c r="E26" t="s">
        <v>33</v>
      </c>
      <c r="F26" t="s">
        <v>109</v>
      </c>
      <c r="G26" t="s">
        <v>22</v>
      </c>
      <c r="H26" t="s">
        <v>155</v>
      </c>
      <c r="I26" t="s">
        <v>156</v>
      </c>
      <c r="J26">
        <v>235</v>
      </c>
      <c r="K26" t="s">
        <v>25</v>
      </c>
      <c r="L26" t="s">
        <v>157</v>
      </c>
      <c r="M26" t="s">
        <v>113</v>
      </c>
      <c r="N26" t="s">
        <v>28</v>
      </c>
      <c r="O26" t="s">
        <v>72</v>
      </c>
      <c r="P26" t="s">
        <v>29</v>
      </c>
      <c r="R26" t="s">
        <v>30</v>
      </c>
    </row>
    <row r="27" spans="1:18" x14ac:dyDescent="0.25">
      <c r="A27" t="s">
        <v>158</v>
      </c>
      <c r="B27">
        <v>106502</v>
      </c>
      <c r="C27" t="s">
        <v>18</v>
      </c>
      <c r="D27" t="s">
        <v>32</v>
      </c>
      <c r="E27" t="s">
        <v>33</v>
      </c>
      <c r="F27" t="s">
        <v>109</v>
      </c>
      <c r="G27" t="s">
        <v>22</v>
      </c>
      <c r="H27" t="s">
        <v>159</v>
      </c>
      <c r="I27" t="s">
        <v>160</v>
      </c>
      <c r="J27">
        <v>233</v>
      </c>
      <c r="K27" t="s">
        <v>25</v>
      </c>
      <c r="L27" t="s">
        <v>161</v>
      </c>
      <c r="M27" t="s">
        <v>113</v>
      </c>
      <c r="N27" t="s">
        <v>28</v>
      </c>
      <c r="O27" t="s">
        <v>57</v>
      </c>
      <c r="P27" t="s">
        <v>29</v>
      </c>
      <c r="Q27" t="s">
        <v>30</v>
      </c>
    </row>
    <row r="28" spans="1:18" x14ac:dyDescent="0.25">
      <c r="A28" t="s">
        <v>162</v>
      </c>
      <c r="B28">
        <v>106579</v>
      </c>
      <c r="C28" t="s">
        <v>108</v>
      </c>
      <c r="D28" t="s">
        <v>32</v>
      </c>
      <c r="E28" t="s">
        <v>62</v>
      </c>
      <c r="F28" t="s">
        <v>109</v>
      </c>
      <c r="G28" t="s">
        <v>22</v>
      </c>
      <c r="H28" t="s">
        <v>163</v>
      </c>
      <c r="I28" t="s">
        <v>164</v>
      </c>
      <c r="J28">
        <v>231</v>
      </c>
      <c r="K28" t="s">
        <v>25</v>
      </c>
      <c r="L28" t="s">
        <v>165</v>
      </c>
      <c r="M28" t="s">
        <v>166</v>
      </c>
      <c r="N28" t="s">
        <v>28</v>
      </c>
      <c r="O28" t="s">
        <v>50</v>
      </c>
      <c r="P28" t="s">
        <v>29</v>
      </c>
      <c r="Q28" t="s">
        <v>30</v>
      </c>
    </row>
    <row r="29" spans="1:18" x14ac:dyDescent="0.25">
      <c r="A29" t="s">
        <v>167</v>
      </c>
      <c r="B29">
        <v>107136</v>
      </c>
      <c r="C29" t="s">
        <v>18</v>
      </c>
      <c r="D29" t="s">
        <v>19</v>
      </c>
      <c r="E29" t="s">
        <v>33</v>
      </c>
      <c r="F29" t="s">
        <v>109</v>
      </c>
      <c r="G29" t="s">
        <v>22</v>
      </c>
      <c r="H29" t="s">
        <v>168</v>
      </c>
      <c r="I29" t="s">
        <v>169</v>
      </c>
      <c r="J29">
        <v>229</v>
      </c>
      <c r="K29" t="s">
        <v>25</v>
      </c>
      <c r="L29" t="s">
        <v>57</v>
      </c>
      <c r="M29" t="s">
        <v>170</v>
      </c>
      <c r="N29" t="s">
        <v>28</v>
      </c>
      <c r="O29" t="s">
        <v>72</v>
      </c>
      <c r="P29" t="s">
        <v>29</v>
      </c>
      <c r="Q29" t="s">
        <v>30</v>
      </c>
    </row>
    <row r="30" spans="1:18" x14ac:dyDescent="0.25">
      <c r="A30" t="s">
        <v>171</v>
      </c>
      <c r="B30">
        <v>106543</v>
      </c>
      <c r="C30" t="s">
        <v>142</v>
      </c>
      <c r="D30" t="s">
        <v>32</v>
      </c>
      <c r="E30" t="s">
        <v>62</v>
      </c>
      <c r="F30" t="s">
        <v>40</v>
      </c>
      <c r="G30" t="s">
        <v>22</v>
      </c>
      <c r="H30" t="s">
        <v>172</v>
      </c>
      <c r="I30" t="s">
        <v>173</v>
      </c>
      <c r="J30">
        <v>228</v>
      </c>
      <c r="K30" t="s">
        <v>25</v>
      </c>
      <c r="L30" t="s">
        <v>26</v>
      </c>
      <c r="M30" t="s">
        <v>89</v>
      </c>
      <c r="N30" t="s">
        <v>28</v>
      </c>
      <c r="O30" t="s">
        <v>72</v>
      </c>
      <c r="P30" t="s">
        <v>29</v>
      </c>
      <c r="Q30" t="s">
        <v>30</v>
      </c>
    </row>
    <row r="31" spans="1:18" x14ac:dyDescent="0.25">
      <c r="A31" t="s">
        <v>174</v>
      </c>
      <c r="B31">
        <v>107476</v>
      </c>
      <c r="C31" t="s">
        <v>175</v>
      </c>
      <c r="D31" t="s">
        <v>32</v>
      </c>
      <c r="E31" t="s">
        <v>33</v>
      </c>
      <c r="F31" t="s">
        <v>109</v>
      </c>
      <c r="G31" t="s">
        <v>22</v>
      </c>
      <c r="H31" t="s">
        <v>176</v>
      </c>
      <c r="I31" t="s">
        <v>177</v>
      </c>
      <c r="J31">
        <v>227</v>
      </c>
      <c r="K31" t="s">
        <v>25</v>
      </c>
      <c r="L31" t="s">
        <v>37</v>
      </c>
      <c r="M31" t="s">
        <v>178</v>
      </c>
      <c r="N31" t="s">
        <v>28</v>
      </c>
      <c r="O31" t="s">
        <v>179</v>
      </c>
      <c r="P31" t="s">
        <v>29</v>
      </c>
      <c r="Q31" t="s">
        <v>30</v>
      </c>
    </row>
    <row r="32" spans="1:18" x14ac:dyDescent="0.25">
      <c r="A32" t="s">
        <v>180</v>
      </c>
      <c r="B32">
        <v>107526</v>
      </c>
      <c r="C32" t="s">
        <v>181</v>
      </c>
      <c r="D32" t="s">
        <v>19</v>
      </c>
      <c r="E32" t="s">
        <v>33</v>
      </c>
      <c r="F32" t="s">
        <v>109</v>
      </c>
      <c r="G32" t="s">
        <v>22</v>
      </c>
      <c r="H32" t="s">
        <v>182</v>
      </c>
      <c r="I32" t="s">
        <v>183</v>
      </c>
      <c r="J32">
        <v>226</v>
      </c>
      <c r="K32" t="s">
        <v>25</v>
      </c>
      <c r="L32" t="s">
        <v>37</v>
      </c>
      <c r="M32" t="s">
        <v>178</v>
      </c>
      <c r="N32" t="s">
        <v>28</v>
      </c>
      <c r="O32" t="s">
        <v>72</v>
      </c>
      <c r="P32" t="s">
        <v>29</v>
      </c>
      <c r="Q32" t="s">
        <v>30</v>
      </c>
    </row>
    <row r="33" spans="1:17" x14ac:dyDescent="0.25">
      <c r="A33" t="s">
        <v>184</v>
      </c>
      <c r="B33">
        <v>107532</v>
      </c>
      <c r="C33" t="s">
        <v>18</v>
      </c>
      <c r="D33" t="s">
        <v>19</v>
      </c>
      <c r="E33" t="s">
        <v>20</v>
      </c>
      <c r="F33" t="s">
        <v>109</v>
      </c>
      <c r="G33" t="s">
        <v>22</v>
      </c>
      <c r="H33" t="s">
        <v>185</v>
      </c>
      <c r="I33" t="s">
        <v>186</v>
      </c>
      <c r="J33">
        <v>226</v>
      </c>
      <c r="K33" t="s">
        <v>65</v>
      </c>
      <c r="L33" t="s">
        <v>37</v>
      </c>
      <c r="M33" t="s">
        <v>178</v>
      </c>
      <c r="N33" t="s">
        <v>28</v>
      </c>
      <c r="O33" t="s">
        <v>72</v>
      </c>
      <c r="P33" t="s">
        <v>29</v>
      </c>
      <c r="Q33" t="s">
        <v>30</v>
      </c>
    </row>
    <row r="34" spans="1:17" x14ac:dyDescent="0.25">
      <c r="A34" t="s">
        <v>187</v>
      </c>
      <c r="B34">
        <v>107243</v>
      </c>
      <c r="C34" t="s">
        <v>188</v>
      </c>
      <c r="D34" t="s">
        <v>32</v>
      </c>
      <c r="E34" t="s">
        <v>62</v>
      </c>
      <c r="F34" t="s">
        <v>40</v>
      </c>
      <c r="G34" t="s">
        <v>22</v>
      </c>
      <c r="H34" t="s">
        <v>189</v>
      </c>
      <c r="I34" t="s">
        <v>190</v>
      </c>
      <c r="J34">
        <v>225</v>
      </c>
      <c r="K34" t="s">
        <v>25</v>
      </c>
      <c r="L34" t="s">
        <v>191</v>
      </c>
      <c r="M34" t="s">
        <v>89</v>
      </c>
      <c r="N34" t="s">
        <v>28</v>
      </c>
      <c r="O34" t="s">
        <v>145</v>
      </c>
      <c r="P34" t="s">
        <v>29</v>
      </c>
      <c r="Q34" t="s">
        <v>30</v>
      </c>
    </row>
    <row r="35" spans="1:17" x14ac:dyDescent="0.25">
      <c r="A35" t="s">
        <v>192</v>
      </c>
      <c r="B35">
        <v>40299</v>
      </c>
      <c r="C35" t="s">
        <v>193</v>
      </c>
      <c r="D35" t="s">
        <v>32</v>
      </c>
      <c r="E35" t="s">
        <v>20</v>
      </c>
      <c r="F35" t="s">
        <v>109</v>
      </c>
      <c r="G35" t="s">
        <v>22</v>
      </c>
      <c r="H35" t="s">
        <v>194</v>
      </c>
      <c r="I35" t="s">
        <v>195</v>
      </c>
      <c r="J35">
        <v>224</v>
      </c>
      <c r="K35" t="s">
        <v>25</v>
      </c>
      <c r="L35" t="s">
        <v>161</v>
      </c>
      <c r="M35" t="s">
        <v>166</v>
      </c>
      <c r="N35" t="s">
        <v>28</v>
      </c>
      <c r="O35" t="s">
        <v>179</v>
      </c>
      <c r="P35" t="s">
        <v>29</v>
      </c>
      <c r="Q35" t="s">
        <v>30</v>
      </c>
    </row>
    <row r="36" spans="1:17" x14ac:dyDescent="0.25">
      <c r="A36" t="s">
        <v>196</v>
      </c>
      <c r="B36">
        <v>60276</v>
      </c>
      <c r="C36" t="s">
        <v>86</v>
      </c>
      <c r="D36" t="s">
        <v>32</v>
      </c>
      <c r="E36" t="s">
        <v>33</v>
      </c>
      <c r="F36" t="s">
        <v>40</v>
      </c>
      <c r="G36" t="s">
        <v>22</v>
      </c>
      <c r="H36" t="s">
        <v>197</v>
      </c>
      <c r="I36" t="s">
        <v>198</v>
      </c>
      <c r="J36">
        <v>223</v>
      </c>
      <c r="K36" t="s">
        <v>25</v>
      </c>
      <c r="L36" t="s">
        <v>83</v>
      </c>
      <c r="M36" t="s">
        <v>106</v>
      </c>
      <c r="N36" t="s">
        <v>45</v>
      </c>
      <c r="O36" t="s">
        <v>199</v>
      </c>
      <c r="P36" t="s">
        <v>29</v>
      </c>
      <c r="Q36" t="s">
        <v>30</v>
      </c>
    </row>
    <row r="37" spans="1:17" x14ac:dyDescent="0.25">
      <c r="A37" t="s">
        <v>200</v>
      </c>
      <c r="B37">
        <v>107590</v>
      </c>
      <c r="C37" t="s">
        <v>201</v>
      </c>
      <c r="D37" t="s">
        <v>19</v>
      </c>
      <c r="E37" t="s">
        <v>33</v>
      </c>
      <c r="F37" t="s">
        <v>202</v>
      </c>
      <c r="G37" t="s">
        <v>22</v>
      </c>
      <c r="H37" t="s">
        <v>203</v>
      </c>
      <c r="I37" t="s">
        <v>204</v>
      </c>
      <c r="J37">
        <v>221</v>
      </c>
      <c r="K37" t="s">
        <v>65</v>
      </c>
      <c r="L37" t="s">
        <v>26</v>
      </c>
      <c r="M37" t="s">
        <v>205</v>
      </c>
      <c r="N37" t="s">
        <v>28</v>
      </c>
      <c r="O37" t="s">
        <v>206</v>
      </c>
      <c r="P37" t="s">
        <v>29</v>
      </c>
      <c r="Q37" t="s">
        <v>30</v>
      </c>
    </row>
    <row r="38" spans="1:17" x14ac:dyDescent="0.25">
      <c r="A38" t="s">
        <v>207</v>
      </c>
      <c r="B38">
        <v>107666</v>
      </c>
      <c r="C38" t="s">
        <v>208</v>
      </c>
      <c r="D38" t="s">
        <v>32</v>
      </c>
      <c r="E38" t="s">
        <v>33</v>
      </c>
      <c r="F38" t="s">
        <v>123</v>
      </c>
      <c r="G38" t="s">
        <v>22</v>
      </c>
      <c r="H38" t="s">
        <v>209</v>
      </c>
      <c r="I38" t="s">
        <v>210</v>
      </c>
      <c r="J38">
        <v>221</v>
      </c>
      <c r="K38" t="s">
        <v>211</v>
      </c>
      <c r="L38" t="s">
        <v>37</v>
      </c>
      <c r="M38" t="s">
        <v>212</v>
      </c>
      <c r="N38" t="s">
        <v>28</v>
      </c>
      <c r="O38" t="s">
        <v>213</v>
      </c>
      <c r="P38" t="s">
        <v>29</v>
      </c>
      <c r="Q38" t="s">
        <v>30</v>
      </c>
    </row>
    <row r="39" spans="1:17" x14ac:dyDescent="0.25">
      <c r="A39" t="s">
        <v>214</v>
      </c>
      <c r="B39">
        <v>107852</v>
      </c>
      <c r="C39" t="s">
        <v>215</v>
      </c>
      <c r="D39" t="s">
        <v>32</v>
      </c>
      <c r="E39" t="s">
        <v>62</v>
      </c>
      <c r="F39" t="s">
        <v>123</v>
      </c>
      <c r="G39" t="s">
        <v>216</v>
      </c>
      <c r="H39" t="s">
        <v>217</v>
      </c>
      <c r="I39" t="s">
        <v>218</v>
      </c>
      <c r="J39">
        <v>219</v>
      </c>
      <c r="K39" t="s">
        <v>25</v>
      </c>
      <c r="L39" t="s">
        <v>26</v>
      </c>
      <c r="M39" t="s">
        <v>219</v>
      </c>
      <c r="N39" t="s">
        <v>28</v>
      </c>
      <c r="O39" t="s">
        <v>199</v>
      </c>
      <c r="P39" t="s">
        <v>29</v>
      </c>
      <c r="Q39" t="s">
        <v>30</v>
      </c>
    </row>
    <row r="40" spans="1:17" x14ac:dyDescent="0.25">
      <c r="A40" t="s">
        <v>220</v>
      </c>
      <c r="B40">
        <v>107997</v>
      </c>
      <c r="C40" t="s">
        <v>221</v>
      </c>
      <c r="D40" t="s">
        <v>32</v>
      </c>
      <c r="E40" t="s">
        <v>33</v>
      </c>
      <c r="F40" t="s">
        <v>21</v>
      </c>
      <c r="G40" t="s">
        <v>22</v>
      </c>
      <c r="H40" t="s">
        <v>222</v>
      </c>
      <c r="I40" t="s">
        <v>223</v>
      </c>
      <c r="J40">
        <v>217</v>
      </c>
      <c r="K40" t="s">
        <v>25</v>
      </c>
      <c r="L40" t="s">
        <v>224</v>
      </c>
      <c r="M40" t="s">
        <v>225</v>
      </c>
      <c r="N40" t="s">
        <v>28</v>
      </c>
      <c r="O40" t="s">
        <v>224</v>
      </c>
      <c r="P40" t="s">
        <v>29</v>
      </c>
      <c r="Q40" t="s">
        <v>30</v>
      </c>
    </row>
    <row r="41" spans="1:17" x14ac:dyDescent="0.25">
      <c r="A41" t="s">
        <v>226</v>
      </c>
      <c r="B41">
        <v>73902</v>
      </c>
      <c r="C41" t="s">
        <v>193</v>
      </c>
      <c r="D41" t="s">
        <v>32</v>
      </c>
      <c r="E41" t="s">
        <v>227</v>
      </c>
      <c r="F41" t="s">
        <v>109</v>
      </c>
      <c r="G41" t="s">
        <v>22</v>
      </c>
      <c r="H41" t="s">
        <v>228</v>
      </c>
      <c r="I41" t="s">
        <v>229</v>
      </c>
      <c r="J41">
        <v>217</v>
      </c>
      <c r="K41" t="s">
        <v>25</v>
      </c>
      <c r="L41" t="s">
        <v>230</v>
      </c>
      <c r="M41" t="s">
        <v>231</v>
      </c>
      <c r="N41" t="s">
        <v>28</v>
      </c>
      <c r="O41" t="s">
        <v>179</v>
      </c>
      <c r="P41" t="s">
        <v>29</v>
      </c>
      <c r="Q41" t="s">
        <v>30</v>
      </c>
    </row>
    <row r="42" spans="1:17" x14ac:dyDescent="0.25">
      <c r="A42" t="s">
        <v>232</v>
      </c>
      <c r="B42">
        <v>49150</v>
      </c>
      <c r="C42" t="s">
        <v>108</v>
      </c>
      <c r="D42" t="s">
        <v>19</v>
      </c>
      <c r="E42" t="s">
        <v>227</v>
      </c>
      <c r="F42" t="s">
        <v>109</v>
      </c>
      <c r="G42" t="s">
        <v>22</v>
      </c>
      <c r="H42" t="s">
        <v>233</v>
      </c>
      <c r="I42" t="s">
        <v>234</v>
      </c>
      <c r="J42">
        <v>217</v>
      </c>
      <c r="K42" t="s">
        <v>25</v>
      </c>
      <c r="L42" t="s">
        <v>26</v>
      </c>
      <c r="M42" t="s">
        <v>235</v>
      </c>
      <c r="N42" t="s">
        <v>28</v>
      </c>
      <c r="O42" t="s">
        <v>179</v>
      </c>
      <c r="P42" t="s">
        <v>29</v>
      </c>
      <c r="Q42" t="s">
        <v>30</v>
      </c>
    </row>
    <row r="43" spans="1:17" x14ac:dyDescent="0.25">
      <c r="A43" t="s">
        <v>236</v>
      </c>
      <c r="B43">
        <v>108302</v>
      </c>
      <c r="C43" t="s">
        <v>18</v>
      </c>
      <c r="D43" t="s">
        <v>19</v>
      </c>
      <c r="E43" t="s">
        <v>33</v>
      </c>
      <c r="F43" t="s">
        <v>109</v>
      </c>
      <c r="G43" t="s">
        <v>22</v>
      </c>
      <c r="H43" t="s">
        <v>237</v>
      </c>
      <c r="I43" t="s">
        <v>238</v>
      </c>
      <c r="J43">
        <v>217</v>
      </c>
      <c r="K43" t="s">
        <v>25</v>
      </c>
      <c r="L43" t="s">
        <v>239</v>
      </c>
      <c r="M43" t="s">
        <v>166</v>
      </c>
      <c r="N43" t="s">
        <v>28</v>
      </c>
      <c r="O43" t="s">
        <v>179</v>
      </c>
      <c r="P43" t="s">
        <v>29</v>
      </c>
      <c r="Q43" t="s">
        <v>30</v>
      </c>
    </row>
    <row r="44" spans="1:17" x14ac:dyDescent="0.25">
      <c r="A44" t="s">
        <v>240</v>
      </c>
      <c r="B44">
        <v>95446</v>
      </c>
      <c r="C44" t="s">
        <v>147</v>
      </c>
      <c r="D44" t="s">
        <v>32</v>
      </c>
      <c r="E44" t="s">
        <v>33</v>
      </c>
      <c r="F44" t="s">
        <v>123</v>
      </c>
      <c r="G44" t="s">
        <v>22</v>
      </c>
      <c r="H44" t="s">
        <v>241</v>
      </c>
      <c r="I44" t="s">
        <v>242</v>
      </c>
      <c r="J44">
        <v>214</v>
      </c>
      <c r="K44" t="s">
        <v>65</v>
      </c>
      <c r="L44" t="s">
        <v>243</v>
      </c>
      <c r="M44" t="s">
        <v>219</v>
      </c>
      <c r="N44" t="s">
        <v>28</v>
      </c>
      <c r="O44" t="s">
        <v>126</v>
      </c>
      <c r="P44" t="s">
        <v>29</v>
      </c>
      <c r="Q44" t="s">
        <v>30</v>
      </c>
    </row>
    <row r="45" spans="1:17" x14ac:dyDescent="0.25">
      <c r="A45" t="s">
        <v>244</v>
      </c>
      <c r="B45">
        <v>108479</v>
      </c>
      <c r="C45" t="s">
        <v>151</v>
      </c>
      <c r="D45" t="s">
        <v>32</v>
      </c>
      <c r="E45" t="s">
        <v>62</v>
      </c>
      <c r="F45" t="s">
        <v>123</v>
      </c>
      <c r="G45" t="s">
        <v>22</v>
      </c>
      <c r="H45" t="s">
        <v>245</v>
      </c>
      <c r="I45" t="s">
        <v>246</v>
      </c>
      <c r="J45">
        <v>212</v>
      </c>
      <c r="K45" t="s">
        <v>25</v>
      </c>
      <c r="L45" t="s">
        <v>145</v>
      </c>
      <c r="M45" t="s">
        <v>247</v>
      </c>
      <c r="N45" t="s">
        <v>28</v>
      </c>
      <c r="O45" t="s">
        <v>50</v>
      </c>
      <c r="P45" t="s">
        <v>29</v>
      </c>
      <c r="Q45" t="s">
        <v>30</v>
      </c>
    </row>
    <row r="46" spans="1:17" x14ac:dyDescent="0.25">
      <c r="A46" t="s">
        <v>248</v>
      </c>
      <c r="B46">
        <v>108523</v>
      </c>
      <c r="C46" t="s">
        <v>61</v>
      </c>
      <c r="D46" t="s">
        <v>32</v>
      </c>
      <c r="E46" t="s">
        <v>33</v>
      </c>
      <c r="F46" t="s">
        <v>40</v>
      </c>
      <c r="G46" t="s">
        <v>22</v>
      </c>
      <c r="H46" t="s">
        <v>249</v>
      </c>
      <c r="I46" t="s">
        <v>250</v>
      </c>
      <c r="J46">
        <v>211</v>
      </c>
      <c r="K46" t="s">
        <v>25</v>
      </c>
      <c r="L46" t="s">
        <v>52</v>
      </c>
      <c r="M46" t="s">
        <v>71</v>
      </c>
      <c r="N46" t="s">
        <v>28</v>
      </c>
      <c r="O46" t="s">
        <v>105</v>
      </c>
      <c r="P46" t="s">
        <v>29</v>
      </c>
      <c r="Q46" t="s">
        <v>30</v>
      </c>
    </row>
    <row r="47" spans="1:17" x14ac:dyDescent="0.25">
      <c r="A47" t="s">
        <v>251</v>
      </c>
      <c r="B47">
        <v>109277</v>
      </c>
      <c r="C47" t="s">
        <v>252</v>
      </c>
      <c r="D47" t="s">
        <v>19</v>
      </c>
      <c r="E47" t="s">
        <v>33</v>
      </c>
      <c r="F47" t="s">
        <v>109</v>
      </c>
      <c r="G47" t="s">
        <v>22</v>
      </c>
      <c r="H47" t="s">
        <v>253</v>
      </c>
      <c r="I47" t="s">
        <v>254</v>
      </c>
      <c r="J47">
        <v>206</v>
      </c>
      <c r="K47" t="s">
        <v>25</v>
      </c>
      <c r="L47" t="s">
        <v>83</v>
      </c>
      <c r="M47" t="s">
        <v>235</v>
      </c>
      <c r="N47" t="s">
        <v>28</v>
      </c>
      <c r="O47" t="s">
        <v>224</v>
      </c>
      <c r="P47" t="s">
        <v>29</v>
      </c>
      <c r="Q47" t="s">
        <v>30</v>
      </c>
    </row>
    <row r="48" spans="1:17" x14ac:dyDescent="0.25">
      <c r="A48" t="s">
        <v>255</v>
      </c>
      <c r="B48">
        <v>109021</v>
      </c>
      <c r="C48" t="s">
        <v>221</v>
      </c>
      <c r="D48" t="s">
        <v>19</v>
      </c>
      <c r="E48" t="s">
        <v>62</v>
      </c>
      <c r="F48" t="s">
        <v>21</v>
      </c>
      <c r="G48" t="s">
        <v>22</v>
      </c>
      <c r="H48" t="s">
        <v>256</v>
      </c>
      <c r="I48" t="s">
        <v>257</v>
      </c>
      <c r="J48">
        <v>205</v>
      </c>
      <c r="K48" t="s">
        <v>25</v>
      </c>
      <c r="L48" t="s">
        <v>258</v>
      </c>
      <c r="M48" t="s">
        <v>27</v>
      </c>
      <c r="N48" t="s">
        <v>28</v>
      </c>
      <c r="O48" t="s">
        <v>258</v>
      </c>
      <c r="P48" t="s">
        <v>29</v>
      </c>
      <c r="Q48" t="s">
        <v>30</v>
      </c>
    </row>
    <row r="49" spans="1:17" x14ac:dyDescent="0.25">
      <c r="A49" t="s">
        <v>259</v>
      </c>
      <c r="B49">
        <v>109343</v>
      </c>
      <c r="C49" t="s">
        <v>221</v>
      </c>
      <c r="D49" t="s">
        <v>32</v>
      </c>
      <c r="E49" t="s">
        <v>260</v>
      </c>
      <c r="F49" t="s">
        <v>21</v>
      </c>
      <c r="G49" t="s">
        <v>22</v>
      </c>
      <c r="H49" t="s">
        <v>261</v>
      </c>
      <c r="I49" t="s">
        <v>262</v>
      </c>
      <c r="J49">
        <v>202</v>
      </c>
      <c r="K49" t="s">
        <v>65</v>
      </c>
      <c r="L49" t="s">
        <v>179</v>
      </c>
      <c r="M49" t="s">
        <v>263</v>
      </c>
      <c r="N49" t="s">
        <v>28</v>
      </c>
      <c r="O49" t="s">
        <v>179</v>
      </c>
      <c r="P49" t="s">
        <v>29</v>
      </c>
      <c r="Q49" t="s">
        <v>30</v>
      </c>
    </row>
    <row r="50" spans="1:17" x14ac:dyDescent="0.25">
      <c r="A50" t="s">
        <v>264</v>
      </c>
      <c r="B50">
        <v>109345</v>
      </c>
      <c r="C50" t="s">
        <v>39</v>
      </c>
      <c r="D50" t="s">
        <v>32</v>
      </c>
      <c r="E50" t="s">
        <v>33</v>
      </c>
      <c r="F50" t="s">
        <v>40</v>
      </c>
      <c r="G50" t="s">
        <v>22</v>
      </c>
      <c r="H50" t="s">
        <v>265</v>
      </c>
      <c r="I50" t="s">
        <v>266</v>
      </c>
      <c r="J50">
        <v>201</v>
      </c>
      <c r="K50" t="s">
        <v>25</v>
      </c>
      <c r="L50" t="s">
        <v>46</v>
      </c>
      <c r="M50" t="s">
        <v>267</v>
      </c>
      <c r="N50" t="s">
        <v>28</v>
      </c>
      <c r="O50" t="s">
        <v>52</v>
      </c>
      <c r="P50" t="s">
        <v>29</v>
      </c>
      <c r="Q50" t="s">
        <v>30</v>
      </c>
    </row>
    <row r="51" spans="1:17" x14ac:dyDescent="0.25">
      <c r="A51" t="s">
        <v>268</v>
      </c>
      <c r="B51">
        <v>109518</v>
      </c>
      <c r="C51" t="s">
        <v>142</v>
      </c>
      <c r="D51" t="s">
        <v>32</v>
      </c>
      <c r="E51" t="s">
        <v>62</v>
      </c>
      <c r="F51" t="s">
        <v>123</v>
      </c>
      <c r="G51" t="s">
        <v>216</v>
      </c>
      <c r="H51" t="s">
        <v>269</v>
      </c>
      <c r="I51" t="s">
        <v>270</v>
      </c>
      <c r="J51">
        <v>200</v>
      </c>
      <c r="K51" t="s">
        <v>25</v>
      </c>
      <c r="L51" t="s">
        <v>83</v>
      </c>
      <c r="M51" t="s">
        <v>247</v>
      </c>
      <c r="N51" t="s">
        <v>28</v>
      </c>
      <c r="O51" t="s">
        <v>271</v>
      </c>
      <c r="P51" t="s">
        <v>29</v>
      </c>
      <c r="Q51" t="s">
        <v>30</v>
      </c>
    </row>
    <row r="52" spans="1:17" x14ac:dyDescent="0.25">
      <c r="A52" t="s">
        <v>272</v>
      </c>
      <c r="B52">
        <v>109857</v>
      </c>
      <c r="C52" t="s">
        <v>273</v>
      </c>
      <c r="D52" t="s">
        <v>32</v>
      </c>
      <c r="E52" t="s">
        <v>62</v>
      </c>
      <c r="F52" t="s">
        <v>21</v>
      </c>
      <c r="G52" t="s">
        <v>22</v>
      </c>
      <c r="H52" t="s">
        <v>274</v>
      </c>
      <c r="I52" t="s">
        <v>275</v>
      </c>
      <c r="J52">
        <v>197</v>
      </c>
      <c r="K52" t="s">
        <v>65</v>
      </c>
      <c r="L52" t="s">
        <v>179</v>
      </c>
      <c r="M52" t="s">
        <v>95</v>
      </c>
      <c r="N52" t="s">
        <v>28</v>
      </c>
      <c r="O52" t="s">
        <v>258</v>
      </c>
      <c r="P52" t="s">
        <v>29</v>
      </c>
      <c r="Q52" t="s">
        <v>30</v>
      </c>
    </row>
    <row r="53" spans="1:17" x14ac:dyDescent="0.25">
      <c r="A53" t="s">
        <v>276</v>
      </c>
      <c r="B53">
        <v>109900</v>
      </c>
      <c r="C53" t="s">
        <v>273</v>
      </c>
      <c r="D53" t="s">
        <v>19</v>
      </c>
      <c r="E53" t="s">
        <v>33</v>
      </c>
      <c r="F53" t="s">
        <v>21</v>
      </c>
      <c r="G53" t="s">
        <v>22</v>
      </c>
      <c r="H53" t="s">
        <v>277</v>
      </c>
      <c r="I53" t="s">
        <v>278</v>
      </c>
      <c r="J53">
        <v>196</v>
      </c>
      <c r="K53" t="s">
        <v>25</v>
      </c>
      <c r="L53" t="s">
        <v>179</v>
      </c>
      <c r="M53" t="s">
        <v>279</v>
      </c>
      <c r="N53" t="s">
        <v>28</v>
      </c>
      <c r="O53" t="s">
        <v>258</v>
      </c>
      <c r="P53" t="s">
        <v>29</v>
      </c>
      <c r="Q53" t="s">
        <v>30</v>
      </c>
    </row>
    <row r="54" spans="1:17" x14ac:dyDescent="0.25">
      <c r="A54" t="s">
        <v>280</v>
      </c>
      <c r="B54">
        <v>109964</v>
      </c>
      <c r="C54" t="s">
        <v>281</v>
      </c>
      <c r="D54" t="s">
        <v>32</v>
      </c>
      <c r="E54" t="s">
        <v>33</v>
      </c>
      <c r="F54" t="s">
        <v>40</v>
      </c>
      <c r="G54" t="s">
        <v>22</v>
      </c>
      <c r="H54" t="s">
        <v>282</v>
      </c>
      <c r="I54" t="s">
        <v>283</v>
      </c>
      <c r="J54">
        <v>186</v>
      </c>
      <c r="K54" t="s">
        <v>25</v>
      </c>
      <c r="L54" t="s">
        <v>83</v>
      </c>
      <c r="M54" t="s">
        <v>89</v>
      </c>
      <c r="N54" t="s">
        <v>28</v>
      </c>
      <c r="O54" t="s">
        <v>199</v>
      </c>
      <c r="P54" t="s">
        <v>29</v>
      </c>
      <c r="Q54" t="s">
        <v>30</v>
      </c>
    </row>
    <row r="55" spans="1:17" x14ac:dyDescent="0.25">
      <c r="A55" t="s">
        <v>284</v>
      </c>
      <c r="B55">
        <v>111614</v>
      </c>
      <c r="C55" t="s">
        <v>285</v>
      </c>
      <c r="D55" t="s">
        <v>32</v>
      </c>
      <c r="E55" t="s">
        <v>20</v>
      </c>
      <c r="F55" t="s">
        <v>123</v>
      </c>
      <c r="G55" t="s">
        <v>22</v>
      </c>
      <c r="H55" t="s">
        <v>286</v>
      </c>
      <c r="I55" t="s">
        <v>287</v>
      </c>
      <c r="J55">
        <v>177</v>
      </c>
      <c r="K55" t="s">
        <v>25</v>
      </c>
      <c r="L55" t="s">
        <v>288</v>
      </c>
      <c r="M55" t="s">
        <v>289</v>
      </c>
      <c r="N55" t="s">
        <v>28</v>
      </c>
      <c r="O55" t="s">
        <v>290</v>
      </c>
      <c r="P55" t="s">
        <v>29</v>
      </c>
      <c r="Q55" t="s">
        <v>30</v>
      </c>
    </row>
    <row r="56" spans="1:17" x14ac:dyDescent="0.25">
      <c r="A56" t="s">
        <v>291</v>
      </c>
      <c r="B56">
        <v>111911</v>
      </c>
      <c r="C56" t="s">
        <v>18</v>
      </c>
      <c r="D56" t="s">
        <v>32</v>
      </c>
      <c r="E56" t="s">
        <v>33</v>
      </c>
      <c r="F56" t="s">
        <v>109</v>
      </c>
      <c r="G56" t="s">
        <v>292</v>
      </c>
      <c r="H56" t="s">
        <v>293</v>
      </c>
      <c r="I56" t="s">
        <v>294</v>
      </c>
      <c r="J56">
        <v>177</v>
      </c>
      <c r="K56" t="s">
        <v>25</v>
      </c>
      <c r="L56" t="s">
        <v>161</v>
      </c>
      <c r="M56" t="s">
        <v>170</v>
      </c>
      <c r="N56" t="s">
        <v>28</v>
      </c>
      <c r="O56" t="s">
        <v>258</v>
      </c>
      <c r="P56" t="s">
        <v>29</v>
      </c>
      <c r="Q56" t="s">
        <v>30</v>
      </c>
    </row>
    <row r="57" spans="1:17" x14ac:dyDescent="0.25">
      <c r="A57" t="s">
        <v>295</v>
      </c>
      <c r="B57">
        <v>81768</v>
      </c>
      <c r="C57" t="s">
        <v>296</v>
      </c>
      <c r="D57" t="s">
        <v>32</v>
      </c>
      <c r="E57" t="s">
        <v>33</v>
      </c>
      <c r="F57" t="s">
        <v>202</v>
      </c>
      <c r="G57" t="s">
        <v>22</v>
      </c>
      <c r="H57" t="s">
        <v>297</v>
      </c>
      <c r="I57" t="s">
        <v>298</v>
      </c>
      <c r="J57">
        <v>173</v>
      </c>
      <c r="K57" t="s">
        <v>25</v>
      </c>
      <c r="L57" t="s">
        <v>161</v>
      </c>
      <c r="M57" t="s">
        <v>299</v>
      </c>
      <c r="N57" t="s">
        <v>28</v>
      </c>
      <c r="O57" t="s">
        <v>57</v>
      </c>
      <c r="P57" t="s">
        <v>29</v>
      </c>
      <c r="Q57" t="s">
        <v>30</v>
      </c>
    </row>
    <row r="58" spans="1:17" x14ac:dyDescent="0.25">
      <c r="A58" t="s">
        <v>300</v>
      </c>
      <c r="B58">
        <v>112186</v>
      </c>
      <c r="C58" t="s">
        <v>301</v>
      </c>
      <c r="D58" t="s">
        <v>32</v>
      </c>
      <c r="E58" t="s">
        <v>33</v>
      </c>
      <c r="F58" t="s">
        <v>123</v>
      </c>
      <c r="G58" t="s">
        <v>22</v>
      </c>
      <c r="H58" t="s">
        <v>302</v>
      </c>
      <c r="I58" t="s">
        <v>303</v>
      </c>
      <c r="J58">
        <v>170</v>
      </c>
      <c r="K58" t="s">
        <v>25</v>
      </c>
      <c r="L58" t="s">
        <v>26</v>
      </c>
      <c r="M58" t="s">
        <v>304</v>
      </c>
      <c r="N58" t="s">
        <v>28</v>
      </c>
      <c r="O58" t="s">
        <v>94</v>
      </c>
      <c r="P58" t="s">
        <v>29</v>
      </c>
      <c r="Q58" t="s">
        <v>30</v>
      </c>
    </row>
    <row r="59" spans="1:17" x14ac:dyDescent="0.25">
      <c r="A59" t="s">
        <v>305</v>
      </c>
      <c r="B59">
        <v>112578</v>
      </c>
      <c r="C59" t="s">
        <v>273</v>
      </c>
      <c r="D59" t="s">
        <v>32</v>
      </c>
      <c r="E59" t="s">
        <v>20</v>
      </c>
      <c r="F59" t="s">
        <v>21</v>
      </c>
      <c r="G59" t="s">
        <v>22</v>
      </c>
      <c r="H59" t="s">
        <v>306</v>
      </c>
      <c r="I59" t="s">
        <v>307</v>
      </c>
      <c r="J59">
        <v>166</v>
      </c>
      <c r="K59" t="s">
        <v>211</v>
      </c>
      <c r="L59" t="s">
        <v>145</v>
      </c>
      <c r="M59" t="s">
        <v>308</v>
      </c>
      <c r="N59" t="s">
        <v>28</v>
      </c>
      <c r="O59" t="s">
        <v>224</v>
      </c>
      <c r="P59" t="s">
        <v>29</v>
      </c>
      <c r="Q59" t="s">
        <v>30</v>
      </c>
    </row>
    <row r="60" spans="1:17" x14ac:dyDescent="0.25">
      <c r="A60" t="s">
        <v>309</v>
      </c>
      <c r="B60">
        <v>105483</v>
      </c>
      <c r="C60" t="s">
        <v>310</v>
      </c>
      <c r="D60" t="s">
        <v>32</v>
      </c>
      <c r="E60" t="s">
        <v>260</v>
      </c>
      <c r="F60" t="s">
        <v>123</v>
      </c>
      <c r="G60" t="s">
        <v>22</v>
      </c>
      <c r="H60" t="s">
        <v>311</v>
      </c>
      <c r="I60" t="s">
        <v>312</v>
      </c>
      <c r="J60">
        <v>165</v>
      </c>
      <c r="K60" t="s">
        <v>25</v>
      </c>
      <c r="L60" t="s">
        <v>313</v>
      </c>
      <c r="M60" t="s">
        <v>133</v>
      </c>
      <c r="N60" t="s">
        <v>28</v>
      </c>
      <c r="O60" t="s">
        <v>224</v>
      </c>
      <c r="P60" t="s">
        <v>29</v>
      </c>
      <c r="Q60" t="s">
        <v>30</v>
      </c>
    </row>
    <row r="61" spans="1:17" x14ac:dyDescent="0.25">
      <c r="A61" t="s">
        <v>314</v>
      </c>
      <c r="B61">
        <v>98561</v>
      </c>
      <c r="C61" t="s">
        <v>315</v>
      </c>
      <c r="D61" t="s">
        <v>19</v>
      </c>
      <c r="E61" t="s">
        <v>33</v>
      </c>
      <c r="F61" t="s">
        <v>202</v>
      </c>
      <c r="G61" t="s">
        <v>22</v>
      </c>
      <c r="H61" t="s">
        <v>316</v>
      </c>
      <c r="I61" t="s">
        <v>317</v>
      </c>
      <c r="J61">
        <v>157</v>
      </c>
      <c r="K61" t="s">
        <v>65</v>
      </c>
      <c r="L61" t="s">
        <v>318</v>
      </c>
      <c r="M61" t="s">
        <v>319</v>
      </c>
      <c r="N61" t="s">
        <v>28</v>
      </c>
      <c r="O61" t="s">
        <v>57</v>
      </c>
      <c r="P61" t="s">
        <v>29</v>
      </c>
      <c r="Q61" t="s">
        <v>30</v>
      </c>
    </row>
    <row r="62" spans="1:17" x14ac:dyDescent="0.25">
      <c r="A62" t="s">
        <v>320</v>
      </c>
      <c r="B62">
        <v>113372</v>
      </c>
      <c r="C62" t="s">
        <v>68</v>
      </c>
      <c r="D62" t="s">
        <v>32</v>
      </c>
      <c r="E62" t="s">
        <v>20</v>
      </c>
      <c r="F62" t="s">
        <v>123</v>
      </c>
      <c r="G62" t="s">
        <v>22</v>
      </c>
      <c r="H62" t="s">
        <v>321</v>
      </c>
      <c r="I62" t="s">
        <v>322</v>
      </c>
      <c r="J62">
        <v>156</v>
      </c>
      <c r="K62" t="s">
        <v>25</v>
      </c>
      <c r="L62" t="s">
        <v>161</v>
      </c>
      <c r="M62" t="s">
        <v>304</v>
      </c>
      <c r="N62" t="s">
        <v>28</v>
      </c>
      <c r="O62" t="s">
        <v>323</v>
      </c>
      <c r="P62" t="s">
        <v>29</v>
      </c>
      <c r="Q62" t="s">
        <v>30</v>
      </c>
    </row>
    <row r="63" spans="1:17" x14ac:dyDescent="0.25">
      <c r="A63" t="s">
        <v>324</v>
      </c>
      <c r="B63">
        <v>110186</v>
      </c>
      <c r="C63" t="s">
        <v>122</v>
      </c>
      <c r="D63" t="s">
        <v>32</v>
      </c>
      <c r="E63" t="s">
        <v>33</v>
      </c>
      <c r="F63" t="s">
        <v>123</v>
      </c>
      <c r="G63" t="s">
        <v>22</v>
      </c>
      <c r="H63" t="s">
        <v>325</v>
      </c>
      <c r="I63" t="s">
        <v>326</v>
      </c>
      <c r="J63">
        <v>155</v>
      </c>
      <c r="K63" t="s">
        <v>25</v>
      </c>
      <c r="L63" t="s">
        <v>26</v>
      </c>
      <c r="M63" t="s">
        <v>327</v>
      </c>
      <c r="N63" t="s">
        <v>28</v>
      </c>
      <c r="O63" t="s">
        <v>213</v>
      </c>
      <c r="P63" t="s">
        <v>29</v>
      </c>
      <c r="Q63" t="s">
        <v>30</v>
      </c>
    </row>
    <row r="64" spans="1:17" x14ac:dyDescent="0.25">
      <c r="A64" t="s">
        <v>328</v>
      </c>
      <c r="B64">
        <v>113671</v>
      </c>
      <c r="C64" t="s">
        <v>142</v>
      </c>
      <c r="D64" t="s">
        <v>32</v>
      </c>
      <c r="E64" t="s">
        <v>33</v>
      </c>
      <c r="F64" t="s">
        <v>123</v>
      </c>
      <c r="G64" t="s">
        <v>22</v>
      </c>
      <c r="H64" t="s">
        <v>329</v>
      </c>
      <c r="I64" t="s">
        <v>330</v>
      </c>
      <c r="J64">
        <v>153</v>
      </c>
      <c r="K64" t="s">
        <v>65</v>
      </c>
      <c r="L64" t="s">
        <v>37</v>
      </c>
      <c r="M64" t="s">
        <v>331</v>
      </c>
      <c r="N64" t="s">
        <v>28</v>
      </c>
      <c r="O64" t="s">
        <v>57</v>
      </c>
      <c r="P64" t="s">
        <v>29</v>
      </c>
      <c r="Q64" t="s">
        <v>30</v>
      </c>
    </row>
    <row r="65" spans="1:17" x14ac:dyDescent="0.25">
      <c r="A65" t="s">
        <v>332</v>
      </c>
      <c r="B65">
        <v>113708</v>
      </c>
      <c r="C65" t="s">
        <v>138</v>
      </c>
      <c r="D65" t="s">
        <v>32</v>
      </c>
      <c r="E65" t="s">
        <v>33</v>
      </c>
      <c r="F65" t="s">
        <v>40</v>
      </c>
      <c r="G65" t="s">
        <v>22</v>
      </c>
      <c r="H65" t="s">
        <v>333</v>
      </c>
      <c r="I65" t="s">
        <v>334</v>
      </c>
      <c r="J65">
        <v>152</v>
      </c>
      <c r="K65" t="s">
        <v>25</v>
      </c>
      <c r="L65" t="s">
        <v>46</v>
      </c>
      <c r="M65" t="s">
        <v>71</v>
      </c>
      <c r="N65" t="s">
        <v>28</v>
      </c>
      <c r="O65" t="s">
        <v>72</v>
      </c>
      <c r="P65" t="s">
        <v>29</v>
      </c>
      <c r="Q65" t="s">
        <v>30</v>
      </c>
    </row>
    <row r="66" spans="1:17" x14ac:dyDescent="0.25">
      <c r="A66" t="s">
        <v>335</v>
      </c>
      <c r="B66">
        <v>107641</v>
      </c>
      <c r="C66" t="s">
        <v>285</v>
      </c>
      <c r="D66" t="s">
        <v>32</v>
      </c>
      <c r="E66" t="s">
        <v>33</v>
      </c>
      <c r="F66" t="s">
        <v>40</v>
      </c>
      <c r="G66" t="s">
        <v>22</v>
      </c>
      <c r="H66" t="s">
        <v>336</v>
      </c>
      <c r="I66" t="s">
        <v>337</v>
      </c>
      <c r="J66">
        <v>151</v>
      </c>
      <c r="K66" t="s">
        <v>25</v>
      </c>
      <c r="L66" t="s">
        <v>52</v>
      </c>
      <c r="M66" t="s">
        <v>71</v>
      </c>
      <c r="N66" t="s">
        <v>28</v>
      </c>
      <c r="O66" t="s">
        <v>72</v>
      </c>
      <c r="P66" t="s">
        <v>29</v>
      </c>
      <c r="Q66" t="s">
        <v>30</v>
      </c>
    </row>
    <row r="67" spans="1:17" x14ac:dyDescent="0.25">
      <c r="A67" t="s">
        <v>338</v>
      </c>
      <c r="B67">
        <v>114325</v>
      </c>
      <c r="C67" t="s">
        <v>80</v>
      </c>
      <c r="D67" t="s">
        <v>32</v>
      </c>
      <c r="E67" t="s">
        <v>20</v>
      </c>
      <c r="F67" t="s">
        <v>123</v>
      </c>
      <c r="G67" t="s">
        <v>22</v>
      </c>
      <c r="H67" t="s">
        <v>339</v>
      </c>
      <c r="I67" t="s">
        <v>340</v>
      </c>
      <c r="J67">
        <v>145</v>
      </c>
      <c r="K67" t="s">
        <v>25</v>
      </c>
      <c r="L67" t="s">
        <v>126</v>
      </c>
      <c r="M67" t="s">
        <v>341</v>
      </c>
      <c r="N67" t="s">
        <v>28</v>
      </c>
      <c r="O67" t="s">
        <v>126</v>
      </c>
      <c r="P67" t="s">
        <v>29</v>
      </c>
      <c r="Q67" t="s">
        <v>30</v>
      </c>
    </row>
    <row r="68" spans="1:17" x14ac:dyDescent="0.25">
      <c r="A68" t="s">
        <v>342</v>
      </c>
      <c r="B68">
        <v>114802</v>
      </c>
      <c r="C68" t="s">
        <v>343</v>
      </c>
      <c r="D68" t="s">
        <v>32</v>
      </c>
      <c r="E68" t="s">
        <v>33</v>
      </c>
      <c r="F68" t="s">
        <v>21</v>
      </c>
      <c r="G68" t="s">
        <v>22</v>
      </c>
      <c r="H68" t="s">
        <v>344</v>
      </c>
      <c r="I68" t="s">
        <v>345</v>
      </c>
      <c r="J68">
        <v>140</v>
      </c>
      <c r="K68" t="s">
        <v>25</v>
      </c>
      <c r="L68" t="s">
        <v>57</v>
      </c>
      <c r="M68" t="s">
        <v>346</v>
      </c>
      <c r="N68" t="s">
        <v>28</v>
      </c>
      <c r="O68" t="s">
        <v>57</v>
      </c>
      <c r="P68" t="s">
        <v>29</v>
      </c>
      <c r="Q68" t="s">
        <v>30</v>
      </c>
    </row>
    <row r="69" spans="1:17" x14ac:dyDescent="0.25">
      <c r="A69" t="s">
        <v>347</v>
      </c>
      <c r="B69">
        <v>115413</v>
      </c>
      <c r="C69" t="s">
        <v>348</v>
      </c>
      <c r="D69" t="s">
        <v>32</v>
      </c>
      <c r="E69" t="s">
        <v>62</v>
      </c>
      <c r="F69" t="s">
        <v>21</v>
      </c>
      <c r="G69" t="s">
        <v>22</v>
      </c>
      <c r="H69" t="s">
        <v>349</v>
      </c>
      <c r="I69" t="s">
        <v>350</v>
      </c>
      <c r="J69">
        <v>134</v>
      </c>
      <c r="K69" t="s">
        <v>25</v>
      </c>
      <c r="L69" t="s">
        <v>57</v>
      </c>
      <c r="M69" t="s">
        <v>351</v>
      </c>
      <c r="N69" t="s">
        <v>28</v>
      </c>
      <c r="O69" t="s">
        <v>43</v>
      </c>
      <c r="P69" t="s">
        <v>29</v>
      </c>
      <c r="Q69" t="s">
        <v>30</v>
      </c>
    </row>
    <row r="70" spans="1:17" x14ac:dyDescent="0.25">
      <c r="A70" t="s">
        <v>352</v>
      </c>
      <c r="B70">
        <v>115664</v>
      </c>
      <c r="C70" t="s">
        <v>353</v>
      </c>
      <c r="D70" t="s">
        <v>19</v>
      </c>
      <c r="E70" t="s">
        <v>62</v>
      </c>
      <c r="F70" t="s">
        <v>109</v>
      </c>
      <c r="G70" t="s">
        <v>22</v>
      </c>
      <c r="H70" t="s">
        <v>354</v>
      </c>
      <c r="I70" t="s">
        <v>355</v>
      </c>
      <c r="J70">
        <v>133</v>
      </c>
      <c r="K70" t="s">
        <v>65</v>
      </c>
      <c r="L70" t="s">
        <v>323</v>
      </c>
      <c r="M70" t="s">
        <v>178</v>
      </c>
      <c r="N70" t="s">
        <v>28</v>
      </c>
      <c r="O70" t="s">
        <v>356</v>
      </c>
      <c r="P70" t="s">
        <v>29</v>
      </c>
      <c r="Q70" t="s">
        <v>30</v>
      </c>
    </row>
    <row r="71" spans="1:17" x14ac:dyDescent="0.25">
      <c r="A71" t="s">
        <v>357</v>
      </c>
      <c r="B71">
        <v>115579</v>
      </c>
      <c r="C71" t="s">
        <v>348</v>
      </c>
      <c r="D71" t="s">
        <v>32</v>
      </c>
      <c r="E71" t="s">
        <v>33</v>
      </c>
      <c r="F71" t="s">
        <v>21</v>
      </c>
      <c r="G71" t="s">
        <v>22</v>
      </c>
      <c r="H71" t="s">
        <v>358</v>
      </c>
      <c r="I71" t="s">
        <v>359</v>
      </c>
      <c r="J71">
        <v>131</v>
      </c>
      <c r="K71" t="s">
        <v>25</v>
      </c>
      <c r="L71" t="s">
        <v>43</v>
      </c>
      <c r="M71" t="s">
        <v>117</v>
      </c>
      <c r="N71" t="s">
        <v>28</v>
      </c>
      <c r="O71" t="s">
        <v>57</v>
      </c>
      <c r="P71" t="s">
        <v>29</v>
      </c>
      <c r="Q71" t="s">
        <v>30</v>
      </c>
    </row>
    <row r="72" spans="1:17" x14ac:dyDescent="0.25">
      <c r="A72" t="s">
        <v>360</v>
      </c>
      <c r="B72">
        <v>115611</v>
      </c>
      <c r="C72" t="s">
        <v>361</v>
      </c>
      <c r="D72" t="s">
        <v>19</v>
      </c>
      <c r="E72" t="s">
        <v>33</v>
      </c>
      <c r="F72" t="s">
        <v>202</v>
      </c>
      <c r="G72" t="s">
        <v>22</v>
      </c>
      <c r="H72" t="s">
        <v>362</v>
      </c>
      <c r="I72" t="s">
        <v>363</v>
      </c>
      <c r="J72">
        <v>131</v>
      </c>
      <c r="K72" t="s">
        <v>65</v>
      </c>
      <c r="L72" t="s">
        <v>318</v>
      </c>
      <c r="M72" t="s">
        <v>364</v>
      </c>
      <c r="N72" t="s">
        <v>28</v>
      </c>
      <c r="O72" t="s">
        <v>206</v>
      </c>
      <c r="P72" t="s">
        <v>29</v>
      </c>
      <c r="Q72" t="s">
        <v>30</v>
      </c>
    </row>
    <row r="73" spans="1:17" x14ac:dyDescent="0.25">
      <c r="A73" t="s">
        <v>365</v>
      </c>
      <c r="B73">
        <v>115624</v>
      </c>
      <c r="C73" t="s">
        <v>348</v>
      </c>
      <c r="D73" t="s">
        <v>32</v>
      </c>
      <c r="E73" t="s">
        <v>62</v>
      </c>
      <c r="F73" t="s">
        <v>21</v>
      </c>
      <c r="G73" t="s">
        <v>22</v>
      </c>
      <c r="H73" t="s">
        <v>366</v>
      </c>
      <c r="I73" t="s">
        <v>367</v>
      </c>
      <c r="J73">
        <v>131</v>
      </c>
      <c r="K73" t="s">
        <v>211</v>
      </c>
      <c r="L73" t="s">
        <v>57</v>
      </c>
      <c r="M73" t="s">
        <v>368</v>
      </c>
      <c r="N73" t="s">
        <v>28</v>
      </c>
      <c r="O73" t="s">
        <v>43</v>
      </c>
      <c r="P73" t="s">
        <v>29</v>
      </c>
      <c r="Q73" t="s">
        <v>30</v>
      </c>
    </row>
    <row r="74" spans="1:17" x14ac:dyDescent="0.25">
      <c r="A74" t="s">
        <v>369</v>
      </c>
      <c r="B74">
        <v>116019</v>
      </c>
      <c r="C74" t="s">
        <v>18</v>
      </c>
      <c r="D74" t="s">
        <v>19</v>
      </c>
      <c r="E74" t="s">
        <v>33</v>
      </c>
      <c r="F74" t="s">
        <v>109</v>
      </c>
      <c r="G74" t="s">
        <v>22</v>
      </c>
      <c r="H74" t="s">
        <v>370</v>
      </c>
      <c r="I74" t="s">
        <v>371</v>
      </c>
      <c r="J74">
        <v>131</v>
      </c>
      <c r="K74" t="s">
        <v>25</v>
      </c>
      <c r="L74" t="s">
        <v>52</v>
      </c>
      <c r="M74" t="s">
        <v>372</v>
      </c>
      <c r="N74" t="s">
        <v>28</v>
      </c>
      <c r="O74" t="s">
        <v>57</v>
      </c>
      <c r="P74" t="s">
        <v>29</v>
      </c>
      <c r="Q74" t="s">
        <v>30</v>
      </c>
    </row>
    <row r="75" spans="1:17" x14ac:dyDescent="0.25">
      <c r="A75" t="s">
        <v>373</v>
      </c>
      <c r="B75">
        <v>69708</v>
      </c>
      <c r="C75" t="s">
        <v>374</v>
      </c>
      <c r="D75" t="s">
        <v>32</v>
      </c>
      <c r="E75" t="s">
        <v>227</v>
      </c>
      <c r="F75" t="s">
        <v>40</v>
      </c>
      <c r="G75" t="s">
        <v>22</v>
      </c>
      <c r="H75" t="s">
        <v>375</v>
      </c>
      <c r="I75" t="s">
        <v>376</v>
      </c>
      <c r="J75">
        <v>126</v>
      </c>
      <c r="K75" t="s">
        <v>25</v>
      </c>
      <c r="L75" t="s">
        <v>126</v>
      </c>
      <c r="M75" t="s">
        <v>126</v>
      </c>
      <c r="N75" t="s">
        <v>28</v>
      </c>
      <c r="O75" t="s">
        <v>126</v>
      </c>
      <c r="P75" t="s">
        <v>29</v>
      </c>
      <c r="Q75" t="s">
        <v>30</v>
      </c>
    </row>
    <row r="76" spans="1:17" x14ac:dyDescent="0.25">
      <c r="A76" t="s">
        <v>377</v>
      </c>
      <c r="B76">
        <v>116424</v>
      </c>
      <c r="C76" t="s">
        <v>108</v>
      </c>
      <c r="D76" t="s">
        <v>32</v>
      </c>
      <c r="E76" t="s">
        <v>20</v>
      </c>
      <c r="F76" t="s">
        <v>109</v>
      </c>
      <c r="G76" t="s">
        <v>22</v>
      </c>
      <c r="H76" t="s">
        <v>378</v>
      </c>
      <c r="I76" t="s">
        <v>379</v>
      </c>
      <c r="J76">
        <v>126</v>
      </c>
      <c r="K76" t="s">
        <v>65</v>
      </c>
      <c r="L76" t="s">
        <v>37</v>
      </c>
      <c r="M76" t="s">
        <v>113</v>
      </c>
      <c r="N76" t="s">
        <v>28</v>
      </c>
      <c r="O76" t="s">
        <v>145</v>
      </c>
      <c r="P76" t="s">
        <v>29</v>
      </c>
      <c r="Q76" t="s">
        <v>30</v>
      </c>
    </row>
    <row r="77" spans="1:17" x14ac:dyDescent="0.25">
      <c r="A77" t="s">
        <v>380</v>
      </c>
      <c r="B77">
        <v>116293</v>
      </c>
      <c r="C77" t="s">
        <v>138</v>
      </c>
      <c r="D77" t="s">
        <v>19</v>
      </c>
      <c r="E77" t="s">
        <v>260</v>
      </c>
      <c r="F77" t="s">
        <v>202</v>
      </c>
      <c r="G77" t="s">
        <v>22</v>
      </c>
      <c r="H77" t="s">
        <v>381</v>
      </c>
      <c r="I77" t="s">
        <v>382</v>
      </c>
      <c r="J77">
        <v>124</v>
      </c>
      <c r="K77" t="s">
        <v>25</v>
      </c>
      <c r="L77" t="s">
        <v>318</v>
      </c>
      <c r="M77" t="s">
        <v>383</v>
      </c>
      <c r="N77" t="s">
        <v>28</v>
      </c>
      <c r="O77" t="s">
        <v>26</v>
      </c>
      <c r="P77" t="s">
        <v>29</v>
      </c>
      <c r="Q77" t="s">
        <v>30</v>
      </c>
    </row>
    <row r="78" spans="1:17" x14ac:dyDescent="0.25">
      <c r="A78" t="s">
        <v>384</v>
      </c>
      <c r="B78">
        <v>116564</v>
      </c>
      <c r="C78" t="s">
        <v>348</v>
      </c>
      <c r="D78" t="s">
        <v>19</v>
      </c>
      <c r="E78" t="s">
        <v>33</v>
      </c>
      <c r="F78" t="s">
        <v>21</v>
      </c>
      <c r="G78" t="s">
        <v>22</v>
      </c>
      <c r="H78" t="s">
        <v>385</v>
      </c>
      <c r="I78" t="s">
        <v>386</v>
      </c>
      <c r="J78">
        <v>121</v>
      </c>
      <c r="K78" t="s">
        <v>25</v>
      </c>
      <c r="L78" t="s">
        <v>57</v>
      </c>
      <c r="M78" t="s">
        <v>387</v>
      </c>
      <c r="N78" t="s">
        <v>28</v>
      </c>
      <c r="O78" t="s">
        <v>43</v>
      </c>
      <c r="P78" t="s">
        <v>29</v>
      </c>
      <c r="Q78" t="s">
        <v>30</v>
      </c>
    </row>
    <row r="79" spans="1:17" x14ac:dyDescent="0.25">
      <c r="A79" t="s">
        <v>388</v>
      </c>
      <c r="B79">
        <v>117214</v>
      </c>
      <c r="C79" t="s">
        <v>348</v>
      </c>
      <c r="D79" t="s">
        <v>32</v>
      </c>
      <c r="E79" t="s">
        <v>33</v>
      </c>
      <c r="F79" t="s">
        <v>21</v>
      </c>
      <c r="G79" t="s">
        <v>22</v>
      </c>
      <c r="H79" t="s">
        <v>389</v>
      </c>
      <c r="I79" t="s">
        <v>390</v>
      </c>
      <c r="J79">
        <v>114</v>
      </c>
      <c r="K79" t="s">
        <v>211</v>
      </c>
      <c r="L79" t="s">
        <v>43</v>
      </c>
      <c r="M79" t="s">
        <v>27</v>
      </c>
      <c r="N79" t="s">
        <v>28</v>
      </c>
      <c r="O79" t="s">
        <v>43</v>
      </c>
      <c r="P79" t="s">
        <v>29</v>
      </c>
      <c r="Q79" t="s">
        <v>30</v>
      </c>
    </row>
    <row r="80" spans="1:17" x14ac:dyDescent="0.25">
      <c r="A80" t="s">
        <v>391</v>
      </c>
      <c r="B80">
        <v>116946</v>
      </c>
      <c r="C80" t="s">
        <v>392</v>
      </c>
      <c r="D80" t="s">
        <v>19</v>
      </c>
      <c r="E80" t="s">
        <v>20</v>
      </c>
      <c r="F80" t="s">
        <v>393</v>
      </c>
      <c r="G80" t="s">
        <v>394</v>
      </c>
      <c r="H80" t="s">
        <v>395</v>
      </c>
      <c r="I80" t="s">
        <v>396</v>
      </c>
      <c r="J80">
        <v>114</v>
      </c>
      <c r="K80" t="s">
        <v>397</v>
      </c>
      <c r="L80" t="s">
        <v>126</v>
      </c>
      <c r="M80" t="s">
        <v>398</v>
      </c>
      <c r="N80" t="s">
        <v>28</v>
      </c>
      <c r="O80" t="s">
        <v>213</v>
      </c>
      <c r="P80" t="s">
        <v>29</v>
      </c>
      <c r="Q80" t="s">
        <v>30</v>
      </c>
    </row>
    <row r="81" spans="1:17" x14ac:dyDescent="0.25">
      <c r="A81" t="s">
        <v>399</v>
      </c>
      <c r="B81">
        <v>74524</v>
      </c>
      <c r="C81" t="s">
        <v>400</v>
      </c>
      <c r="D81" t="s">
        <v>32</v>
      </c>
      <c r="E81" t="s">
        <v>227</v>
      </c>
      <c r="F81" t="s">
        <v>123</v>
      </c>
      <c r="G81" t="s">
        <v>22</v>
      </c>
      <c r="H81" t="s">
        <v>401</v>
      </c>
      <c r="I81" t="s">
        <v>402</v>
      </c>
      <c r="J81">
        <v>112</v>
      </c>
      <c r="K81" t="s">
        <v>25</v>
      </c>
      <c r="L81" t="s">
        <v>46</v>
      </c>
      <c r="M81" t="s">
        <v>219</v>
      </c>
      <c r="N81" t="s">
        <v>28</v>
      </c>
      <c r="O81" t="s">
        <v>46</v>
      </c>
      <c r="P81" t="s">
        <v>29</v>
      </c>
      <c r="Q81" t="s">
        <v>30</v>
      </c>
    </row>
    <row r="82" spans="1:17" x14ac:dyDescent="0.25">
      <c r="A82" t="s">
        <v>403</v>
      </c>
      <c r="B82">
        <v>117448</v>
      </c>
      <c r="C82" t="s">
        <v>348</v>
      </c>
      <c r="D82" t="s">
        <v>19</v>
      </c>
      <c r="E82" t="s">
        <v>33</v>
      </c>
      <c r="F82" t="s">
        <v>21</v>
      </c>
      <c r="G82" t="s">
        <v>22</v>
      </c>
      <c r="H82" t="s">
        <v>404</v>
      </c>
      <c r="I82" t="s">
        <v>405</v>
      </c>
      <c r="J82">
        <v>112</v>
      </c>
      <c r="K82" t="s">
        <v>25</v>
      </c>
      <c r="L82" t="s">
        <v>57</v>
      </c>
      <c r="M82" t="s">
        <v>308</v>
      </c>
      <c r="N82" t="s">
        <v>28</v>
      </c>
      <c r="O82" t="s">
        <v>43</v>
      </c>
      <c r="P82" t="s">
        <v>29</v>
      </c>
      <c r="Q82" t="s">
        <v>30</v>
      </c>
    </row>
    <row r="83" spans="1:17" x14ac:dyDescent="0.25">
      <c r="A83" t="s">
        <v>406</v>
      </c>
      <c r="B83">
        <v>117533</v>
      </c>
      <c r="C83" t="s">
        <v>147</v>
      </c>
      <c r="D83" t="s">
        <v>32</v>
      </c>
      <c r="E83" t="s">
        <v>33</v>
      </c>
      <c r="F83" t="s">
        <v>40</v>
      </c>
      <c r="G83" t="s">
        <v>22</v>
      </c>
      <c r="H83" t="s">
        <v>407</v>
      </c>
      <c r="I83" t="s">
        <v>408</v>
      </c>
      <c r="J83">
        <v>110</v>
      </c>
      <c r="K83" t="s">
        <v>25</v>
      </c>
      <c r="L83" t="s">
        <v>94</v>
      </c>
      <c r="M83" t="s">
        <v>89</v>
      </c>
      <c r="N83" t="s">
        <v>28</v>
      </c>
      <c r="O83" t="s">
        <v>72</v>
      </c>
      <c r="P83" t="s">
        <v>29</v>
      </c>
      <c r="Q83" t="s">
        <v>30</v>
      </c>
    </row>
    <row r="84" spans="1:17" x14ac:dyDescent="0.25">
      <c r="A84" t="s">
        <v>409</v>
      </c>
      <c r="B84">
        <v>117580</v>
      </c>
      <c r="C84" t="s">
        <v>348</v>
      </c>
      <c r="D84" t="s">
        <v>32</v>
      </c>
      <c r="E84" t="s">
        <v>33</v>
      </c>
      <c r="F84" t="s">
        <v>21</v>
      </c>
      <c r="G84" t="s">
        <v>22</v>
      </c>
      <c r="H84" t="s">
        <v>410</v>
      </c>
      <c r="I84" t="s">
        <v>411</v>
      </c>
      <c r="J84">
        <v>110</v>
      </c>
      <c r="K84" t="s">
        <v>25</v>
      </c>
      <c r="L84" t="s">
        <v>57</v>
      </c>
      <c r="M84" t="s">
        <v>117</v>
      </c>
      <c r="N84" t="s">
        <v>28</v>
      </c>
      <c r="O84" t="s">
        <v>43</v>
      </c>
      <c r="P84" t="s">
        <v>29</v>
      </c>
      <c r="Q84" t="s">
        <v>30</v>
      </c>
    </row>
    <row r="85" spans="1:17" x14ac:dyDescent="0.25">
      <c r="A85" t="s">
        <v>412</v>
      </c>
      <c r="B85">
        <v>117917</v>
      </c>
      <c r="C85" t="s">
        <v>413</v>
      </c>
      <c r="D85" t="s">
        <v>19</v>
      </c>
      <c r="E85" t="s">
        <v>20</v>
      </c>
      <c r="F85" t="s">
        <v>109</v>
      </c>
      <c r="G85" t="s">
        <v>22</v>
      </c>
      <c r="H85" t="s">
        <v>414</v>
      </c>
      <c r="I85" t="s">
        <v>415</v>
      </c>
      <c r="J85">
        <v>110</v>
      </c>
      <c r="K85" t="s">
        <v>397</v>
      </c>
      <c r="L85" t="s">
        <v>50</v>
      </c>
      <c r="M85" t="s">
        <v>170</v>
      </c>
      <c r="N85" t="s">
        <v>28</v>
      </c>
      <c r="O85" t="s">
        <v>416</v>
      </c>
      <c r="P85" t="s">
        <v>29</v>
      </c>
      <c r="Q85" t="s">
        <v>30</v>
      </c>
    </row>
    <row r="86" spans="1:17" x14ac:dyDescent="0.25">
      <c r="A86" t="s">
        <v>417</v>
      </c>
      <c r="B86">
        <v>117702</v>
      </c>
      <c r="C86" t="s">
        <v>296</v>
      </c>
      <c r="D86" t="s">
        <v>32</v>
      </c>
      <c r="E86" t="s">
        <v>33</v>
      </c>
      <c r="F86" t="s">
        <v>123</v>
      </c>
      <c r="G86" t="s">
        <v>22</v>
      </c>
      <c r="H86" t="s">
        <v>418</v>
      </c>
      <c r="I86" t="s">
        <v>419</v>
      </c>
      <c r="J86">
        <v>108</v>
      </c>
      <c r="K86" t="s">
        <v>65</v>
      </c>
      <c r="L86" t="s">
        <v>50</v>
      </c>
      <c r="M86" t="s">
        <v>133</v>
      </c>
      <c r="N86" t="s">
        <v>28</v>
      </c>
      <c r="O86" t="s">
        <v>290</v>
      </c>
      <c r="P86" t="s">
        <v>29</v>
      </c>
      <c r="Q86" t="s">
        <v>30</v>
      </c>
    </row>
    <row r="87" spans="1:17" x14ac:dyDescent="0.25">
      <c r="A87" t="s">
        <v>420</v>
      </c>
      <c r="B87">
        <v>117904</v>
      </c>
      <c r="C87" t="s">
        <v>348</v>
      </c>
      <c r="D87" t="s">
        <v>19</v>
      </c>
      <c r="E87" t="s">
        <v>20</v>
      </c>
      <c r="F87" t="s">
        <v>21</v>
      </c>
      <c r="G87" t="s">
        <v>22</v>
      </c>
      <c r="H87" t="s">
        <v>421</v>
      </c>
      <c r="I87" t="s">
        <v>422</v>
      </c>
      <c r="J87">
        <v>107</v>
      </c>
      <c r="K87" t="s">
        <v>25</v>
      </c>
      <c r="L87" t="s">
        <v>356</v>
      </c>
      <c r="M87" t="s">
        <v>423</v>
      </c>
      <c r="N87" t="s">
        <v>28</v>
      </c>
      <c r="O87" t="s">
        <v>57</v>
      </c>
      <c r="P87" t="s">
        <v>29</v>
      </c>
      <c r="Q87" t="s">
        <v>30</v>
      </c>
    </row>
    <row r="88" spans="1:17" x14ac:dyDescent="0.25">
      <c r="A88" t="s">
        <v>424</v>
      </c>
      <c r="B88">
        <v>117926</v>
      </c>
      <c r="C88" t="s">
        <v>74</v>
      </c>
      <c r="D88" t="s">
        <v>32</v>
      </c>
      <c r="E88" t="s">
        <v>20</v>
      </c>
      <c r="F88" t="s">
        <v>40</v>
      </c>
      <c r="G88" t="s">
        <v>22</v>
      </c>
      <c r="H88" t="s">
        <v>425</v>
      </c>
      <c r="I88" t="s">
        <v>426</v>
      </c>
      <c r="J88">
        <v>106</v>
      </c>
      <c r="K88" t="s">
        <v>25</v>
      </c>
      <c r="L88" t="s">
        <v>94</v>
      </c>
      <c r="M88" t="s">
        <v>71</v>
      </c>
      <c r="N88" t="s">
        <v>28</v>
      </c>
      <c r="O88" t="s">
        <v>72</v>
      </c>
      <c r="P88" t="s">
        <v>29</v>
      </c>
      <c r="Q88" t="s">
        <v>30</v>
      </c>
    </row>
    <row r="89" spans="1:17" x14ac:dyDescent="0.25">
      <c r="A89" t="s">
        <v>427</v>
      </c>
      <c r="B89">
        <v>118126</v>
      </c>
      <c r="C89" t="s">
        <v>147</v>
      </c>
      <c r="D89" t="s">
        <v>19</v>
      </c>
      <c r="E89" t="s">
        <v>20</v>
      </c>
      <c r="F89" t="s">
        <v>428</v>
      </c>
      <c r="G89" t="s">
        <v>22</v>
      </c>
      <c r="H89" t="s">
        <v>429</v>
      </c>
      <c r="I89" t="s">
        <v>430</v>
      </c>
      <c r="J89">
        <v>104</v>
      </c>
      <c r="K89" t="s">
        <v>211</v>
      </c>
      <c r="L89" t="s">
        <v>271</v>
      </c>
      <c r="M89" t="s">
        <v>431</v>
      </c>
      <c r="N89" t="s">
        <v>28</v>
      </c>
      <c r="O89" t="s">
        <v>179</v>
      </c>
      <c r="P89" t="s">
        <v>29</v>
      </c>
      <c r="Q89" t="s">
        <v>30</v>
      </c>
    </row>
    <row r="90" spans="1:17" x14ac:dyDescent="0.25">
      <c r="A90" t="s">
        <v>432</v>
      </c>
      <c r="B90">
        <v>118253</v>
      </c>
      <c r="C90" t="s">
        <v>138</v>
      </c>
      <c r="D90" t="s">
        <v>32</v>
      </c>
      <c r="E90" t="s">
        <v>33</v>
      </c>
      <c r="F90" t="s">
        <v>40</v>
      </c>
      <c r="G90" t="s">
        <v>22</v>
      </c>
      <c r="H90" t="s">
        <v>433</v>
      </c>
      <c r="I90" t="s">
        <v>434</v>
      </c>
      <c r="J90">
        <v>102</v>
      </c>
      <c r="K90" t="s">
        <v>65</v>
      </c>
      <c r="L90" t="s">
        <v>94</v>
      </c>
      <c r="M90" t="s">
        <v>435</v>
      </c>
      <c r="N90" t="s">
        <v>28</v>
      </c>
      <c r="O90" t="s">
        <v>72</v>
      </c>
      <c r="P90" t="s">
        <v>29</v>
      </c>
      <c r="Q90" t="s">
        <v>30</v>
      </c>
    </row>
    <row r="91" spans="1:17" x14ac:dyDescent="0.25">
      <c r="A91" t="s">
        <v>436</v>
      </c>
      <c r="B91">
        <v>118338</v>
      </c>
      <c r="C91" t="s">
        <v>122</v>
      </c>
      <c r="D91" t="s">
        <v>19</v>
      </c>
      <c r="E91" t="s">
        <v>20</v>
      </c>
      <c r="F91" t="s">
        <v>428</v>
      </c>
      <c r="G91" t="s">
        <v>22</v>
      </c>
      <c r="H91" t="s">
        <v>437</v>
      </c>
      <c r="I91" t="s">
        <v>438</v>
      </c>
      <c r="J91">
        <v>101</v>
      </c>
      <c r="K91" t="s">
        <v>25</v>
      </c>
      <c r="L91" t="s">
        <v>37</v>
      </c>
      <c r="M91" t="s">
        <v>439</v>
      </c>
      <c r="N91" t="s">
        <v>28</v>
      </c>
      <c r="O91" t="s">
        <v>224</v>
      </c>
      <c r="P91" t="s">
        <v>29</v>
      </c>
      <c r="Q91" t="s">
        <v>30</v>
      </c>
    </row>
    <row r="92" spans="1:17" x14ac:dyDescent="0.25">
      <c r="A92" t="s">
        <v>440</v>
      </c>
      <c r="B92">
        <v>118466</v>
      </c>
      <c r="C92" t="s">
        <v>441</v>
      </c>
      <c r="D92" t="s">
        <v>32</v>
      </c>
      <c r="E92" t="s">
        <v>20</v>
      </c>
      <c r="F92" t="s">
        <v>123</v>
      </c>
      <c r="G92" t="s">
        <v>22</v>
      </c>
      <c r="H92" t="s">
        <v>442</v>
      </c>
      <c r="I92" t="s">
        <v>443</v>
      </c>
      <c r="J92">
        <v>101</v>
      </c>
      <c r="K92" t="s">
        <v>25</v>
      </c>
      <c r="L92" t="s">
        <v>444</v>
      </c>
      <c r="M92" t="s">
        <v>71</v>
      </c>
      <c r="N92" t="s">
        <v>28</v>
      </c>
      <c r="O92" t="s">
        <v>444</v>
      </c>
      <c r="P92" t="s">
        <v>29</v>
      </c>
      <c r="Q92" t="s">
        <v>30</v>
      </c>
    </row>
    <row r="93" spans="1:17" x14ac:dyDescent="0.25">
      <c r="A93" t="s">
        <v>445</v>
      </c>
      <c r="B93">
        <v>118861</v>
      </c>
      <c r="C93" t="s">
        <v>18</v>
      </c>
      <c r="D93" t="s">
        <v>19</v>
      </c>
      <c r="E93" t="s">
        <v>20</v>
      </c>
      <c r="F93" t="s">
        <v>109</v>
      </c>
      <c r="G93" t="s">
        <v>22</v>
      </c>
      <c r="H93" t="s">
        <v>446</v>
      </c>
      <c r="I93" t="s">
        <v>447</v>
      </c>
      <c r="J93">
        <v>99</v>
      </c>
      <c r="K93" t="s">
        <v>65</v>
      </c>
      <c r="L93" t="s">
        <v>448</v>
      </c>
      <c r="M93" t="s">
        <v>178</v>
      </c>
      <c r="N93" t="s">
        <v>28</v>
      </c>
      <c r="O93" t="s">
        <v>37</v>
      </c>
      <c r="P93" t="s">
        <v>29</v>
      </c>
      <c r="Q93" t="s">
        <v>30</v>
      </c>
    </row>
    <row r="94" spans="1:17" x14ac:dyDescent="0.25">
      <c r="A94" t="s">
        <v>449</v>
      </c>
      <c r="B94">
        <v>118961</v>
      </c>
      <c r="C94" t="s">
        <v>450</v>
      </c>
      <c r="D94" t="s">
        <v>32</v>
      </c>
      <c r="E94" t="s">
        <v>62</v>
      </c>
      <c r="F94" t="s">
        <v>40</v>
      </c>
      <c r="G94" t="s">
        <v>22</v>
      </c>
      <c r="H94" t="s">
        <v>451</v>
      </c>
      <c r="I94" t="s">
        <v>452</v>
      </c>
      <c r="J94">
        <v>94</v>
      </c>
      <c r="K94" t="s">
        <v>25</v>
      </c>
      <c r="L94" t="s">
        <v>72</v>
      </c>
      <c r="M94" t="s">
        <v>106</v>
      </c>
      <c r="N94" t="s">
        <v>28</v>
      </c>
      <c r="O94" t="s">
        <v>126</v>
      </c>
      <c r="P94" t="s">
        <v>29</v>
      </c>
      <c r="Q94" t="s">
        <v>30</v>
      </c>
    </row>
    <row r="95" spans="1:17" x14ac:dyDescent="0.25">
      <c r="A95" t="s">
        <v>453</v>
      </c>
      <c r="B95">
        <v>119472</v>
      </c>
      <c r="C95" t="s">
        <v>454</v>
      </c>
      <c r="D95" t="s">
        <v>19</v>
      </c>
      <c r="E95" t="s">
        <v>33</v>
      </c>
      <c r="F95" t="s">
        <v>109</v>
      </c>
      <c r="G95" t="s">
        <v>22</v>
      </c>
      <c r="H95" t="s">
        <v>455</v>
      </c>
      <c r="I95" t="s">
        <v>456</v>
      </c>
      <c r="J95">
        <v>93</v>
      </c>
      <c r="K95" t="s">
        <v>65</v>
      </c>
      <c r="L95" t="s">
        <v>271</v>
      </c>
      <c r="M95" t="s">
        <v>457</v>
      </c>
      <c r="N95" t="s">
        <v>28</v>
      </c>
      <c r="O95" t="s">
        <v>37</v>
      </c>
      <c r="P95" t="s">
        <v>29</v>
      </c>
      <c r="Q95" t="s">
        <v>30</v>
      </c>
    </row>
    <row r="96" spans="1:17" x14ac:dyDescent="0.25">
      <c r="A96" t="s">
        <v>458</v>
      </c>
      <c r="B96">
        <v>119099</v>
      </c>
      <c r="C96" t="s">
        <v>80</v>
      </c>
      <c r="D96" t="s">
        <v>32</v>
      </c>
      <c r="E96" t="s">
        <v>33</v>
      </c>
      <c r="F96" t="s">
        <v>123</v>
      </c>
      <c r="G96" t="s">
        <v>22</v>
      </c>
      <c r="H96" t="s">
        <v>459</v>
      </c>
      <c r="I96" t="s">
        <v>460</v>
      </c>
      <c r="J96">
        <v>92</v>
      </c>
      <c r="K96" t="s">
        <v>25</v>
      </c>
      <c r="L96" t="s">
        <v>161</v>
      </c>
      <c r="M96" t="s">
        <v>219</v>
      </c>
      <c r="N96" t="s">
        <v>28</v>
      </c>
      <c r="O96" t="s">
        <v>213</v>
      </c>
      <c r="P96" t="s">
        <v>29</v>
      </c>
      <c r="Q96" t="s">
        <v>30</v>
      </c>
    </row>
    <row r="97" spans="1:17" x14ac:dyDescent="0.25">
      <c r="A97" t="s">
        <v>461</v>
      </c>
      <c r="B97">
        <v>119215</v>
      </c>
      <c r="C97" t="s">
        <v>462</v>
      </c>
      <c r="D97" t="s">
        <v>19</v>
      </c>
      <c r="E97" t="s">
        <v>62</v>
      </c>
      <c r="F97" t="s">
        <v>428</v>
      </c>
      <c r="G97" t="s">
        <v>22</v>
      </c>
      <c r="H97" t="s">
        <v>463</v>
      </c>
      <c r="I97" t="s">
        <v>464</v>
      </c>
      <c r="J97">
        <v>92</v>
      </c>
      <c r="K97" t="s">
        <v>25</v>
      </c>
      <c r="L97" t="s">
        <v>258</v>
      </c>
      <c r="M97" t="s">
        <v>465</v>
      </c>
      <c r="N97" t="s">
        <v>28</v>
      </c>
      <c r="O97" t="s">
        <v>179</v>
      </c>
      <c r="P97" t="s">
        <v>29</v>
      </c>
      <c r="Q97" t="s">
        <v>30</v>
      </c>
    </row>
    <row r="98" spans="1:17" x14ac:dyDescent="0.25">
      <c r="A98" t="s">
        <v>466</v>
      </c>
      <c r="B98">
        <v>119216</v>
      </c>
      <c r="C98" t="s">
        <v>462</v>
      </c>
      <c r="D98" t="s">
        <v>19</v>
      </c>
      <c r="E98" t="s">
        <v>62</v>
      </c>
      <c r="F98" t="s">
        <v>428</v>
      </c>
      <c r="G98" t="s">
        <v>22</v>
      </c>
      <c r="H98" t="s">
        <v>467</v>
      </c>
      <c r="I98" t="s">
        <v>468</v>
      </c>
      <c r="J98">
        <v>92</v>
      </c>
      <c r="K98" t="s">
        <v>25</v>
      </c>
      <c r="L98" t="s">
        <v>161</v>
      </c>
      <c r="M98" t="s">
        <v>465</v>
      </c>
      <c r="N98" t="s">
        <v>28</v>
      </c>
      <c r="O98" t="s">
        <v>179</v>
      </c>
      <c r="P98" t="s">
        <v>29</v>
      </c>
      <c r="Q98" t="s">
        <v>30</v>
      </c>
    </row>
    <row r="99" spans="1:17" x14ac:dyDescent="0.25">
      <c r="A99" t="s">
        <v>469</v>
      </c>
      <c r="B99">
        <v>119514</v>
      </c>
      <c r="C99" t="s">
        <v>454</v>
      </c>
      <c r="D99" t="s">
        <v>32</v>
      </c>
      <c r="E99" t="s">
        <v>260</v>
      </c>
      <c r="F99" t="s">
        <v>109</v>
      </c>
      <c r="G99" t="s">
        <v>22</v>
      </c>
      <c r="H99" t="s">
        <v>470</v>
      </c>
      <c r="I99" t="s">
        <v>471</v>
      </c>
      <c r="J99">
        <v>92</v>
      </c>
      <c r="K99" t="s">
        <v>65</v>
      </c>
      <c r="L99" t="s">
        <v>126</v>
      </c>
      <c r="M99" t="s">
        <v>472</v>
      </c>
      <c r="N99" t="s">
        <v>28</v>
      </c>
      <c r="O99" t="s">
        <v>37</v>
      </c>
      <c r="P99" t="s">
        <v>29</v>
      </c>
      <c r="Q99" t="s">
        <v>30</v>
      </c>
    </row>
    <row r="100" spans="1:17" x14ac:dyDescent="0.25">
      <c r="A100" t="s">
        <v>473</v>
      </c>
      <c r="B100">
        <v>113780</v>
      </c>
      <c r="C100" t="s">
        <v>474</v>
      </c>
      <c r="D100" t="s">
        <v>32</v>
      </c>
      <c r="E100" t="s">
        <v>33</v>
      </c>
      <c r="F100" t="s">
        <v>123</v>
      </c>
      <c r="G100" t="s">
        <v>22</v>
      </c>
      <c r="H100" t="s">
        <v>475</v>
      </c>
      <c r="I100" t="s">
        <v>476</v>
      </c>
      <c r="J100">
        <v>89</v>
      </c>
      <c r="K100" t="s">
        <v>397</v>
      </c>
      <c r="L100" t="s">
        <v>477</v>
      </c>
      <c r="M100" t="s">
        <v>133</v>
      </c>
      <c r="N100" t="s">
        <v>28</v>
      </c>
      <c r="O100" t="s">
        <v>224</v>
      </c>
      <c r="P100" t="s">
        <v>29</v>
      </c>
      <c r="Q100" t="s">
        <v>30</v>
      </c>
    </row>
    <row r="101" spans="1:17" x14ac:dyDescent="0.25">
      <c r="A101" t="s">
        <v>478</v>
      </c>
      <c r="B101">
        <v>120085</v>
      </c>
      <c r="C101" t="s">
        <v>18</v>
      </c>
      <c r="D101" t="s">
        <v>19</v>
      </c>
      <c r="E101" t="s">
        <v>62</v>
      </c>
      <c r="F101" t="s">
        <v>109</v>
      </c>
      <c r="G101" t="s">
        <v>22</v>
      </c>
      <c r="H101" t="s">
        <v>479</v>
      </c>
      <c r="I101" t="s">
        <v>480</v>
      </c>
      <c r="J101">
        <v>89</v>
      </c>
      <c r="K101" t="s">
        <v>65</v>
      </c>
      <c r="L101" t="s">
        <v>481</v>
      </c>
      <c r="M101" t="s">
        <v>482</v>
      </c>
      <c r="N101" t="s">
        <v>28</v>
      </c>
      <c r="O101" t="s">
        <v>37</v>
      </c>
      <c r="P101" t="s">
        <v>29</v>
      </c>
      <c r="Q101" t="s">
        <v>30</v>
      </c>
    </row>
    <row r="102" spans="1:17" x14ac:dyDescent="0.25">
      <c r="A102" t="s">
        <v>483</v>
      </c>
      <c r="B102">
        <v>119510</v>
      </c>
      <c r="C102" t="s">
        <v>400</v>
      </c>
      <c r="D102" t="s">
        <v>19</v>
      </c>
      <c r="E102" t="s">
        <v>260</v>
      </c>
      <c r="F102" t="s">
        <v>484</v>
      </c>
      <c r="G102" t="s">
        <v>22</v>
      </c>
      <c r="H102" t="s">
        <v>485</v>
      </c>
      <c r="I102" t="s">
        <v>486</v>
      </c>
      <c r="J102">
        <v>88</v>
      </c>
      <c r="K102" t="s">
        <v>211</v>
      </c>
      <c r="L102" t="s">
        <v>126</v>
      </c>
      <c r="M102" t="s">
        <v>487</v>
      </c>
      <c r="N102" t="s">
        <v>28</v>
      </c>
      <c r="O102" t="s">
        <v>26</v>
      </c>
      <c r="P102" t="s">
        <v>29</v>
      </c>
      <c r="Q102" t="s">
        <v>30</v>
      </c>
    </row>
    <row r="103" spans="1:17" x14ac:dyDescent="0.25">
      <c r="A103" t="s">
        <v>488</v>
      </c>
      <c r="B103">
        <v>99717</v>
      </c>
      <c r="C103" t="s">
        <v>61</v>
      </c>
      <c r="D103" t="s">
        <v>32</v>
      </c>
      <c r="E103" t="s">
        <v>260</v>
      </c>
      <c r="F103" t="s">
        <v>202</v>
      </c>
      <c r="G103" t="s">
        <v>22</v>
      </c>
      <c r="H103" t="s">
        <v>489</v>
      </c>
      <c r="I103" t="s">
        <v>490</v>
      </c>
      <c r="J103">
        <v>87</v>
      </c>
      <c r="K103" t="s">
        <v>25</v>
      </c>
      <c r="L103" t="s">
        <v>491</v>
      </c>
      <c r="M103" t="s">
        <v>492</v>
      </c>
      <c r="N103" t="s">
        <v>493</v>
      </c>
      <c r="O103" t="s">
        <v>26</v>
      </c>
      <c r="P103" t="s">
        <v>29</v>
      </c>
      <c r="Q103" t="s">
        <v>30</v>
      </c>
    </row>
    <row r="104" spans="1:17" x14ac:dyDescent="0.25">
      <c r="A104" t="s">
        <v>494</v>
      </c>
      <c r="B104">
        <v>108267</v>
      </c>
      <c r="C104" t="s">
        <v>142</v>
      </c>
      <c r="D104" t="s">
        <v>19</v>
      </c>
      <c r="E104" t="s">
        <v>33</v>
      </c>
      <c r="F104" t="s">
        <v>428</v>
      </c>
      <c r="G104" t="s">
        <v>22</v>
      </c>
      <c r="H104" t="s">
        <v>495</v>
      </c>
      <c r="I104" t="s">
        <v>496</v>
      </c>
      <c r="J104">
        <v>86</v>
      </c>
      <c r="K104" t="s">
        <v>25</v>
      </c>
      <c r="L104" t="s">
        <v>145</v>
      </c>
      <c r="M104" t="s">
        <v>497</v>
      </c>
      <c r="N104" t="s">
        <v>28</v>
      </c>
      <c r="O104" t="s">
        <v>179</v>
      </c>
      <c r="P104" t="s">
        <v>29</v>
      </c>
      <c r="Q104" t="s">
        <v>30</v>
      </c>
    </row>
    <row r="105" spans="1:17" x14ac:dyDescent="0.25">
      <c r="A105" t="s">
        <v>498</v>
      </c>
      <c r="B105">
        <v>119945</v>
      </c>
      <c r="C105" t="s">
        <v>147</v>
      </c>
      <c r="D105" t="s">
        <v>19</v>
      </c>
      <c r="E105" t="s">
        <v>33</v>
      </c>
      <c r="F105" t="s">
        <v>428</v>
      </c>
      <c r="G105" t="s">
        <v>22</v>
      </c>
      <c r="H105" t="s">
        <v>499</v>
      </c>
      <c r="I105" t="s">
        <v>500</v>
      </c>
      <c r="J105">
        <v>86</v>
      </c>
      <c r="K105" t="s">
        <v>25</v>
      </c>
      <c r="L105" t="s">
        <v>52</v>
      </c>
      <c r="M105" t="s">
        <v>497</v>
      </c>
      <c r="N105" t="s">
        <v>28</v>
      </c>
      <c r="O105" t="s">
        <v>179</v>
      </c>
      <c r="P105" t="s">
        <v>29</v>
      </c>
      <c r="Q105" t="s">
        <v>30</v>
      </c>
    </row>
    <row r="106" spans="1:17" x14ac:dyDescent="0.25">
      <c r="A106" t="s">
        <v>501</v>
      </c>
      <c r="B106">
        <v>119942</v>
      </c>
      <c r="C106" t="s">
        <v>138</v>
      </c>
      <c r="D106" t="s">
        <v>32</v>
      </c>
      <c r="E106" t="s">
        <v>20</v>
      </c>
      <c r="F106" t="s">
        <v>123</v>
      </c>
      <c r="G106" t="s">
        <v>22</v>
      </c>
      <c r="H106" t="s">
        <v>502</v>
      </c>
      <c r="I106" t="s">
        <v>503</v>
      </c>
      <c r="J106">
        <v>86</v>
      </c>
      <c r="K106" t="s">
        <v>25</v>
      </c>
      <c r="L106" t="s">
        <v>52</v>
      </c>
      <c r="M106" t="s">
        <v>504</v>
      </c>
      <c r="N106" t="s">
        <v>28</v>
      </c>
      <c r="O106" t="s">
        <v>126</v>
      </c>
      <c r="P106" t="s">
        <v>29</v>
      </c>
      <c r="Q106" t="s">
        <v>30</v>
      </c>
    </row>
    <row r="107" spans="1:17" x14ac:dyDescent="0.25">
      <c r="A107" t="s">
        <v>505</v>
      </c>
      <c r="B107">
        <v>119835</v>
      </c>
      <c r="C107" t="s">
        <v>506</v>
      </c>
      <c r="D107" t="s">
        <v>32</v>
      </c>
      <c r="E107" t="s">
        <v>20</v>
      </c>
      <c r="F107" t="s">
        <v>21</v>
      </c>
      <c r="G107" t="s">
        <v>22</v>
      </c>
      <c r="H107" t="s">
        <v>507</v>
      </c>
      <c r="I107" t="s">
        <v>508</v>
      </c>
      <c r="J107">
        <v>86</v>
      </c>
      <c r="K107" t="s">
        <v>25</v>
      </c>
      <c r="L107" t="s">
        <v>43</v>
      </c>
      <c r="M107" t="s">
        <v>387</v>
      </c>
      <c r="N107" t="s">
        <v>28</v>
      </c>
      <c r="O107" t="s">
        <v>43</v>
      </c>
      <c r="P107" t="s">
        <v>29</v>
      </c>
      <c r="Q107" t="s">
        <v>30</v>
      </c>
    </row>
    <row r="108" spans="1:17" x14ac:dyDescent="0.25">
      <c r="A108" t="s">
        <v>509</v>
      </c>
      <c r="B108">
        <v>120330</v>
      </c>
      <c r="C108" t="s">
        <v>80</v>
      </c>
      <c r="D108" t="s">
        <v>32</v>
      </c>
      <c r="E108" t="s">
        <v>62</v>
      </c>
      <c r="F108" t="s">
        <v>40</v>
      </c>
      <c r="G108" t="s">
        <v>22</v>
      </c>
      <c r="H108" t="s">
        <v>510</v>
      </c>
      <c r="I108" t="s">
        <v>511</v>
      </c>
      <c r="J108">
        <v>84</v>
      </c>
      <c r="K108" t="s">
        <v>25</v>
      </c>
      <c r="L108" t="s">
        <v>94</v>
      </c>
      <c r="M108" t="s">
        <v>71</v>
      </c>
      <c r="N108" t="s">
        <v>28</v>
      </c>
      <c r="O108" t="s">
        <v>72</v>
      </c>
      <c r="P108" t="s">
        <v>29</v>
      </c>
      <c r="Q108" t="s">
        <v>30</v>
      </c>
    </row>
    <row r="109" spans="1:17" x14ac:dyDescent="0.25">
      <c r="A109" t="s">
        <v>512</v>
      </c>
      <c r="B109">
        <v>120336</v>
      </c>
      <c r="C109" t="s">
        <v>506</v>
      </c>
      <c r="D109" t="s">
        <v>32</v>
      </c>
      <c r="E109" t="s">
        <v>62</v>
      </c>
      <c r="F109" t="s">
        <v>21</v>
      </c>
      <c r="G109" t="s">
        <v>22</v>
      </c>
      <c r="H109" t="s">
        <v>513</v>
      </c>
      <c r="I109" t="s">
        <v>514</v>
      </c>
      <c r="J109">
        <v>84</v>
      </c>
      <c r="K109" t="s">
        <v>211</v>
      </c>
      <c r="L109" t="s">
        <v>37</v>
      </c>
      <c r="M109" t="s">
        <v>308</v>
      </c>
      <c r="N109" t="s">
        <v>28</v>
      </c>
      <c r="O109" t="s">
        <v>43</v>
      </c>
      <c r="P109" t="s">
        <v>29</v>
      </c>
      <c r="Q109" t="s">
        <v>30</v>
      </c>
    </row>
    <row r="110" spans="1:17" x14ac:dyDescent="0.25">
      <c r="A110" t="s">
        <v>515</v>
      </c>
      <c r="B110">
        <v>115152</v>
      </c>
      <c r="C110" t="s">
        <v>142</v>
      </c>
      <c r="D110" t="s">
        <v>32</v>
      </c>
      <c r="E110" t="s">
        <v>33</v>
      </c>
      <c r="F110" t="s">
        <v>123</v>
      </c>
      <c r="G110" t="s">
        <v>22</v>
      </c>
      <c r="H110" t="s">
        <v>516</v>
      </c>
      <c r="I110" t="s">
        <v>517</v>
      </c>
      <c r="J110">
        <v>84</v>
      </c>
      <c r="K110" t="s">
        <v>25</v>
      </c>
      <c r="L110" t="s">
        <v>271</v>
      </c>
      <c r="M110" t="s">
        <v>504</v>
      </c>
      <c r="N110" t="s">
        <v>28</v>
      </c>
      <c r="O110" t="s">
        <v>213</v>
      </c>
      <c r="P110" t="s">
        <v>29</v>
      </c>
      <c r="Q110" t="s">
        <v>30</v>
      </c>
    </row>
    <row r="111" spans="1:17" x14ac:dyDescent="0.25">
      <c r="A111" t="s">
        <v>518</v>
      </c>
      <c r="B111">
        <v>120660</v>
      </c>
      <c r="C111" t="s">
        <v>193</v>
      </c>
      <c r="D111" t="s">
        <v>32</v>
      </c>
      <c r="E111" t="s">
        <v>33</v>
      </c>
      <c r="F111" t="s">
        <v>109</v>
      </c>
      <c r="G111" t="s">
        <v>22</v>
      </c>
      <c r="H111" t="s">
        <v>519</v>
      </c>
      <c r="I111" t="s">
        <v>520</v>
      </c>
      <c r="J111">
        <v>84</v>
      </c>
      <c r="K111" t="s">
        <v>112</v>
      </c>
      <c r="L111" t="s">
        <v>239</v>
      </c>
      <c r="M111" t="s">
        <v>178</v>
      </c>
      <c r="N111" t="s">
        <v>28</v>
      </c>
      <c r="O111" t="s">
        <v>258</v>
      </c>
      <c r="P111" t="s">
        <v>29</v>
      </c>
      <c r="Q111" t="s">
        <v>30</v>
      </c>
    </row>
    <row r="112" spans="1:17" x14ac:dyDescent="0.25">
      <c r="A112" t="s">
        <v>521</v>
      </c>
      <c r="B112">
        <v>45836</v>
      </c>
      <c r="C112" t="s">
        <v>454</v>
      </c>
      <c r="D112" t="s">
        <v>32</v>
      </c>
      <c r="E112" t="s">
        <v>227</v>
      </c>
      <c r="F112" t="s">
        <v>109</v>
      </c>
      <c r="G112" t="s">
        <v>22</v>
      </c>
      <c r="H112" t="s">
        <v>522</v>
      </c>
      <c r="I112" t="s">
        <v>523</v>
      </c>
      <c r="J112">
        <v>82</v>
      </c>
      <c r="K112" t="s">
        <v>25</v>
      </c>
      <c r="L112" t="s">
        <v>524</v>
      </c>
      <c r="M112" t="s">
        <v>482</v>
      </c>
      <c r="N112" t="s">
        <v>493</v>
      </c>
      <c r="O112" t="s">
        <v>145</v>
      </c>
      <c r="P112" t="s">
        <v>29</v>
      </c>
      <c r="Q112" t="s">
        <v>30</v>
      </c>
    </row>
    <row r="113" spans="1:17" x14ac:dyDescent="0.25">
      <c r="A113" t="s">
        <v>525</v>
      </c>
      <c r="B113">
        <v>120700</v>
      </c>
      <c r="C113" t="s">
        <v>506</v>
      </c>
      <c r="D113" t="s">
        <v>32</v>
      </c>
      <c r="E113" t="s">
        <v>20</v>
      </c>
      <c r="F113" t="s">
        <v>21</v>
      </c>
      <c r="G113" t="s">
        <v>22</v>
      </c>
      <c r="H113" t="s">
        <v>526</v>
      </c>
      <c r="I113" t="s">
        <v>527</v>
      </c>
      <c r="J113">
        <v>81</v>
      </c>
      <c r="K113" t="s">
        <v>211</v>
      </c>
      <c r="L113" t="s">
        <v>57</v>
      </c>
      <c r="M113" t="s">
        <v>528</v>
      </c>
      <c r="N113" t="s">
        <v>28</v>
      </c>
      <c r="O113" t="s">
        <v>37</v>
      </c>
      <c r="P113" t="s">
        <v>29</v>
      </c>
      <c r="Q113" t="s">
        <v>30</v>
      </c>
    </row>
    <row r="114" spans="1:17" x14ac:dyDescent="0.25">
      <c r="A114" t="s">
        <v>529</v>
      </c>
      <c r="B114">
        <v>120801</v>
      </c>
      <c r="C114" t="s">
        <v>530</v>
      </c>
      <c r="D114" t="s">
        <v>32</v>
      </c>
      <c r="E114" t="s">
        <v>33</v>
      </c>
      <c r="F114" t="s">
        <v>40</v>
      </c>
      <c r="G114" t="s">
        <v>22</v>
      </c>
      <c r="H114" t="s">
        <v>531</v>
      </c>
      <c r="I114" t="s">
        <v>532</v>
      </c>
      <c r="J114">
        <v>80</v>
      </c>
      <c r="K114" t="s">
        <v>25</v>
      </c>
      <c r="L114" t="s">
        <v>126</v>
      </c>
      <c r="M114" t="s">
        <v>89</v>
      </c>
      <c r="N114" t="s">
        <v>28</v>
      </c>
      <c r="O114" t="s">
        <v>72</v>
      </c>
      <c r="P114" t="s">
        <v>29</v>
      </c>
      <c r="Q114" t="s">
        <v>30</v>
      </c>
    </row>
    <row r="115" spans="1:17" x14ac:dyDescent="0.25">
      <c r="A115" t="s">
        <v>533</v>
      </c>
      <c r="B115">
        <v>121107</v>
      </c>
      <c r="C115" t="s">
        <v>413</v>
      </c>
      <c r="D115" t="s">
        <v>19</v>
      </c>
      <c r="E115" t="s">
        <v>33</v>
      </c>
      <c r="F115" t="s">
        <v>109</v>
      </c>
      <c r="G115" t="s">
        <v>22</v>
      </c>
      <c r="H115" t="s">
        <v>534</v>
      </c>
      <c r="I115" t="s">
        <v>535</v>
      </c>
      <c r="J115">
        <v>80</v>
      </c>
      <c r="K115" t="s">
        <v>112</v>
      </c>
      <c r="L115" t="s">
        <v>271</v>
      </c>
      <c r="M115" t="s">
        <v>536</v>
      </c>
      <c r="N115" t="s">
        <v>28</v>
      </c>
      <c r="O115" t="s">
        <v>145</v>
      </c>
      <c r="P115" t="s">
        <v>29</v>
      </c>
      <c r="Q115" t="s">
        <v>30</v>
      </c>
    </row>
    <row r="116" spans="1:17" x14ac:dyDescent="0.25">
      <c r="A116" t="s">
        <v>537</v>
      </c>
      <c r="B116">
        <v>121158</v>
      </c>
      <c r="C116" t="s">
        <v>61</v>
      </c>
      <c r="D116" t="s">
        <v>32</v>
      </c>
      <c r="E116" t="s">
        <v>33</v>
      </c>
      <c r="F116" t="s">
        <v>40</v>
      </c>
      <c r="G116" t="s">
        <v>22</v>
      </c>
      <c r="H116" t="s">
        <v>538</v>
      </c>
      <c r="I116" t="s">
        <v>539</v>
      </c>
      <c r="J116">
        <v>76</v>
      </c>
      <c r="K116" t="s">
        <v>25</v>
      </c>
      <c r="L116" t="s">
        <v>72</v>
      </c>
      <c r="M116" t="s">
        <v>341</v>
      </c>
      <c r="N116" t="s">
        <v>28</v>
      </c>
      <c r="O116" t="s">
        <v>94</v>
      </c>
      <c r="P116" t="s">
        <v>29</v>
      </c>
      <c r="Q116" t="s">
        <v>30</v>
      </c>
    </row>
    <row r="117" spans="1:17" x14ac:dyDescent="0.25">
      <c r="A117" t="s">
        <v>540</v>
      </c>
      <c r="B117">
        <v>121331</v>
      </c>
      <c r="C117" t="s">
        <v>541</v>
      </c>
      <c r="D117" t="s">
        <v>19</v>
      </c>
      <c r="E117" t="s">
        <v>20</v>
      </c>
      <c r="F117" t="s">
        <v>484</v>
      </c>
      <c r="G117" t="s">
        <v>22</v>
      </c>
      <c r="H117" t="s">
        <v>542</v>
      </c>
      <c r="I117" t="s">
        <v>543</v>
      </c>
      <c r="J117">
        <v>73</v>
      </c>
      <c r="K117" t="s">
        <v>25</v>
      </c>
      <c r="L117" t="s">
        <v>161</v>
      </c>
      <c r="M117" t="s">
        <v>544</v>
      </c>
      <c r="N117" t="s">
        <v>28</v>
      </c>
      <c r="O117" t="s">
        <v>26</v>
      </c>
      <c r="P117" t="s">
        <v>29</v>
      </c>
      <c r="Q117" t="s">
        <v>30</v>
      </c>
    </row>
    <row r="118" spans="1:17" x14ac:dyDescent="0.25">
      <c r="A118" t="s">
        <v>545</v>
      </c>
      <c r="B118">
        <v>121688</v>
      </c>
      <c r="C118" t="s">
        <v>39</v>
      </c>
      <c r="D118" t="s">
        <v>19</v>
      </c>
      <c r="E118" t="s">
        <v>33</v>
      </c>
      <c r="F118" t="s">
        <v>484</v>
      </c>
      <c r="G118" t="s">
        <v>22</v>
      </c>
      <c r="H118" t="s">
        <v>546</v>
      </c>
      <c r="I118" t="s">
        <v>547</v>
      </c>
      <c r="J118">
        <v>67</v>
      </c>
      <c r="K118" t="s">
        <v>25</v>
      </c>
      <c r="L118" t="s">
        <v>37</v>
      </c>
      <c r="M118" t="s">
        <v>544</v>
      </c>
      <c r="N118" t="s">
        <v>28</v>
      </c>
      <c r="O118" t="s">
        <v>548</v>
      </c>
      <c r="P118" t="s">
        <v>29</v>
      </c>
      <c r="Q118" t="s">
        <v>30</v>
      </c>
    </row>
    <row r="119" spans="1:17" x14ac:dyDescent="0.25">
      <c r="A119" t="s">
        <v>549</v>
      </c>
      <c r="B119">
        <v>121023</v>
      </c>
      <c r="C119" t="s">
        <v>147</v>
      </c>
      <c r="D119" t="s">
        <v>32</v>
      </c>
      <c r="E119" t="s">
        <v>260</v>
      </c>
      <c r="F119" t="s">
        <v>40</v>
      </c>
      <c r="G119" t="s">
        <v>22</v>
      </c>
      <c r="H119" t="s">
        <v>550</v>
      </c>
      <c r="I119" t="s">
        <v>551</v>
      </c>
      <c r="J119">
        <v>66</v>
      </c>
      <c r="K119" t="s">
        <v>65</v>
      </c>
      <c r="L119" t="s">
        <v>552</v>
      </c>
      <c r="M119" t="s">
        <v>304</v>
      </c>
      <c r="N119" t="s">
        <v>28</v>
      </c>
      <c r="O119" t="s">
        <v>126</v>
      </c>
      <c r="P119" t="s">
        <v>29</v>
      </c>
      <c r="Q119" t="s">
        <v>30</v>
      </c>
    </row>
    <row r="120" spans="1:17" x14ac:dyDescent="0.25">
      <c r="A120" t="s">
        <v>553</v>
      </c>
      <c r="B120">
        <v>121749</v>
      </c>
      <c r="C120" t="s">
        <v>554</v>
      </c>
      <c r="D120" t="s">
        <v>32</v>
      </c>
      <c r="E120" t="s">
        <v>20</v>
      </c>
      <c r="F120" t="s">
        <v>123</v>
      </c>
      <c r="G120" t="s">
        <v>22</v>
      </c>
      <c r="H120" t="s">
        <v>555</v>
      </c>
      <c r="I120" t="s">
        <v>556</v>
      </c>
      <c r="J120">
        <v>63</v>
      </c>
      <c r="K120" t="s">
        <v>211</v>
      </c>
      <c r="L120" t="s">
        <v>126</v>
      </c>
      <c r="M120" t="s">
        <v>304</v>
      </c>
      <c r="N120" t="s">
        <v>493</v>
      </c>
      <c r="O120" t="s">
        <v>145</v>
      </c>
      <c r="P120" t="s">
        <v>29</v>
      </c>
      <c r="Q120" t="s">
        <v>30</v>
      </c>
    </row>
    <row r="121" spans="1:17" x14ac:dyDescent="0.25">
      <c r="A121" t="s">
        <v>557</v>
      </c>
      <c r="B121">
        <v>122126</v>
      </c>
      <c r="C121" t="s">
        <v>215</v>
      </c>
      <c r="D121" t="s">
        <v>32</v>
      </c>
      <c r="E121" t="s">
        <v>20</v>
      </c>
      <c r="F121" t="s">
        <v>393</v>
      </c>
      <c r="G121" t="s">
        <v>22</v>
      </c>
      <c r="H121" t="s">
        <v>558</v>
      </c>
      <c r="I121" t="s">
        <v>559</v>
      </c>
      <c r="J121">
        <v>62</v>
      </c>
      <c r="K121" t="s">
        <v>25</v>
      </c>
      <c r="L121" t="s">
        <v>37</v>
      </c>
      <c r="M121" t="s">
        <v>560</v>
      </c>
      <c r="N121" t="s">
        <v>28</v>
      </c>
      <c r="O121" t="s">
        <v>26</v>
      </c>
      <c r="P121" t="s">
        <v>29</v>
      </c>
      <c r="Q121" t="s">
        <v>30</v>
      </c>
    </row>
    <row r="122" spans="1:17" x14ac:dyDescent="0.25">
      <c r="A122" t="s">
        <v>561</v>
      </c>
      <c r="B122">
        <v>122132</v>
      </c>
      <c r="C122" t="s">
        <v>147</v>
      </c>
      <c r="D122" t="s">
        <v>32</v>
      </c>
      <c r="E122" t="s">
        <v>33</v>
      </c>
      <c r="F122" t="s">
        <v>123</v>
      </c>
      <c r="G122" t="s">
        <v>22</v>
      </c>
      <c r="H122" t="s">
        <v>562</v>
      </c>
      <c r="I122" t="s">
        <v>563</v>
      </c>
      <c r="J122">
        <v>62</v>
      </c>
      <c r="K122" t="s">
        <v>65</v>
      </c>
      <c r="L122" t="s">
        <v>37</v>
      </c>
      <c r="M122" t="s">
        <v>212</v>
      </c>
      <c r="N122" t="s">
        <v>28</v>
      </c>
      <c r="O122" t="s">
        <v>290</v>
      </c>
      <c r="P122" t="s">
        <v>29</v>
      </c>
      <c r="Q122" t="s">
        <v>30</v>
      </c>
    </row>
    <row r="123" spans="1:17" x14ac:dyDescent="0.25">
      <c r="A123" t="s">
        <v>564</v>
      </c>
      <c r="B123">
        <v>122551</v>
      </c>
      <c r="C123" t="s">
        <v>18</v>
      </c>
      <c r="D123" t="s">
        <v>19</v>
      </c>
      <c r="E123" t="s">
        <v>33</v>
      </c>
      <c r="F123" t="s">
        <v>109</v>
      </c>
      <c r="G123" t="s">
        <v>22</v>
      </c>
      <c r="H123" t="s">
        <v>565</v>
      </c>
      <c r="I123" t="s">
        <v>566</v>
      </c>
      <c r="J123">
        <v>61</v>
      </c>
      <c r="K123" t="s">
        <v>25</v>
      </c>
      <c r="L123" t="s">
        <v>567</v>
      </c>
      <c r="M123" t="s">
        <v>178</v>
      </c>
      <c r="N123" t="s">
        <v>28</v>
      </c>
      <c r="O123" t="s">
        <v>356</v>
      </c>
      <c r="P123" t="s">
        <v>29</v>
      </c>
      <c r="Q123" t="s">
        <v>30</v>
      </c>
    </row>
    <row r="124" spans="1:17" x14ac:dyDescent="0.25">
      <c r="A124" t="s">
        <v>568</v>
      </c>
      <c r="B124">
        <v>122447</v>
      </c>
      <c r="C124" t="s">
        <v>450</v>
      </c>
      <c r="D124" t="s">
        <v>32</v>
      </c>
      <c r="E124" t="s">
        <v>260</v>
      </c>
      <c r="F124" t="s">
        <v>123</v>
      </c>
      <c r="G124" t="s">
        <v>22</v>
      </c>
      <c r="H124" t="s">
        <v>569</v>
      </c>
      <c r="I124" t="s">
        <v>570</v>
      </c>
      <c r="J124">
        <v>58</v>
      </c>
      <c r="K124" t="s">
        <v>25</v>
      </c>
      <c r="L124" t="s">
        <v>37</v>
      </c>
      <c r="M124" t="s">
        <v>504</v>
      </c>
      <c r="N124" t="s">
        <v>28</v>
      </c>
      <c r="O124" t="s">
        <v>444</v>
      </c>
      <c r="P124" t="s">
        <v>29</v>
      </c>
      <c r="Q124" t="s">
        <v>30</v>
      </c>
    </row>
    <row r="125" spans="1:17" x14ac:dyDescent="0.25">
      <c r="A125" t="s">
        <v>571</v>
      </c>
      <c r="B125">
        <v>122298</v>
      </c>
      <c r="C125" t="s">
        <v>572</v>
      </c>
      <c r="D125" t="s">
        <v>19</v>
      </c>
      <c r="E125" t="s">
        <v>62</v>
      </c>
      <c r="F125" t="s">
        <v>484</v>
      </c>
      <c r="G125" t="s">
        <v>394</v>
      </c>
      <c r="H125" t="s">
        <v>573</v>
      </c>
      <c r="I125" t="s">
        <v>574</v>
      </c>
      <c r="J125">
        <v>56</v>
      </c>
      <c r="K125" t="s">
        <v>211</v>
      </c>
      <c r="L125" t="s">
        <v>575</v>
      </c>
      <c r="M125" t="s">
        <v>487</v>
      </c>
      <c r="N125" t="s">
        <v>493</v>
      </c>
      <c r="O125" t="s">
        <v>145</v>
      </c>
      <c r="P125" t="s">
        <v>29</v>
      </c>
      <c r="Q125" t="s">
        <v>30</v>
      </c>
    </row>
    <row r="126" spans="1:17" x14ac:dyDescent="0.25">
      <c r="A126" t="s">
        <v>576</v>
      </c>
      <c r="B126">
        <v>122742</v>
      </c>
      <c r="C126" t="s">
        <v>577</v>
      </c>
      <c r="D126" t="s">
        <v>19</v>
      </c>
      <c r="E126" t="s">
        <v>33</v>
      </c>
      <c r="F126" t="s">
        <v>428</v>
      </c>
      <c r="G126" t="s">
        <v>22</v>
      </c>
      <c r="H126" t="s">
        <v>578</v>
      </c>
      <c r="I126" t="s">
        <v>579</v>
      </c>
      <c r="J126">
        <v>55</v>
      </c>
      <c r="K126" t="s">
        <v>25</v>
      </c>
      <c r="L126" t="s">
        <v>548</v>
      </c>
      <c r="M126" t="s">
        <v>439</v>
      </c>
      <c r="N126" t="s">
        <v>28</v>
      </c>
      <c r="O126" t="s">
        <v>145</v>
      </c>
      <c r="P126" t="s">
        <v>29</v>
      </c>
      <c r="Q126" t="s">
        <v>30</v>
      </c>
    </row>
    <row r="127" spans="1:17" x14ac:dyDescent="0.25">
      <c r="A127" t="s">
        <v>580</v>
      </c>
      <c r="B127">
        <v>122828</v>
      </c>
      <c r="C127" t="s">
        <v>86</v>
      </c>
      <c r="D127" t="s">
        <v>32</v>
      </c>
      <c r="E127" t="s">
        <v>260</v>
      </c>
      <c r="F127" t="s">
        <v>40</v>
      </c>
      <c r="G127" t="s">
        <v>22</v>
      </c>
      <c r="H127" t="s">
        <v>581</v>
      </c>
      <c r="I127" t="s">
        <v>582</v>
      </c>
      <c r="J127">
        <v>53</v>
      </c>
      <c r="K127" t="s">
        <v>25</v>
      </c>
      <c r="L127" t="s">
        <v>548</v>
      </c>
      <c r="M127" t="s">
        <v>89</v>
      </c>
      <c r="N127" t="s">
        <v>28</v>
      </c>
      <c r="O127" t="s">
        <v>213</v>
      </c>
      <c r="P127" t="s">
        <v>29</v>
      </c>
      <c r="Q127" t="s">
        <v>30</v>
      </c>
    </row>
    <row r="128" spans="1:17" x14ac:dyDescent="0.25">
      <c r="A128" t="s">
        <v>583</v>
      </c>
      <c r="B128">
        <v>122886</v>
      </c>
      <c r="C128" t="s">
        <v>138</v>
      </c>
      <c r="D128" t="s">
        <v>19</v>
      </c>
      <c r="E128" t="s">
        <v>33</v>
      </c>
      <c r="F128" t="s">
        <v>428</v>
      </c>
      <c r="G128" t="s">
        <v>22</v>
      </c>
      <c r="H128" t="s">
        <v>584</v>
      </c>
      <c r="I128" t="s">
        <v>585</v>
      </c>
      <c r="J128">
        <v>52</v>
      </c>
      <c r="K128" t="s">
        <v>65</v>
      </c>
      <c r="L128" t="s">
        <v>37</v>
      </c>
      <c r="M128" t="s">
        <v>586</v>
      </c>
      <c r="N128" t="s">
        <v>28</v>
      </c>
      <c r="O128" t="s">
        <v>145</v>
      </c>
      <c r="P128" t="s">
        <v>29</v>
      </c>
      <c r="Q128" t="s">
        <v>30</v>
      </c>
    </row>
    <row r="129" spans="1:17" x14ac:dyDescent="0.25">
      <c r="A129" t="s">
        <v>587</v>
      </c>
      <c r="B129">
        <v>124241</v>
      </c>
      <c r="C129" t="s">
        <v>208</v>
      </c>
      <c r="D129" t="s">
        <v>19</v>
      </c>
      <c r="E129" t="s">
        <v>260</v>
      </c>
      <c r="F129" t="s">
        <v>202</v>
      </c>
      <c r="G129" t="s">
        <v>22</v>
      </c>
      <c r="H129" t="s">
        <v>588</v>
      </c>
      <c r="I129" t="s">
        <v>589</v>
      </c>
      <c r="J129">
        <v>41</v>
      </c>
      <c r="K129" t="s">
        <v>25</v>
      </c>
      <c r="L129" t="s">
        <v>590</v>
      </c>
      <c r="M129" t="s">
        <v>299</v>
      </c>
      <c r="N129" t="s">
        <v>493</v>
      </c>
      <c r="O129" t="s">
        <v>591</v>
      </c>
      <c r="P129" t="s">
        <v>29</v>
      </c>
      <c r="Q129" t="s">
        <v>30</v>
      </c>
    </row>
    <row r="130" spans="1:17" x14ac:dyDescent="0.25">
      <c r="A130" t="s">
        <v>592</v>
      </c>
      <c r="B130">
        <v>124185</v>
      </c>
      <c r="C130" t="s">
        <v>61</v>
      </c>
      <c r="D130" t="s">
        <v>32</v>
      </c>
      <c r="E130" t="s">
        <v>62</v>
      </c>
      <c r="F130" t="s">
        <v>40</v>
      </c>
      <c r="G130" t="s">
        <v>394</v>
      </c>
      <c r="H130" t="s">
        <v>593</v>
      </c>
      <c r="I130" t="s">
        <v>594</v>
      </c>
      <c r="J130">
        <v>37</v>
      </c>
      <c r="K130" t="s">
        <v>25</v>
      </c>
      <c r="L130" t="s">
        <v>290</v>
      </c>
      <c r="M130" t="s">
        <v>89</v>
      </c>
      <c r="N130" t="s">
        <v>28</v>
      </c>
      <c r="O130" t="s">
        <v>290</v>
      </c>
      <c r="P130" t="s">
        <v>29</v>
      </c>
      <c r="Q130" t="s">
        <v>30</v>
      </c>
    </row>
    <row r="131" spans="1:17" x14ac:dyDescent="0.25">
      <c r="A131" t="s">
        <v>595</v>
      </c>
      <c r="B131">
        <v>125012</v>
      </c>
      <c r="C131" t="s">
        <v>596</v>
      </c>
      <c r="D131" t="s">
        <v>32</v>
      </c>
      <c r="E131" t="s">
        <v>33</v>
      </c>
      <c r="F131" t="s">
        <v>123</v>
      </c>
      <c r="G131" t="s">
        <v>22</v>
      </c>
      <c r="H131" t="s">
        <v>597</v>
      </c>
      <c r="I131" t="s">
        <v>598</v>
      </c>
      <c r="J131">
        <v>31</v>
      </c>
      <c r="K131" t="s">
        <v>25</v>
      </c>
      <c r="L131" t="s">
        <v>416</v>
      </c>
      <c r="M131" t="s">
        <v>247</v>
      </c>
      <c r="N131" t="s">
        <v>45</v>
      </c>
      <c r="O131" t="s">
        <v>599</v>
      </c>
      <c r="P131" t="s">
        <v>29</v>
      </c>
      <c r="Q131" t="s">
        <v>30</v>
      </c>
    </row>
    <row r="132" spans="1:17" x14ac:dyDescent="0.25">
      <c r="A132" t="s">
        <v>600</v>
      </c>
      <c r="B132">
        <v>126002</v>
      </c>
      <c r="C132" t="s">
        <v>601</v>
      </c>
      <c r="D132" t="s">
        <v>32</v>
      </c>
      <c r="E132" t="s">
        <v>20</v>
      </c>
      <c r="F132" t="s">
        <v>123</v>
      </c>
      <c r="G132" t="s">
        <v>22</v>
      </c>
      <c r="H132" t="s">
        <v>602</v>
      </c>
      <c r="I132" t="s">
        <v>603</v>
      </c>
      <c r="J132">
        <v>30</v>
      </c>
      <c r="K132" t="s">
        <v>25</v>
      </c>
      <c r="L132" t="s">
        <v>604</v>
      </c>
      <c r="M132" t="s">
        <v>605</v>
      </c>
      <c r="N132" t="s">
        <v>493</v>
      </c>
      <c r="O132" t="s">
        <v>591</v>
      </c>
      <c r="P132" t="s">
        <v>29</v>
      </c>
      <c r="Q132" t="s">
        <v>30</v>
      </c>
    </row>
    <row r="133" spans="1:17" x14ac:dyDescent="0.25">
      <c r="A133" t="s">
        <v>606</v>
      </c>
      <c r="B133">
        <v>119092</v>
      </c>
      <c r="C133" t="s">
        <v>315</v>
      </c>
      <c r="D133" t="s">
        <v>32</v>
      </c>
      <c r="E133" t="s">
        <v>33</v>
      </c>
      <c r="F133" t="s">
        <v>40</v>
      </c>
      <c r="G133" t="s">
        <v>394</v>
      </c>
      <c r="H133" t="s">
        <v>607</v>
      </c>
      <c r="I133" t="s">
        <v>608</v>
      </c>
      <c r="J133">
        <v>29</v>
      </c>
      <c r="K133" t="s">
        <v>25</v>
      </c>
      <c r="L133" t="s">
        <v>548</v>
      </c>
      <c r="M133" t="s">
        <v>89</v>
      </c>
      <c r="N133" t="s">
        <v>28</v>
      </c>
      <c r="O133" t="s">
        <v>105</v>
      </c>
      <c r="P133" t="s">
        <v>29</v>
      </c>
      <c r="Q133" t="s">
        <v>30</v>
      </c>
    </row>
    <row r="134" spans="1:17" x14ac:dyDescent="0.25">
      <c r="A134" t="s">
        <v>609</v>
      </c>
      <c r="B134">
        <v>126860</v>
      </c>
      <c r="C134" t="s">
        <v>39</v>
      </c>
      <c r="D134" t="s">
        <v>32</v>
      </c>
      <c r="E134" t="s">
        <v>33</v>
      </c>
      <c r="F134" t="s">
        <v>40</v>
      </c>
      <c r="G134" t="s">
        <v>394</v>
      </c>
      <c r="H134" t="s">
        <v>610</v>
      </c>
      <c r="I134" t="s">
        <v>611</v>
      </c>
      <c r="J134">
        <v>29</v>
      </c>
      <c r="K134" t="s">
        <v>25</v>
      </c>
      <c r="L134" t="s">
        <v>290</v>
      </c>
      <c r="M134" t="s">
        <v>89</v>
      </c>
      <c r="N134" t="s">
        <v>493</v>
      </c>
      <c r="O134" t="s">
        <v>612</v>
      </c>
      <c r="P134" t="s">
        <v>29</v>
      </c>
      <c r="Q134" t="s">
        <v>30</v>
      </c>
    </row>
    <row r="135" spans="1:17" x14ac:dyDescent="0.25">
      <c r="A135" t="s">
        <v>613</v>
      </c>
      <c r="B135">
        <v>34133</v>
      </c>
      <c r="C135" t="s">
        <v>614</v>
      </c>
      <c r="D135" t="s">
        <v>19</v>
      </c>
      <c r="E135" t="s">
        <v>227</v>
      </c>
      <c r="F135" t="s">
        <v>428</v>
      </c>
      <c r="G135" t="s">
        <v>394</v>
      </c>
      <c r="H135" t="s">
        <v>615</v>
      </c>
      <c r="I135" t="s">
        <v>616</v>
      </c>
      <c r="J135">
        <v>28</v>
      </c>
      <c r="K135" t="s">
        <v>25</v>
      </c>
      <c r="L135" t="s">
        <v>126</v>
      </c>
      <c r="M135" t="s">
        <v>586</v>
      </c>
      <c r="N135" t="s">
        <v>45</v>
      </c>
      <c r="O135" t="s">
        <v>77</v>
      </c>
      <c r="P135" t="s">
        <v>29</v>
      </c>
      <c r="Q135" t="s">
        <v>30</v>
      </c>
    </row>
    <row r="136" spans="1:17" x14ac:dyDescent="0.25">
      <c r="A136" t="s">
        <v>617</v>
      </c>
      <c r="B136">
        <v>125931</v>
      </c>
      <c r="C136" t="s">
        <v>296</v>
      </c>
      <c r="D136" t="s">
        <v>32</v>
      </c>
      <c r="E136" t="s">
        <v>33</v>
      </c>
      <c r="F136" t="s">
        <v>40</v>
      </c>
      <c r="G136" t="s">
        <v>22</v>
      </c>
      <c r="H136" t="s">
        <v>618</v>
      </c>
      <c r="I136" t="s">
        <v>619</v>
      </c>
      <c r="J136">
        <v>27</v>
      </c>
      <c r="K136" t="s">
        <v>25</v>
      </c>
      <c r="L136" t="s">
        <v>620</v>
      </c>
      <c r="M136" t="s">
        <v>89</v>
      </c>
      <c r="N136" t="s">
        <v>45</v>
      </c>
      <c r="O136" t="s">
        <v>290</v>
      </c>
      <c r="P136" t="s">
        <v>29</v>
      </c>
      <c r="Q136" t="s">
        <v>30</v>
      </c>
    </row>
    <row r="137" spans="1:17" x14ac:dyDescent="0.25">
      <c r="A137" t="s">
        <v>621</v>
      </c>
      <c r="B137">
        <v>126609</v>
      </c>
      <c r="C137" t="s">
        <v>622</v>
      </c>
      <c r="D137" t="s">
        <v>32</v>
      </c>
      <c r="E137" t="s">
        <v>62</v>
      </c>
      <c r="F137" t="s">
        <v>21</v>
      </c>
      <c r="G137" t="s">
        <v>22</v>
      </c>
      <c r="H137" t="s">
        <v>623</v>
      </c>
      <c r="I137" t="s">
        <v>624</v>
      </c>
      <c r="J137">
        <v>26</v>
      </c>
      <c r="K137" t="s">
        <v>25</v>
      </c>
      <c r="L137" t="s">
        <v>356</v>
      </c>
      <c r="M137" t="s">
        <v>351</v>
      </c>
      <c r="N137" t="s">
        <v>493</v>
      </c>
      <c r="O137" t="s">
        <v>77</v>
      </c>
      <c r="P137" t="s">
        <v>29</v>
      </c>
      <c r="Q137" t="s">
        <v>30</v>
      </c>
    </row>
    <row r="138" spans="1:17" x14ac:dyDescent="0.25">
      <c r="A138" t="s">
        <v>625</v>
      </c>
      <c r="B138">
        <v>126610</v>
      </c>
      <c r="C138" t="s">
        <v>622</v>
      </c>
      <c r="D138" t="s">
        <v>19</v>
      </c>
      <c r="E138" t="s">
        <v>62</v>
      </c>
      <c r="F138" t="s">
        <v>21</v>
      </c>
      <c r="G138" t="s">
        <v>22</v>
      </c>
      <c r="H138" t="s">
        <v>626</v>
      </c>
      <c r="I138" t="s">
        <v>627</v>
      </c>
      <c r="J138">
        <v>26</v>
      </c>
      <c r="K138" t="s">
        <v>25</v>
      </c>
      <c r="L138" t="s">
        <v>356</v>
      </c>
      <c r="M138" t="s">
        <v>628</v>
      </c>
      <c r="N138" t="s">
        <v>493</v>
      </c>
      <c r="O138" t="s">
        <v>77</v>
      </c>
      <c r="P138" t="s">
        <v>29</v>
      </c>
      <c r="Q138" t="s">
        <v>30</v>
      </c>
    </row>
    <row r="139" spans="1:17" x14ac:dyDescent="0.25">
      <c r="A139" t="s">
        <v>629</v>
      </c>
      <c r="B139">
        <v>127015</v>
      </c>
      <c r="C139" t="s">
        <v>630</v>
      </c>
      <c r="D139" t="s">
        <v>19</v>
      </c>
      <c r="E139" t="s">
        <v>33</v>
      </c>
      <c r="F139" t="s">
        <v>202</v>
      </c>
      <c r="G139" t="s">
        <v>22</v>
      </c>
      <c r="H139" t="s">
        <v>631</v>
      </c>
      <c r="I139" t="s">
        <v>632</v>
      </c>
      <c r="J139">
        <v>26</v>
      </c>
      <c r="K139" t="s">
        <v>25</v>
      </c>
      <c r="L139" t="s">
        <v>37</v>
      </c>
      <c r="M139" t="s">
        <v>439</v>
      </c>
      <c r="N139" t="s">
        <v>45</v>
      </c>
      <c r="O139" t="s">
        <v>145</v>
      </c>
      <c r="P139" t="s">
        <v>29</v>
      </c>
      <c r="Q139" t="s">
        <v>30</v>
      </c>
    </row>
    <row r="140" spans="1:17" x14ac:dyDescent="0.25">
      <c r="A140" t="s">
        <v>633</v>
      </c>
      <c r="B140">
        <v>124796</v>
      </c>
      <c r="C140" t="s">
        <v>634</v>
      </c>
      <c r="D140" t="s">
        <v>32</v>
      </c>
      <c r="E140" t="s">
        <v>33</v>
      </c>
      <c r="F140" t="s">
        <v>21</v>
      </c>
      <c r="G140" t="s">
        <v>22</v>
      </c>
      <c r="H140" t="s">
        <v>635</v>
      </c>
      <c r="I140" t="s">
        <v>636</v>
      </c>
      <c r="J140">
        <v>25</v>
      </c>
      <c r="K140" t="s">
        <v>25</v>
      </c>
      <c r="L140" t="s">
        <v>356</v>
      </c>
      <c r="M140" t="s">
        <v>117</v>
      </c>
      <c r="N140" t="s">
        <v>45</v>
      </c>
      <c r="O140" t="s">
        <v>356</v>
      </c>
      <c r="P140" t="s">
        <v>29</v>
      </c>
      <c r="Q140" t="s">
        <v>30</v>
      </c>
    </row>
    <row r="141" spans="1:17" x14ac:dyDescent="0.25">
      <c r="A141" t="s">
        <v>637</v>
      </c>
      <c r="B141">
        <v>126811</v>
      </c>
      <c r="C141" t="s">
        <v>310</v>
      </c>
      <c r="D141" t="s">
        <v>32</v>
      </c>
      <c r="E141" t="s">
        <v>33</v>
      </c>
      <c r="F141" t="s">
        <v>123</v>
      </c>
      <c r="G141" t="s">
        <v>22</v>
      </c>
      <c r="H141" t="s">
        <v>638</v>
      </c>
      <c r="I141" t="s">
        <v>639</v>
      </c>
      <c r="J141">
        <v>25</v>
      </c>
      <c r="K141" t="s">
        <v>211</v>
      </c>
      <c r="L141" t="s">
        <v>590</v>
      </c>
      <c r="M141" t="s">
        <v>219</v>
      </c>
      <c r="N141" t="s">
        <v>493</v>
      </c>
      <c r="O141" t="s">
        <v>548</v>
      </c>
      <c r="P141" t="s">
        <v>29</v>
      </c>
      <c r="Q141" t="s">
        <v>30</v>
      </c>
    </row>
    <row r="142" spans="1:17" x14ac:dyDescent="0.25">
      <c r="A142" t="s">
        <v>640</v>
      </c>
      <c r="B142">
        <v>127424</v>
      </c>
      <c r="C142" t="s">
        <v>641</v>
      </c>
      <c r="D142" t="s">
        <v>19</v>
      </c>
      <c r="E142" t="s">
        <v>33</v>
      </c>
      <c r="F142" t="s">
        <v>202</v>
      </c>
      <c r="G142" t="s">
        <v>22</v>
      </c>
      <c r="H142" t="s">
        <v>642</v>
      </c>
      <c r="I142" t="s">
        <v>643</v>
      </c>
      <c r="J142">
        <v>24</v>
      </c>
      <c r="K142" t="s">
        <v>25</v>
      </c>
      <c r="L142" t="s">
        <v>612</v>
      </c>
      <c r="M142" t="s">
        <v>644</v>
      </c>
      <c r="N142" t="s">
        <v>45</v>
      </c>
      <c r="O142" t="s">
        <v>145</v>
      </c>
      <c r="P142" t="s">
        <v>29</v>
      </c>
      <c r="Q142" t="s">
        <v>30</v>
      </c>
    </row>
    <row r="143" spans="1:17" x14ac:dyDescent="0.25">
      <c r="A143" t="s">
        <v>645</v>
      </c>
      <c r="B143">
        <v>127469</v>
      </c>
      <c r="C143" t="s">
        <v>646</v>
      </c>
      <c r="D143" t="s">
        <v>19</v>
      </c>
      <c r="E143" t="s">
        <v>130</v>
      </c>
      <c r="F143" t="s">
        <v>109</v>
      </c>
      <c r="G143" t="s">
        <v>22</v>
      </c>
      <c r="H143" t="s">
        <v>647</v>
      </c>
      <c r="I143" t="s">
        <v>648</v>
      </c>
      <c r="J143">
        <v>24</v>
      </c>
      <c r="K143" t="s">
        <v>25</v>
      </c>
      <c r="L143" t="s">
        <v>288</v>
      </c>
      <c r="M143" t="s">
        <v>372</v>
      </c>
      <c r="N143" t="s">
        <v>45</v>
      </c>
      <c r="O143" t="s">
        <v>548</v>
      </c>
      <c r="P143" t="s">
        <v>29</v>
      </c>
      <c r="Q143" t="s">
        <v>30</v>
      </c>
    </row>
    <row r="144" spans="1:17" x14ac:dyDescent="0.25">
      <c r="A144" t="s">
        <v>649</v>
      </c>
      <c r="B144">
        <v>125317</v>
      </c>
      <c r="C144" t="s">
        <v>441</v>
      </c>
      <c r="D144" t="s">
        <v>19</v>
      </c>
      <c r="E144" t="s">
        <v>260</v>
      </c>
      <c r="F144" t="s">
        <v>484</v>
      </c>
      <c r="G144" t="s">
        <v>22</v>
      </c>
      <c r="H144" t="s">
        <v>650</v>
      </c>
      <c r="I144" t="s">
        <v>651</v>
      </c>
      <c r="J144">
        <v>23</v>
      </c>
      <c r="K144" t="s">
        <v>25</v>
      </c>
      <c r="L144" t="s">
        <v>548</v>
      </c>
      <c r="M144" t="s">
        <v>652</v>
      </c>
      <c r="N144" t="s">
        <v>493</v>
      </c>
      <c r="O144" t="s">
        <v>145</v>
      </c>
      <c r="P144" t="s">
        <v>29</v>
      </c>
      <c r="Q144" t="s">
        <v>30</v>
      </c>
    </row>
    <row r="145" spans="1:17" x14ac:dyDescent="0.25">
      <c r="A145" t="s">
        <v>617</v>
      </c>
      <c r="B145">
        <v>126175</v>
      </c>
      <c r="C145" t="s">
        <v>361</v>
      </c>
      <c r="D145" t="s">
        <v>32</v>
      </c>
      <c r="E145" t="s">
        <v>33</v>
      </c>
      <c r="F145" t="s">
        <v>40</v>
      </c>
      <c r="G145" t="s">
        <v>394</v>
      </c>
      <c r="H145" t="s">
        <v>653</v>
      </c>
      <c r="I145" t="s">
        <v>654</v>
      </c>
      <c r="J145">
        <v>23</v>
      </c>
      <c r="K145" t="s">
        <v>25</v>
      </c>
      <c r="L145" t="s">
        <v>290</v>
      </c>
      <c r="M145" t="s">
        <v>89</v>
      </c>
      <c r="N145" t="s">
        <v>45</v>
      </c>
      <c r="O145" t="s">
        <v>199</v>
      </c>
      <c r="P145" t="s">
        <v>29</v>
      </c>
      <c r="Q145" t="s">
        <v>30</v>
      </c>
    </row>
    <row r="146" spans="1:17" x14ac:dyDescent="0.25">
      <c r="A146" t="s">
        <v>655</v>
      </c>
      <c r="B146">
        <v>126953</v>
      </c>
      <c r="C146" t="s">
        <v>622</v>
      </c>
      <c r="D146" t="s">
        <v>32</v>
      </c>
      <c r="E146" t="s">
        <v>33</v>
      </c>
      <c r="F146" t="s">
        <v>21</v>
      </c>
      <c r="G146" t="s">
        <v>22</v>
      </c>
      <c r="H146" t="s">
        <v>656</v>
      </c>
      <c r="I146" t="s">
        <v>657</v>
      </c>
      <c r="J146">
        <v>23</v>
      </c>
      <c r="K146" t="s">
        <v>25</v>
      </c>
      <c r="L146" t="s">
        <v>356</v>
      </c>
      <c r="M146" t="s">
        <v>225</v>
      </c>
      <c r="N146" t="s">
        <v>493</v>
      </c>
      <c r="O146" t="s">
        <v>77</v>
      </c>
      <c r="P146" t="s">
        <v>29</v>
      </c>
      <c r="Q146" t="s">
        <v>30</v>
      </c>
    </row>
    <row r="147" spans="1:17" x14ac:dyDescent="0.25">
      <c r="A147" t="s">
        <v>658</v>
      </c>
      <c r="B147">
        <v>126960</v>
      </c>
      <c r="C147" t="s">
        <v>622</v>
      </c>
      <c r="D147" t="s">
        <v>32</v>
      </c>
      <c r="E147" t="s">
        <v>62</v>
      </c>
      <c r="F147" t="s">
        <v>21</v>
      </c>
      <c r="G147" t="s">
        <v>394</v>
      </c>
      <c r="H147" t="s">
        <v>659</v>
      </c>
      <c r="I147" t="s">
        <v>660</v>
      </c>
      <c r="J147">
        <v>21</v>
      </c>
      <c r="K147" t="s">
        <v>25</v>
      </c>
      <c r="L147" t="s">
        <v>661</v>
      </c>
      <c r="M147" t="s">
        <v>662</v>
      </c>
      <c r="N147" t="s">
        <v>493</v>
      </c>
      <c r="O147" t="s">
        <v>77</v>
      </c>
      <c r="P147" t="s">
        <v>29</v>
      </c>
      <c r="Q147" t="s">
        <v>30</v>
      </c>
    </row>
    <row r="148" spans="1:17" x14ac:dyDescent="0.25">
      <c r="A148" t="s">
        <v>663</v>
      </c>
      <c r="B148">
        <v>127674</v>
      </c>
      <c r="C148" t="s">
        <v>454</v>
      </c>
      <c r="D148" t="s">
        <v>19</v>
      </c>
      <c r="E148" t="s">
        <v>33</v>
      </c>
      <c r="F148" t="s">
        <v>393</v>
      </c>
      <c r="G148" t="s">
        <v>664</v>
      </c>
      <c r="H148" t="s">
        <v>665</v>
      </c>
      <c r="I148" t="s">
        <v>666</v>
      </c>
      <c r="J148">
        <v>21</v>
      </c>
      <c r="K148" t="s">
        <v>25</v>
      </c>
      <c r="L148" t="s">
        <v>667</v>
      </c>
      <c r="M148" t="s">
        <v>668</v>
      </c>
      <c r="N148" t="s">
        <v>45</v>
      </c>
      <c r="O148" t="s">
        <v>548</v>
      </c>
      <c r="P148" t="s">
        <v>29</v>
      </c>
      <c r="Q148" t="s">
        <v>30</v>
      </c>
    </row>
    <row r="149" spans="1:17" x14ac:dyDescent="0.25">
      <c r="A149" t="s">
        <v>669</v>
      </c>
      <c r="B149">
        <v>125875</v>
      </c>
      <c r="C149" t="s">
        <v>670</v>
      </c>
      <c r="D149" t="s">
        <v>32</v>
      </c>
      <c r="E149" t="s">
        <v>20</v>
      </c>
      <c r="F149" t="s">
        <v>123</v>
      </c>
      <c r="G149" t="s">
        <v>22</v>
      </c>
      <c r="H149" t="s">
        <v>671</v>
      </c>
      <c r="I149" t="s">
        <v>672</v>
      </c>
      <c r="J149">
        <v>19</v>
      </c>
      <c r="K149" t="s">
        <v>25</v>
      </c>
      <c r="L149" t="s">
        <v>161</v>
      </c>
      <c r="M149" t="s">
        <v>133</v>
      </c>
      <c r="N149" t="s">
        <v>493</v>
      </c>
      <c r="O149" t="s">
        <v>77</v>
      </c>
      <c r="P149" t="s">
        <v>29</v>
      </c>
      <c r="Q149" t="s">
        <v>30</v>
      </c>
    </row>
    <row r="150" spans="1:17" x14ac:dyDescent="0.25">
      <c r="A150" t="s">
        <v>673</v>
      </c>
      <c r="B150">
        <v>127778</v>
      </c>
      <c r="C150" t="s">
        <v>108</v>
      </c>
      <c r="D150" t="s">
        <v>19</v>
      </c>
      <c r="E150" t="s">
        <v>33</v>
      </c>
      <c r="F150" t="s">
        <v>109</v>
      </c>
      <c r="G150" t="s">
        <v>22</v>
      </c>
      <c r="H150" t="s">
        <v>674</v>
      </c>
      <c r="I150" t="s">
        <v>675</v>
      </c>
      <c r="J150">
        <v>19</v>
      </c>
      <c r="K150" t="s">
        <v>211</v>
      </c>
      <c r="L150" t="s">
        <v>323</v>
      </c>
      <c r="M150" t="s">
        <v>178</v>
      </c>
      <c r="N150" t="s">
        <v>45</v>
      </c>
      <c r="O150" t="s">
        <v>77</v>
      </c>
      <c r="P150" t="s">
        <v>29</v>
      </c>
      <c r="Q150" t="s">
        <v>30</v>
      </c>
    </row>
    <row r="151" spans="1:17" x14ac:dyDescent="0.25">
      <c r="A151" t="s">
        <v>676</v>
      </c>
      <c r="B151">
        <v>125589</v>
      </c>
      <c r="C151" t="s">
        <v>208</v>
      </c>
      <c r="D151" t="s">
        <v>32</v>
      </c>
      <c r="E151" t="s">
        <v>33</v>
      </c>
      <c r="F151" t="s">
        <v>123</v>
      </c>
      <c r="G151" t="s">
        <v>22</v>
      </c>
      <c r="H151" t="s">
        <v>677</v>
      </c>
      <c r="I151" t="s">
        <v>678</v>
      </c>
      <c r="J151">
        <v>18</v>
      </c>
      <c r="K151" t="s">
        <v>25</v>
      </c>
      <c r="L151" t="s">
        <v>288</v>
      </c>
      <c r="M151" t="s">
        <v>605</v>
      </c>
      <c r="N151" t="s">
        <v>45</v>
      </c>
      <c r="O151" t="s">
        <v>290</v>
      </c>
      <c r="P151" t="s">
        <v>29</v>
      </c>
      <c r="Q151" t="s">
        <v>30</v>
      </c>
    </row>
    <row r="152" spans="1:17" x14ac:dyDescent="0.25">
      <c r="A152" t="s">
        <v>679</v>
      </c>
      <c r="B152">
        <v>125920</v>
      </c>
      <c r="C152" t="s">
        <v>215</v>
      </c>
      <c r="D152" t="s">
        <v>19</v>
      </c>
      <c r="E152" t="s">
        <v>62</v>
      </c>
      <c r="F152" t="s">
        <v>202</v>
      </c>
      <c r="G152" t="s">
        <v>22</v>
      </c>
      <c r="H152" t="s">
        <v>680</v>
      </c>
      <c r="I152" t="s">
        <v>681</v>
      </c>
      <c r="J152">
        <v>18</v>
      </c>
      <c r="K152" t="s">
        <v>25</v>
      </c>
      <c r="L152" t="s">
        <v>213</v>
      </c>
      <c r="M152" t="s">
        <v>682</v>
      </c>
      <c r="N152" t="s">
        <v>493</v>
      </c>
      <c r="O152" t="s">
        <v>683</v>
      </c>
      <c r="P152" t="s">
        <v>29</v>
      </c>
      <c r="Q152" t="s">
        <v>30</v>
      </c>
    </row>
    <row r="153" spans="1:17" x14ac:dyDescent="0.25">
      <c r="A153" t="s">
        <v>684</v>
      </c>
      <c r="B153">
        <v>126975</v>
      </c>
      <c r="C153" t="s">
        <v>374</v>
      </c>
      <c r="D153" t="s">
        <v>19</v>
      </c>
      <c r="E153" t="s">
        <v>33</v>
      </c>
      <c r="F153" t="s">
        <v>685</v>
      </c>
      <c r="G153" t="s">
        <v>394</v>
      </c>
      <c r="H153" t="s">
        <v>686</v>
      </c>
      <c r="I153" t="s">
        <v>687</v>
      </c>
      <c r="J153">
        <v>18</v>
      </c>
      <c r="K153" t="s">
        <v>25</v>
      </c>
      <c r="L153" t="s">
        <v>77</v>
      </c>
      <c r="M153" t="s">
        <v>688</v>
      </c>
      <c r="N153" t="s">
        <v>28</v>
      </c>
      <c r="O153" t="s">
        <v>77</v>
      </c>
      <c r="P153" t="s">
        <v>29</v>
      </c>
      <c r="Q153" t="s">
        <v>30</v>
      </c>
    </row>
    <row r="154" spans="1:17" x14ac:dyDescent="0.25">
      <c r="A154" t="s">
        <v>689</v>
      </c>
      <c r="B154">
        <v>127221</v>
      </c>
      <c r="C154" t="s">
        <v>215</v>
      </c>
      <c r="D154" t="s">
        <v>32</v>
      </c>
      <c r="E154" t="s">
        <v>33</v>
      </c>
      <c r="F154" t="s">
        <v>40</v>
      </c>
      <c r="G154" t="s">
        <v>22</v>
      </c>
      <c r="H154" t="s">
        <v>690</v>
      </c>
      <c r="I154" t="s">
        <v>691</v>
      </c>
      <c r="J154">
        <v>18</v>
      </c>
      <c r="K154" t="s">
        <v>25</v>
      </c>
      <c r="L154" t="s">
        <v>290</v>
      </c>
      <c r="M154" t="s">
        <v>205</v>
      </c>
      <c r="N154" t="s">
        <v>493</v>
      </c>
      <c r="O154" t="s">
        <v>290</v>
      </c>
      <c r="P154" t="s">
        <v>29</v>
      </c>
      <c r="Q154" t="s">
        <v>30</v>
      </c>
    </row>
    <row r="155" spans="1:17" x14ac:dyDescent="0.25">
      <c r="A155" t="s">
        <v>692</v>
      </c>
      <c r="B155">
        <v>89842</v>
      </c>
      <c r="C155" t="s">
        <v>400</v>
      </c>
      <c r="D155" t="s">
        <v>19</v>
      </c>
      <c r="E155" t="s">
        <v>33</v>
      </c>
      <c r="F155" t="s">
        <v>202</v>
      </c>
      <c r="G155" t="s">
        <v>22</v>
      </c>
      <c r="H155" t="s">
        <v>693</v>
      </c>
      <c r="I155" t="s">
        <v>694</v>
      </c>
      <c r="J155">
        <v>18</v>
      </c>
      <c r="K155" t="s">
        <v>25</v>
      </c>
      <c r="L155" t="s">
        <v>567</v>
      </c>
      <c r="M155" t="s">
        <v>695</v>
      </c>
      <c r="N155" t="s">
        <v>45</v>
      </c>
      <c r="O155" t="s">
        <v>145</v>
      </c>
      <c r="P155" t="s">
        <v>29</v>
      </c>
      <c r="Q155" t="s">
        <v>30</v>
      </c>
    </row>
    <row r="156" spans="1:17" x14ac:dyDescent="0.25">
      <c r="A156" t="s">
        <v>696</v>
      </c>
      <c r="B156">
        <v>125593</v>
      </c>
      <c r="C156" t="s">
        <v>601</v>
      </c>
      <c r="D156" t="s">
        <v>32</v>
      </c>
      <c r="E156" t="s">
        <v>33</v>
      </c>
      <c r="F156" t="s">
        <v>40</v>
      </c>
      <c r="G156" t="s">
        <v>22</v>
      </c>
      <c r="H156" t="s">
        <v>697</v>
      </c>
      <c r="I156" t="s">
        <v>698</v>
      </c>
      <c r="J156">
        <v>17</v>
      </c>
      <c r="K156" t="s">
        <v>25</v>
      </c>
      <c r="L156" t="s">
        <v>290</v>
      </c>
      <c r="M156" t="s">
        <v>89</v>
      </c>
      <c r="N156" t="s">
        <v>45</v>
      </c>
      <c r="O156" t="s">
        <v>620</v>
      </c>
      <c r="P156" t="s">
        <v>29</v>
      </c>
      <c r="Q156" t="s">
        <v>30</v>
      </c>
    </row>
    <row r="157" spans="1:17" x14ac:dyDescent="0.25">
      <c r="A157" t="s">
        <v>699</v>
      </c>
      <c r="B157">
        <v>125881</v>
      </c>
      <c r="C157" t="s">
        <v>541</v>
      </c>
      <c r="D157" t="s">
        <v>32</v>
      </c>
      <c r="E157" t="s">
        <v>33</v>
      </c>
      <c r="F157" t="s">
        <v>700</v>
      </c>
      <c r="G157" t="s">
        <v>701</v>
      </c>
      <c r="H157" t="s">
        <v>702</v>
      </c>
      <c r="I157" t="s">
        <v>703</v>
      </c>
      <c r="J157">
        <v>17</v>
      </c>
      <c r="K157" t="s">
        <v>25</v>
      </c>
      <c r="L157" t="s">
        <v>213</v>
      </c>
      <c r="M157" t="s">
        <v>704</v>
      </c>
      <c r="N157" t="s">
        <v>493</v>
      </c>
      <c r="O157" t="s">
        <v>683</v>
      </c>
      <c r="P157" t="s">
        <v>29</v>
      </c>
      <c r="Q157" t="s">
        <v>30</v>
      </c>
    </row>
    <row r="158" spans="1:17" x14ac:dyDescent="0.25">
      <c r="A158" t="s">
        <v>705</v>
      </c>
      <c r="B158">
        <v>126174</v>
      </c>
      <c r="C158" t="s">
        <v>353</v>
      </c>
      <c r="D158" t="s">
        <v>19</v>
      </c>
      <c r="E158" t="s">
        <v>33</v>
      </c>
      <c r="F158" t="s">
        <v>109</v>
      </c>
      <c r="G158" t="s">
        <v>22</v>
      </c>
      <c r="H158" t="s">
        <v>706</v>
      </c>
      <c r="I158" t="s">
        <v>707</v>
      </c>
      <c r="J158">
        <v>17</v>
      </c>
      <c r="K158" t="s">
        <v>25</v>
      </c>
      <c r="L158" t="s">
        <v>288</v>
      </c>
      <c r="M158" t="s">
        <v>708</v>
      </c>
      <c r="N158" t="s">
        <v>45</v>
      </c>
      <c r="O158" t="s">
        <v>661</v>
      </c>
      <c r="P158" t="s">
        <v>29</v>
      </c>
      <c r="Q158" t="s">
        <v>30</v>
      </c>
    </row>
    <row r="159" spans="1:17" x14ac:dyDescent="0.25">
      <c r="A159" t="s">
        <v>709</v>
      </c>
      <c r="B159">
        <v>127241</v>
      </c>
      <c r="C159" t="s">
        <v>622</v>
      </c>
      <c r="D159" t="s">
        <v>19</v>
      </c>
      <c r="E159" t="s">
        <v>33</v>
      </c>
      <c r="F159" t="s">
        <v>21</v>
      </c>
      <c r="G159" t="s">
        <v>22</v>
      </c>
      <c r="H159" t="s">
        <v>710</v>
      </c>
      <c r="I159" t="s">
        <v>711</v>
      </c>
      <c r="J159">
        <v>17</v>
      </c>
      <c r="K159" t="s">
        <v>25</v>
      </c>
      <c r="L159" t="s">
        <v>661</v>
      </c>
      <c r="M159" t="s">
        <v>346</v>
      </c>
      <c r="N159" t="s">
        <v>493</v>
      </c>
      <c r="O159" t="s">
        <v>77</v>
      </c>
      <c r="P159" t="s">
        <v>29</v>
      </c>
      <c r="Q159" t="s">
        <v>30</v>
      </c>
    </row>
    <row r="160" spans="1:17" x14ac:dyDescent="0.25">
      <c r="A160" t="s">
        <v>712</v>
      </c>
      <c r="B160">
        <v>45310</v>
      </c>
      <c r="C160" t="s">
        <v>713</v>
      </c>
      <c r="D160" t="s">
        <v>32</v>
      </c>
      <c r="E160" t="s">
        <v>227</v>
      </c>
      <c r="F160" t="s">
        <v>700</v>
      </c>
      <c r="G160" t="s">
        <v>394</v>
      </c>
      <c r="H160" t="s">
        <v>714</v>
      </c>
      <c r="I160" t="s">
        <v>715</v>
      </c>
      <c r="J160">
        <v>17</v>
      </c>
      <c r="K160" t="s">
        <v>25</v>
      </c>
      <c r="L160" t="s">
        <v>716</v>
      </c>
      <c r="M160" t="s">
        <v>331</v>
      </c>
      <c r="N160" t="s">
        <v>493</v>
      </c>
      <c r="O160" t="s">
        <v>591</v>
      </c>
      <c r="P160" t="s">
        <v>29</v>
      </c>
      <c r="Q160" t="s">
        <v>30</v>
      </c>
    </row>
    <row r="161" spans="1:17" x14ac:dyDescent="0.25">
      <c r="A161" t="s">
        <v>717</v>
      </c>
      <c r="B161">
        <v>127595</v>
      </c>
      <c r="C161" t="s">
        <v>718</v>
      </c>
      <c r="D161" t="s">
        <v>32</v>
      </c>
      <c r="E161" t="s">
        <v>260</v>
      </c>
      <c r="F161" t="s">
        <v>123</v>
      </c>
      <c r="G161" t="s">
        <v>394</v>
      </c>
      <c r="H161" t="s">
        <v>719</v>
      </c>
      <c r="I161" t="s">
        <v>720</v>
      </c>
      <c r="J161">
        <v>16</v>
      </c>
      <c r="K161" t="s">
        <v>25</v>
      </c>
      <c r="L161" t="s">
        <v>77</v>
      </c>
      <c r="M161" t="s">
        <v>304</v>
      </c>
      <c r="N161" t="s">
        <v>493</v>
      </c>
      <c r="O161" t="s">
        <v>548</v>
      </c>
      <c r="P161" t="s">
        <v>29</v>
      </c>
      <c r="Q161" t="s">
        <v>30</v>
      </c>
    </row>
    <row r="162" spans="1:17" x14ac:dyDescent="0.25">
      <c r="A162" t="s">
        <v>721</v>
      </c>
      <c r="B162">
        <v>126855</v>
      </c>
      <c r="C162" t="s">
        <v>577</v>
      </c>
      <c r="D162" t="s">
        <v>19</v>
      </c>
      <c r="E162" t="s">
        <v>20</v>
      </c>
      <c r="F162" t="s">
        <v>428</v>
      </c>
      <c r="G162" t="s">
        <v>22</v>
      </c>
      <c r="H162" t="s">
        <v>722</v>
      </c>
      <c r="I162" t="s">
        <v>723</v>
      </c>
      <c r="J162">
        <v>15</v>
      </c>
      <c r="K162" t="s">
        <v>112</v>
      </c>
      <c r="L162" t="s">
        <v>213</v>
      </c>
      <c r="M162" t="s">
        <v>724</v>
      </c>
      <c r="N162" t="s">
        <v>493</v>
      </c>
      <c r="O162" t="s">
        <v>77</v>
      </c>
      <c r="P162" t="s">
        <v>29</v>
      </c>
      <c r="Q162" t="s">
        <v>30</v>
      </c>
    </row>
    <row r="163" spans="1:17" x14ac:dyDescent="0.25">
      <c r="A163" t="s">
        <v>725</v>
      </c>
      <c r="B163">
        <v>125810</v>
      </c>
      <c r="C163" t="s">
        <v>634</v>
      </c>
      <c r="D163" t="s">
        <v>32</v>
      </c>
      <c r="E163" t="s">
        <v>33</v>
      </c>
      <c r="F163" t="s">
        <v>21</v>
      </c>
      <c r="G163" t="s">
        <v>22</v>
      </c>
      <c r="H163" t="s">
        <v>726</v>
      </c>
      <c r="I163" t="s">
        <v>727</v>
      </c>
      <c r="J163">
        <v>14</v>
      </c>
      <c r="K163" t="s">
        <v>25</v>
      </c>
      <c r="L163" t="s">
        <v>356</v>
      </c>
      <c r="M163" t="s">
        <v>117</v>
      </c>
      <c r="N163" t="s">
        <v>45</v>
      </c>
      <c r="O163" t="s">
        <v>356</v>
      </c>
      <c r="P163" t="s">
        <v>29</v>
      </c>
      <c r="Q163" t="s">
        <v>30</v>
      </c>
    </row>
    <row r="164" spans="1:17" x14ac:dyDescent="0.25">
      <c r="A164" t="s">
        <v>728</v>
      </c>
      <c r="B164">
        <v>125950</v>
      </c>
      <c r="C164" t="s">
        <v>18</v>
      </c>
      <c r="D164" t="s">
        <v>19</v>
      </c>
      <c r="E164" t="s">
        <v>62</v>
      </c>
      <c r="F164" t="s">
        <v>109</v>
      </c>
      <c r="G164" t="s">
        <v>22</v>
      </c>
      <c r="H164" t="s">
        <v>729</v>
      </c>
      <c r="I164" t="s">
        <v>730</v>
      </c>
      <c r="J164">
        <v>14</v>
      </c>
      <c r="K164" t="s">
        <v>25</v>
      </c>
      <c r="L164" t="s">
        <v>590</v>
      </c>
      <c r="M164" t="s">
        <v>472</v>
      </c>
      <c r="N164" t="s">
        <v>45</v>
      </c>
      <c r="O164" t="s">
        <v>77</v>
      </c>
      <c r="P164" t="s">
        <v>29</v>
      </c>
      <c r="Q164" t="s">
        <v>30</v>
      </c>
    </row>
    <row r="165" spans="1:17" x14ac:dyDescent="0.25">
      <c r="A165" t="s">
        <v>731</v>
      </c>
      <c r="B165">
        <v>126166</v>
      </c>
      <c r="C165" t="s">
        <v>634</v>
      </c>
      <c r="D165" t="s">
        <v>19</v>
      </c>
      <c r="E165" t="s">
        <v>260</v>
      </c>
      <c r="F165" t="s">
        <v>21</v>
      </c>
      <c r="G165" t="s">
        <v>22</v>
      </c>
      <c r="H165" t="s">
        <v>732</v>
      </c>
      <c r="I165" t="s">
        <v>733</v>
      </c>
      <c r="J165">
        <v>14</v>
      </c>
      <c r="K165" t="s">
        <v>211</v>
      </c>
      <c r="L165" t="s">
        <v>356</v>
      </c>
      <c r="M165" t="s">
        <v>734</v>
      </c>
      <c r="N165" t="s">
        <v>493</v>
      </c>
      <c r="O165" t="s">
        <v>661</v>
      </c>
      <c r="P165" t="s">
        <v>29</v>
      </c>
      <c r="Q165" t="s">
        <v>30</v>
      </c>
    </row>
    <row r="166" spans="1:17" x14ac:dyDescent="0.25">
      <c r="A166" t="s">
        <v>735</v>
      </c>
      <c r="B166">
        <v>126263</v>
      </c>
      <c r="C166" t="s">
        <v>281</v>
      </c>
      <c r="D166" t="s">
        <v>32</v>
      </c>
      <c r="E166" t="s">
        <v>260</v>
      </c>
      <c r="F166" t="s">
        <v>40</v>
      </c>
      <c r="G166" t="s">
        <v>22</v>
      </c>
      <c r="H166" t="s">
        <v>736</v>
      </c>
      <c r="I166" t="s">
        <v>737</v>
      </c>
      <c r="J166">
        <v>14</v>
      </c>
      <c r="K166" t="s">
        <v>25</v>
      </c>
      <c r="L166" t="s">
        <v>620</v>
      </c>
      <c r="M166" t="s">
        <v>89</v>
      </c>
      <c r="N166" t="s">
        <v>493</v>
      </c>
      <c r="O166" t="s">
        <v>620</v>
      </c>
      <c r="P166" t="s">
        <v>29</v>
      </c>
      <c r="Q166" t="s">
        <v>30</v>
      </c>
    </row>
    <row r="167" spans="1:17" x14ac:dyDescent="0.25">
      <c r="A167" t="s">
        <v>738</v>
      </c>
      <c r="B167">
        <v>127978</v>
      </c>
      <c r="C167" t="s">
        <v>641</v>
      </c>
      <c r="D167" t="s">
        <v>32</v>
      </c>
      <c r="E167" t="s">
        <v>33</v>
      </c>
      <c r="F167" t="s">
        <v>123</v>
      </c>
      <c r="G167" t="s">
        <v>22</v>
      </c>
      <c r="H167" t="s">
        <v>739</v>
      </c>
      <c r="I167" t="s">
        <v>740</v>
      </c>
      <c r="J167">
        <v>14</v>
      </c>
      <c r="K167" t="s">
        <v>25</v>
      </c>
      <c r="L167" t="s">
        <v>612</v>
      </c>
      <c r="M167" t="s">
        <v>504</v>
      </c>
      <c r="N167" t="s">
        <v>493</v>
      </c>
      <c r="O167" t="s">
        <v>548</v>
      </c>
      <c r="P167" t="s">
        <v>29</v>
      </c>
      <c r="Q167" t="s">
        <v>30</v>
      </c>
    </row>
    <row r="168" spans="1:17" x14ac:dyDescent="0.25">
      <c r="A168" t="s">
        <v>741</v>
      </c>
      <c r="B168">
        <v>128166</v>
      </c>
      <c r="C168" t="s">
        <v>622</v>
      </c>
      <c r="D168" t="s">
        <v>32</v>
      </c>
      <c r="E168" t="s">
        <v>33</v>
      </c>
      <c r="F168" t="s">
        <v>21</v>
      </c>
      <c r="G168" t="s">
        <v>22</v>
      </c>
      <c r="H168" t="s">
        <v>742</v>
      </c>
      <c r="I168" t="s">
        <v>743</v>
      </c>
      <c r="J168">
        <v>14</v>
      </c>
      <c r="K168" t="s">
        <v>25</v>
      </c>
      <c r="L168" t="s">
        <v>661</v>
      </c>
      <c r="M168" t="s">
        <v>225</v>
      </c>
      <c r="N168" t="s">
        <v>493</v>
      </c>
      <c r="O168" t="s">
        <v>77</v>
      </c>
      <c r="P168" t="s">
        <v>29</v>
      </c>
      <c r="Q168" t="s">
        <v>30</v>
      </c>
    </row>
    <row r="169" spans="1:17" x14ac:dyDescent="0.25">
      <c r="A169" t="s">
        <v>744</v>
      </c>
      <c r="B169">
        <v>44466</v>
      </c>
      <c r="C169" t="s">
        <v>361</v>
      </c>
      <c r="D169" t="s">
        <v>32</v>
      </c>
      <c r="E169" t="s">
        <v>227</v>
      </c>
      <c r="F169" t="s">
        <v>40</v>
      </c>
      <c r="G169" t="s">
        <v>22</v>
      </c>
      <c r="H169" t="s">
        <v>745</v>
      </c>
      <c r="I169" t="s">
        <v>746</v>
      </c>
      <c r="J169">
        <v>13</v>
      </c>
      <c r="K169" t="s">
        <v>25</v>
      </c>
      <c r="L169" t="s">
        <v>290</v>
      </c>
      <c r="M169" t="s">
        <v>89</v>
      </c>
      <c r="N169" t="s">
        <v>747</v>
      </c>
      <c r="O169" t="s">
        <v>290</v>
      </c>
      <c r="P169" t="s">
        <v>29</v>
      </c>
      <c r="Q169" t="s">
        <v>30</v>
      </c>
    </row>
    <row r="170" spans="1:17" x14ac:dyDescent="0.25">
      <c r="A170" t="s">
        <v>748</v>
      </c>
      <c r="B170">
        <v>127123</v>
      </c>
      <c r="C170" t="s">
        <v>301</v>
      </c>
      <c r="D170" t="s">
        <v>32</v>
      </c>
      <c r="E170" t="s">
        <v>130</v>
      </c>
      <c r="F170" t="s">
        <v>123</v>
      </c>
      <c r="G170" t="s">
        <v>22</v>
      </c>
      <c r="H170" t="s">
        <v>749</v>
      </c>
      <c r="I170" t="s">
        <v>750</v>
      </c>
      <c r="J170">
        <v>13</v>
      </c>
      <c r="K170" t="s">
        <v>397</v>
      </c>
      <c r="L170" t="s">
        <v>548</v>
      </c>
      <c r="M170" t="s">
        <v>751</v>
      </c>
      <c r="N170" t="s">
        <v>45</v>
      </c>
      <c r="O170" t="s">
        <v>752</v>
      </c>
      <c r="P170" t="s">
        <v>29</v>
      </c>
      <c r="Q170" t="s">
        <v>30</v>
      </c>
    </row>
    <row r="171" spans="1:17" x14ac:dyDescent="0.25">
      <c r="A171" t="s">
        <v>753</v>
      </c>
      <c r="B171">
        <v>10369</v>
      </c>
      <c r="C171" t="s">
        <v>142</v>
      </c>
      <c r="D171" t="s">
        <v>19</v>
      </c>
      <c r="E171" t="s">
        <v>754</v>
      </c>
      <c r="F171" t="s">
        <v>428</v>
      </c>
      <c r="G171" t="s">
        <v>22</v>
      </c>
      <c r="H171" t="s">
        <v>755</v>
      </c>
      <c r="I171" t="s">
        <v>756</v>
      </c>
      <c r="J171">
        <v>13</v>
      </c>
      <c r="K171" t="s">
        <v>25</v>
      </c>
      <c r="L171" t="s">
        <v>213</v>
      </c>
      <c r="M171" t="s">
        <v>439</v>
      </c>
      <c r="N171" t="s">
        <v>493</v>
      </c>
      <c r="O171" t="s">
        <v>591</v>
      </c>
      <c r="P171" t="s">
        <v>29</v>
      </c>
      <c r="Q171" t="s">
        <v>30</v>
      </c>
    </row>
    <row r="172" spans="1:17" x14ac:dyDescent="0.25">
      <c r="A172" t="s">
        <v>757</v>
      </c>
      <c r="B172">
        <v>127143</v>
      </c>
      <c r="C172" t="s">
        <v>758</v>
      </c>
      <c r="D172" t="s">
        <v>19</v>
      </c>
      <c r="E172" t="s">
        <v>260</v>
      </c>
      <c r="F172" t="s">
        <v>428</v>
      </c>
      <c r="G172" t="s">
        <v>22</v>
      </c>
      <c r="H172" t="s">
        <v>759</v>
      </c>
      <c r="I172" t="s">
        <v>760</v>
      </c>
      <c r="J172">
        <v>12</v>
      </c>
      <c r="K172" t="s">
        <v>25</v>
      </c>
      <c r="L172" t="s">
        <v>761</v>
      </c>
      <c r="M172" t="s">
        <v>724</v>
      </c>
      <c r="N172" t="s">
        <v>493</v>
      </c>
      <c r="O172" t="s">
        <v>77</v>
      </c>
      <c r="P172" t="s">
        <v>29</v>
      </c>
      <c r="Q172" t="s">
        <v>30</v>
      </c>
    </row>
    <row r="173" spans="1:17" x14ac:dyDescent="0.25">
      <c r="A173" t="s">
        <v>762</v>
      </c>
      <c r="B173">
        <v>124780</v>
      </c>
      <c r="C173" t="s">
        <v>474</v>
      </c>
      <c r="D173" t="s">
        <v>19</v>
      </c>
      <c r="E173" t="s">
        <v>33</v>
      </c>
      <c r="F173" t="s">
        <v>763</v>
      </c>
      <c r="G173" t="s">
        <v>22</v>
      </c>
      <c r="H173" t="s">
        <v>764</v>
      </c>
      <c r="I173" t="s">
        <v>765</v>
      </c>
      <c r="J173">
        <v>12</v>
      </c>
      <c r="K173" t="s">
        <v>211</v>
      </c>
      <c r="L173" t="s">
        <v>612</v>
      </c>
      <c r="M173" t="s">
        <v>766</v>
      </c>
      <c r="N173" t="s">
        <v>28</v>
      </c>
      <c r="O173" t="s">
        <v>767</v>
      </c>
      <c r="P173" t="s">
        <v>29</v>
      </c>
      <c r="Q173" t="s">
        <v>30</v>
      </c>
    </row>
    <row r="174" spans="1:17" x14ac:dyDescent="0.25">
      <c r="A174" t="s">
        <v>768</v>
      </c>
      <c r="B174">
        <v>123257</v>
      </c>
      <c r="C174" t="s">
        <v>175</v>
      </c>
      <c r="D174" t="s">
        <v>19</v>
      </c>
      <c r="E174" t="s">
        <v>20</v>
      </c>
      <c r="F174" t="s">
        <v>109</v>
      </c>
      <c r="G174" t="s">
        <v>22</v>
      </c>
      <c r="H174" t="s">
        <v>769</v>
      </c>
      <c r="I174" t="s">
        <v>770</v>
      </c>
      <c r="J174">
        <v>12</v>
      </c>
      <c r="K174" t="s">
        <v>25</v>
      </c>
      <c r="L174" t="s">
        <v>213</v>
      </c>
      <c r="M174" t="s">
        <v>178</v>
      </c>
      <c r="N174" t="s">
        <v>771</v>
      </c>
      <c r="O174" t="s">
        <v>591</v>
      </c>
      <c r="P174" t="s">
        <v>29</v>
      </c>
      <c r="Q174" t="s">
        <v>30</v>
      </c>
    </row>
    <row r="175" spans="1:17" x14ac:dyDescent="0.25">
      <c r="A175" t="s">
        <v>772</v>
      </c>
      <c r="B175">
        <v>127840</v>
      </c>
      <c r="C175" t="s">
        <v>773</v>
      </c>
      <c r="D175" t="s">
        <v>32</v>
      </c>
      <c r="E175" t="s">
        <v>260</v>
      </c>
      <c r="F175" t="s">
        <v>685</v>
      </c>
      <c r="G175" t="s">
        <v>394</v>
      </c>
      <c r="H175" t="s">
        <v>774</v>
      </c>
      <c r="I175" t="s">
        <v>775</v>
      </c>
      <c r="J175">
        <v>12</v>
      </c>
      <c r="K175" t="s">
        <v>25</v>
      </c>
      <c r="L175" t="s">
        <v>213</v>
      </c>
      <c r="M175" t="s">
        <v>776</v>
      </c>
      <c r="N175" t="s">
        <v>493</v>
      </c>
      <c r="O175" t="s">
        <v>145</v>
      </c>
      <c r="P175" t="s">
        <v>29</v>
      </c>
      <c r="Q175" t="s">
        <v>30</v>
      </c>
    </row>
    <row r="176" spans="1:17" x14ac:dyDescent="0.25">
      <c r="A176" t="s">
        <v>777</v>
      </c>
      <c r="B176">
        <v>11852</v>
      </c>
      <c r="C176" t="s">
        <v>778</v>
      </c>
      <c r="D176" t="s">
        <v>32</v>
      </c>
      <c r="E176" t="s">
        <v>754</v>
      </c>
      <c r="F176" t="s">
        <v>202</v>
      </c>
      <c r="G176" t="s">
        <v>22</v>
      </c>
      <c r="H176" t="s">
        <v>779</v>
      </c>
      <c r="I176" t="s">
        <v>780</v>
      </c>
      <c r="J176">
        <v>12</v>
      </c>
      <c r="K176" t="s">
        <v>25</v>
      </c>
      <c r="L176" t="s">
        <v>161</v>
      </c>
      <c r="M176" t="s">
        <v>319</v>
      </c>
      <c r="N176" t="s">
        <v>45</v>
      </c>
      <c r="O176" t="s">
        <v>145</v>
      </c>
      <c r="P176" t="s">
        <v>29</v>
      </c>
      <c r="Q176" t="s">
        <v>30</v>
      </c>
    </row>
    <row r="177" spans="1:17" x14ac:dyDescent="0.25">
      <c r="A177" t="s">
        <v>781</v>
      </c>
      <c r="B177">
        <v>126733</v>
      </c>
      <c r="C177" t="s">
        <v>39</v>
      </c>
      <c r="D177" t="s">
        <v>32</v>
      </c>
      <c r="E177" t="s">
        <v>33</v>
      </c>
      <c r="F177" t="s">
        <v>40</v>
      </c>
      <c r="G177" t="s">
        <v>22</v>
      </c>
      <c r="H177" t="s">
        <v>782</v>
      </c>
      <c r="I177" t="s">
        <v>783</v>
      </c>
      <c r="J177">
        <v>11</v>
      </c>
      <c r="K177" t="s">
        <v>25</v>
      </c>
      <c r="L177" t="s">
        <v>620</v>
      </c>
      <c r="M177" t="s">
        <v>89</v>
      </c>
      <c r="N177" t="s">
        <v>45</v>
      </c>
      <c r="O177" t="s">
        <v>290</v>
      </c>
      <c r="P177" t="s">
        <v>29</v>
      </c>
      <c r="Q177" t="s">
        <v>30</v>
      </c>
    </row>
    <row r="178" spans="1:17" x14ac:dyDescent="0.25">
      <c r="A178" t="s">
        <v>784</v>
      </c>
      <c r="B178">
        <v>126817</v>
      </c>
      <c r="C178" t="s">
        <v>622</v>
      </c>
      <c r="D178" t="s">
        <v>19</v>
      </c>
      <c r="E178" t="s">
        <v>33</v>
      </c>
      <c r="F178" t="s">
        <v>21</v>
      </c>
      <c r="G178" t="s">
        <v>22</v>
      </c>
      <c r="H178" t="s">
        <v>785</v>
      </c>
      <c r="I178" t="s">
        <v>786</v>
      </c>
      <c r="J178">
        <v>11</v>
      </c>
      <c r="K178" t="s">
        <v>25</v>
      </c>
      <c r="L178" t="s">
        <v>356</v>
      </c>
      <c r="M178" t="s">
        <v>734</v>
      </c>
      <c r="N178" t="s">
        <v>45</v>
      </c>
      <c r="O178" t="s">
        <v>356</v>
      </c>
      <c r="P178" t="s">
        <v>29</v>
      </c>
      <c r="Q178" t="s">
        <v>30</v>
      </c>
    </row>
    <row r="179" spans="1:17" x14ac:dyDescent="0.25">
      <c r="A179" t="s">
        <v>787</v>
      </c>
      <c r="B179">
        <v>126999</v>
      </c>
      <c r="C179" t="s">
        <v>788</v>
      </c>
      <c r="D179" t="s">
        <v>19</v>
      </c>
      <c r="E179" t="s">
        <v>260</v>
      </c>
      <c r="F179" t="s">
        <v>685</v>
      </c>
      <c r="G179" t="s">
        <v>292</v>
      </c>
      <c r="H179" t="s">
        <v>789</v>
      </c>
      <c r="I179" t="s">
        <v>790</v>
      </c>
      <c r="J179">
        <v>11</v>
      </c>
      <c r="K179" t="s">
        <v>211</v>
      </c>
      <c r="L179" t="s">
        <v>52</v>
      </c>
      <c r="M179" t="s">
        <v>724</v>
      </c>
      <c r="N179" t="s">
        <v>28</v>
      </c>
      <c r="O179" t="s">
        <v>77</v>
      </c>
      <c r="P179" t="s">
        <v>29</v>
      </c>
      <c r="Q179" t="s">
        <v>30</v>
      </c>
    </row>
    <row r="180" spans="1:17" x14ac:dyDescent="0.25">
      <c r="A180" t="s">
        <v>791</v>
      </c>
      <c r="B180">
        <v>127206</v>
      </c>
      <c r="C180" t="s">
        <v>142</v>
      </c>
      <c r="D180" t="s">
        <v>32</v>
      </c>
      <c r="E180" t="s">
        <v>33</v>
      </c>
      <c r="F180" t="s">
        <v>40</v>
      </c>
      <c r="G180" t="s">
        <v>22</v>
      </c>
      <c r="H180" t="s">
        <v>792</v>
      </c>
      <c r="I180" t="s">
        <v>793</v>
      </c>
      <c r="J180">
        <v>11</v>
      </c>
      <c r="K180" t="s">
        <v>25</v>
      </c>
      <c r="L180" t="s">
        <v>290</v>
      </c>
      <c r="M180" t="s">
        <v>89</v>
      </c>
      <c r="N180" t="s">
        <v>493</v>
      </c>
      <c r="O180" t="s">
        <v>620</v>
      </c>
      <c r="P180" t="s">
        <v>29</v>
      </c>
      <c r="Q180" t="s">
        <v>30</v>
      </c>
    </row>
    <row r="181" spans="1:17" x14ac:dyDescent="0.25">
      <c r="A181" t="s">
        <v>794</v>
      </c>
      <c r="B181">
        <v>127555</v>
      </c>
      <c r="C181" t="s">
        <v>68</v>
      </c>
      <c r="D181" t="s">
        <v>32</v>
      </c>
      <c r="E181" t="s">
        <v>33</v>
      </c>
      <c r="F181" t="s">
        <v>40</v>
      </c>
      <c r="G181" t="s">
        <v>22</v>
      </c>
      <c r="H181" t="s">
        <v>795</v>
      </c>
      <c r="I181" t="s">
        <v>796</v>
      </c>
      <c r="J181">
        <v>11</v>
      </c>
      <c r="K181" t="s">
        <v>25</v>
      </c>
      <c r="L181" t="s">
        <v>105</v>
      </c>
      <c r="M181" t="s">
        <v>89</v>
      </c>
      <c r="N181" t="s">
        <v>28</v>
      </c>
      <c r="O181" t="s">
        <v>46</v>
      </c>
      <c r="P181" t="s">
        <v>29</v>
      </c>
      <c r="Q181" t="s">
        <v>30</v>
      </c>
    </row>
    <row r="182" spans="1:17" x14ac:dyDescent="0.25">
      <c r="A182" t="s">
        <v>797</v>
      </c>
      <c r="B182">
        <v>128054</v>
      </c>
      <c r="C182" t="s">
        <v>454</v>
      </c>
      <c r="D182" t="s">
        <v>32</v>
      </c>
      <c r="E182" t="s">
        <v>20</v>
      </c>
      <c r="F182" t="s">
        <v>109</v>
      </c>
      <c r="G182" t="s">
        <v>22</v>
      </c>
      <c r="H182" t="s">
        <v>798</v>
      </c>
      <c r="I182" t="s">
        <v>799</v>
      </c>
      <c r="J182">
        <v>11</v>
      </c>
      <c r="K182" t="s">
        <v>112</v>
      </c>
      <c r="L182" t="s">
        <v>612</v>
      </c>
      <c r="M182" t="s">
        <v>178</v>
      </c>
      <c r="N182" t="s">
        <v>45</v>
      </c>
      <c r="O182" t="s">
        <v>548</v>
      </c>
      <c r="P182" t="s">
        <v>29</v>
      </c>
      <c r="Q182" t="s">
        <v>30</v>
      </c>
    </row>
    <row r="183" spans="1:17" x14ac:dyDescent="0.25">
      <c r="A183" t="s">
        <v>800</v>
      </c>
      <c r="B183">
        <v>126286</v>
      </c>
      <c r="C183" t="s">
        <v>86</v>
      </c>
      <c r="D183" t="s">
        <v>19</v>
      </c>
      <c r="E183" t="s">
        <v>33</v>
      </c>
      <c r="F183" t="s">
        <v>428</v>
      </c>
      <c r="G183" t="s">
        <v>22</v>
      </c>
      <c r="H183" t="s">
        <v>801</v>
      </c>
      <c r="I183" t="s">
        <v>802</v>
      </c>
      <c r="J183">
        <v>10</v>
      </c>
      <c r="K183" t="s">
        <v>25</v>
      </c>
      <c r="L183" t="s">
        <v>761</v>
      </c>
      <c r="M183" t="s">
        <v>439</v>
      </c>
      <c r="N183" t="s">
        <v>45</v>
      </c>
      <c r="O183" t="s">
        <v>548</v>
      </c>
      <c r="P183" t="s">
        <v>29</v>
      </c>
      <c r="Q183" t="s">
        <v>30</v>
      </c>
    </row>
    <row r="184" spans="1:17" x14ac:dyDescent="0.25">
      <c r="A184" t="s">
        <v>803</v>
      </c>
      <c r="B184">
        <v>111986</v>
      </c>
      <c r="C184" t="s">
        <v>804</v>
      </c>
      <c r="D184" t="s">
        <v>32</v>
      </c>
      <c r="E184" t="s">
        <v>33</v>
      </c>
      <c r="F184" t="s">
        <v>685</v>
      </c>
      <c r="G184" t="s">
        <v>22</v>
      </c>
      <c r="H184" t="s">
        <v>805</v>
      </c>
      <c r="I184" t="s">
        <v>806</v>
      </c>
      <c r="J184">
        <v>10</v>
      </c>
      <c r="K184" t="s">
        <v>211</v>
      </c>
      <c r="L184" t="s">
        <v>612</v>
      </c>
      <c r="M184" t="s">
        <v>807</v>
      </c>
      <c r="N184" t="s">
        <v>28</v>
      </c>
      <c r="O184" t="s">
        <v>683</v>
      </c>
      <c r="P184" t="s">
        <v>29</v>
      </c>
      <c r="Q184" t="s">
        <v>30</v>
      </c>
    </row>
    <row r="185" spans="1:17" x14ac:dyDescent="0.25">
      <c r="A185" t="s">
        <v>808</v>
      </c>
      <c r="B185">
        <v>127100</v>
      </c>
      <c r="C185" t="s">
        <v>18</v>
      </c>
      <c r="D185" t="s">
        <v>19</v>
      </c>
      <c r="E185" t="s">
        <v>33</v>
      </c>
      <c r="F185" t="s">
        <v>109</v>
      </c>
      <c r="G185" t="s">
        <v>22</v>
      </c>
      <c r="H185" t="s">
        <v>809</v>
      </c>
      <c r="I185" t="s">
        <v>810</v>
      </c>
      <c r="J185">
        <v>10</v>
      </c>
      <c r="K185" t="s">
        <v>397</v>
      </c>
      <c r="L185" t="s">
        <v>604</v>
      </c>
      <c r="M185" t="s">
        <v>811</v>
      </c>
      <c r="N185" t="s">
        <v>45</v>
      </c>
      <c r="O185" t="s">
        <v>661</v>
      </c>
      <c r="P185" t="s">
        <v>29</v>
      </c>
      <c r="Q185" t="s">
        <v>30</v>
      </c>
    </row>
    <row r="186" spans="1:17" x14ac:dyDescent="0.25">
      <c r="A186" t="s">
        <v>812</v>
      </c>
      <c r="B186">
        <v>128292</v>
      </c>
      <c r="C186" t="s">
        <v>622</v>
      </c>
      <c r="D186" t="s">
        <v>32</v>
      </c>
      <c r="E186" t="s">
        <v>20</v>
      </c>
      <c r="F186" t="s">
        <v>21</v>
      </c>
      <c r="G186" t="s">
        <v>22</v>
      </c>
      <c r="H186" t="s">
        <v>813</v>
      </c>
      <c r="I186" t="s">
        <v>814</v>
      </c>
      <c r="J186">
        <v>10</v>
      </c>
      <c r="K186" t="s">
        <v>211</v>
      </c>
      <c r="L186" t="s">
        <v>77</v>
      </c>
      <c r="M186" t="s">
        <v>346</v>
      </c>
      <c r="N186" t="s">
        <v>45</v>
      </c>
      <c r="O186" t="s">
        <v>77</v>
      </c>
      <c r="P186" t="s">
        <v>29</v>
      </c>
      <c r="Q186" t="s">
        <v>30</v>
      </c>
    </row>
    <row r="187" spans="1:17" x14ac:dyDescent="0.25">
      <c r="A187" t="s">
        <v>815</v>
      </c>
      <c r="B187">
        <v>108840</v>
      </c>
      <c r="C187" t="s">
        <v>816</v>
      </c>
      <c r="D187" t="s">
        <v>32</v>
      </c>
      <c r="E187" t="s">
        <v>33</v>
      </c>
      <c r="F187" t="s">
        <v>700</v>
      </c>
      <c r="G187" t="s">
        <v>394</v>
      </c>
      <c r="H187" t="s">
        <v>817</v>
      </c>
      <c r="I187" t="s">
        <v>818</v>
      </c>
      <c r="J187">
        <v>10</v>
      </c>
      <c r="K187" t="s">
        <v>397</v>
      </c>
      <c r="L187" t="s">
        <v>126</v>
      </c>
      <c r="M187" t="s">
        <v>36</v>
      </c>
      <c r="N187" t="s">
        <v>493</v>
      </c>
      <c r="O187" t="s">
        <v>761</v>
      </c>
      <c r="P187" t="s">
        <v>29</v>
      </c>
      <c r="Q187" t="s">
        <v>30</v>
      </c>
    </row>
    <row r="188" spans="1:17" x14ac:dyDescent="0.25">
      <c r="A188" t="s">
        <v>819</v>
      </c>
      <c r="B188">
        <v>128792</v>
      </c>
      <c r="C188" t="s">
        <v>622</v>
      </c>
      <c r="D188" t="s">
        <v>19</v>
      </c>
      <c r="E188" t="s">
        <v>260</v>
      </c>
      <c r="F188" t="s">
        <v>21</v>
      </c>
      <c r="G188" t="s">
        <v>22</v>
      </c>
      <c r="H188" t="s">
        <v>820</v>
      </c>
      <c r="I188" t="s">
        <v>821</v>
      </c>
      <c r="J188">
        <v>10</v>
      </c>
      <c r="K188" t="s">
        <v>211</v>
      </c>
      <c r="L188" t="s">
        <v>548</v>
      </c>
      <c r="M188" t="s">
        <v>308</v>
      </c>
      <c r="N188" t="s">
        <v>493</v>
      </c>
      <c r="O188" t="s">
        <v>290</v>
      </c>
      <c r="P188" t="s">
        <v>29</v>
      </c>
      <c r="Q188" t="s">
        <v>30</v>
      </c>
    </row>
    <row r="189" spans="1:17" x14ac:dyDescent="0.25">
      <c r="A189" t="s">
        <v>822</v>
      </c>
      <c r="B189">
        <v>128926</v>
      </c>
      <c r="C189" t="s">
        <v>823</v>
      </c>
      <c r="D189" t="s">
        <v>32</v>
      </c>
      <c r="E189" t="s">
        <v>130</v>
      </c>
      <c r="F189" t="s">
        <v>123</v>
      </c>
      <c r="G189" t="s">
        <v>22</v>
      </c>
      <c r="H189" t="s">
        <v>824</v>
      </c>
      <c r="I189" t="s">
        <v>825</v>
      </c>
      <c r="J189">
        <v>10</v>
      </c>
      <c r="K189" t="s">
        <v>211</v>
      </c>
      <c r="L189" t="s">
        <v>548</v>
      </c>
      <c r="M189" t="s">
        <v>127</v>
      </c>
      <c r="N189" t="s">
        <v>45</v>
      </c>
      <c r="O189" t="s">
        <v>591</v>
      </c>
      <c r="P189" t="s">
        <v>29</v>
      </c>
      <c r="Q189" t="s">
        <v>30</v>
      </c>
    </row>
    <row r="190" spans="1:17" x14ac:dyDescent="0.25">
      <c r="A190" t="s">
        <v>826</v>
      </c>
      <c r="B190">
        <v>126362</v>
      </c>
      <c r="C190" t="s">
        <v>450</v>
      </c>
      <c r="D190" t="s">
        <v>32</v>
      </c>
      <c r="E190" t="s">
        <v>62</v>
      </c>
      <c r="F190" t="s">
        <v>40</v>
      </c>
      <c r="G190" t="s">
        <v>22</v>
      </c>
      <c r="H190" t="s">
        <v>827</v>
      </c>
      <c r="I190" t="s">
        <v>828</v>
      </c>
      <c r="J190">
        <v>9</v>
      </c>
      <c r="K190" t="s">
        <v>25</v>
      </c>
      <c r="L190" t="s">
        <v>290</v>
      </c>
      <c r="M190" t="s">
        <v>89</v>
      </c>
      <c r="N190" t="s">
        <v>45</v>
      </c>
      <c r="O190" t="s">
        <v>620</v>
      </c>
      <c r="P190" t="s">
        <v>29</v>
      </c>
      <c r="Q190" t="s">
        <v>30</v>
      </c>
    </row>
    <row r="191" spans="1:17" x14ac:dyDescent="0.25">
      <c r="A191" t="s">
        <v>829</v>
      </c>
      <c r="B191">
        <v>126405</v>
      </c>
      <c r="C191" t="s">
        <v>285</v>
      </c>
      <c r="D191" t="s">
        <v>19</v>
      </c>
      <c r="E191" t="s">
        <v>33</v>
      </c>
      <c r="F191" t="s">
        <v>484</v>
      </c>
      <c r="G191" t="s">
        <v>22</v>
      </c>
      <c r="H191" t="s">
        <v>830</v>
      </c>
      <c r="I191" t="s">
        <v>831</v>
      </c>
      <c r="J191">
        <v>9</v>
      </c>
      <c r="K191" t="s">
        <v>25</v>
      </c>
      <c r="L191" t="s">
        <v>37</v>
      </c>
      <c r="M191" t="s">
        <v>544</v>
      </c>
      <c r="N191" t="s">
        <v>493</v>
      </c>
      <c r="O191" t="s">
        <v>145</v>
      </c>
      <c r="P191" t="s">
        <v>29</v>
      </c>
      <c r="Q191" t="s">
        <v>30</v>
      </c>
    </row>
    <row r="192" spans="1:17" x14ac:dyDescent="0.25">
      <c r="A192" t="s">
        <v>832</v>
      </c>
      <c r="B192">
        <v>127180</v>
      </c>
      <c r="C192" t="s">
        <v>61</v>
      </c>
      <c r="D192" t="s">
        <v>32</v>
      </c>
      <c r="E192" t="s">
        <v>260</v>
      </c>
      <c r="F192" t="s">
        <v>123</v>
      </c>
      <c r="G192" t="s">
        <v>22</v>
      </c>
      <c r="H192" t="s">
        <v>833</v>
      </c>
      <c r="I192" t="s">
        <v>834</v>
      </c>
      <c r="J192">
        <v>9</v>
      </c>
      <c r="K192" t="s">
        <v>25</v>
      </c>
      <c r="L192" t="s">
        <v>548</v>
      </c>
      <c r="M192" t="s">
        <v>504</v>
      </c>
      <c r="N192" t="s">
        <v>45</v>
      </c>
      <c r="O192" t="s">
        <v>77</v>
      </c>
      <c r="P192" t="s">
        <v>29</v>
      </c>
      <c r="Q192" t="s">
        <v>30</v>
      </c>
    </row>
    <row r="193" spans="1:17" x14ac:dyDescent="0.25">
      <c r="A193" t="s">
        <v>835</v>
      </c>
      <c r="B193">
        <v>110539</v>
      </c>
      <c r="C193" t="s">
        <v>646</v>
      </c>
      <c r="D193" t="s">
        <v>32</v>
      </c>
      <c r="E193" t="s">
        <v>20</v>
      </c>
      <c r="F193" t="s">
        <v>109</v>
      </c>
      <c r="G193" t="s">
        <v>22</v>
      </c>
      <c r="H193" t="s">
        <v>836</v>
      </c>
      <c r="I193" t="s">
        <v>837</v>
      </c>
      <c r="J193">
        <v>9</v>
      </c>
      <c r="K193" t="s">
        <v>25</v>
      </c>
      <c r="L193" t="s">
        <v>548</v>
      </c>
      <c r="M193" t="s">
        <v>536</v>
      </c>
      <c r="N193" t="s">
        <v>45</v>
      </c>
      <c r="O193" t="s">
        <v>77</v>
      </c>
      <c r="P193" t="s">
        <v>29</v>
      </c>
      <c r="Q193" t="s">
        <v>30</v>
      </c>
    </row>
    <row r="194" spans="1:17" x14ac:dyDescent="0.25">
      <c r="A194" t="s">
        <v>838</v>
      </c>
      <c r="B194">
        <v>127220</v>
      </c>
      <c r="C194" t="s">
        <v>68</v>
      </c>
      <c r="D194" t="s">
        <v>32</v>
      </c>
      <c r="E194" t="s">
        <v>33</v>
      </c>
      <c r="F194" t="s">
        <v>40</v>
      </c>
      <c r="G194" t="s">
        <v>22</v>
      </c>
      <c r="H194" t="s">
        <v>839</v>
      </c>
      <c r="I194" t="s">
        <v>840</v>
      </c>
      <c r="J194">
        <v>9</v>
      </c>
      <c r="K194" t="s">
        <v>25</v>
      </c>
      <c r="L194" t="s">
        <v>290</v>
      </c>
      <c r="M194" t="s">
        <v>89</v>
      </c>
      <c r="N194" t="s">
        <v>45</v>
      </c>
      <c r="O194" t="s">
        <v>199</v>
      </c>
      <c r="P194" t="s">
        <v>29</v>
      </c>
      <c r="Q194" t="s">
        <v>30</v>
      </c>
    </row>
    <row r="195" spans="1:17" x14ac:dyDescent="0.25">
      <c r="A195" t="s">
        <v>841</v>
      </c>
      <c r="B195">
        <v>127243</v>
      </c>
      <c r="C195" t="s">
        <v>68</v>
      </c>
      <c r="D195" t="s">
        <v>19</v>
      </c>
      <c r="E195" t="s">
        <v>20</v>
      </c>
      <c r="F195" t="s">
        <v>428</v>
      </c>
      <c r="G195" t="s">
        <v>22</v>
      </c>
      <c r="H195" t="s">
        <v>842</v>
      </c>
      <c r="I195" t="s">
        <v>843</v>
      </c>
      <c r="J195">
        <v>9</v>
      </c>
      <c r="K195" t="s">
        <v>211</v>
      </c>
      <c r="L195" t="s">
        <v>213</v>
      </c>
      <c r="M195" t="s">
        <v>724</v>
      </c>
      <c r="N195" t="s">
        <v>493</v>
      </c>
      <c r="O195" t="s">
        <v>77</v>
      </c>
      <c r="P195" t="s">
        <v>29</v>
      </c>
      <c r="Q195" t="s">
        <v>30</v>
      </c>
    </row>
    <row r="196" spans="1:17" x14ac:dyDescent="0.25">
      <c r="A196" t="s">
        <v>844</v>
      </c>
      <c r="B196">
        <v>124582</v>
      </c>
      <c r="C196" t="s">
        <v>614</v>
      </c>
      <c r="D196" t="s">
        <v>32</v>
      </c>
      <c r="E196" t="s">
        <v>20</v>
      </c>
      <c r="F196" t="s">
        <v>123</v>
      </c>
      <c r="G196" t="s">
        <v>394</v>
      </c>
      <c r="H196" t="s">
        <v>845</v>
      </c>
      <c r="I196" t="s">
        <v>846</v>
      </c>
      <c r="J196">
        <v>9</v>
      </c>
      <c r="K196" t="s">
        <v>25</v>
      </c>
      <c r="L196" t="s">
        <v>105</v>
      </c>
      <c r="M196" t="s">
        <v>605</v>
      </c>
      <c r="N196" t="s">
        <v>493</v>
      </c>
      <c r="O196" t="s">
        <v>620</v>
      </c>
      <c r="P196" t="s">
        <v>29</v>
      </c>
      <c r="Q196" t="s">
        <v>30</v>
      </c>
    </row>
    <row r="197" spans="1:17" x14ac:dyDescent="0.25">
      <c r="A197" t="s">
        <v>847</v>
      </c>
      <c r="B197">
        <v>102055</v>
      </c>
      <c r="C197" t="s">
        <v>54</v>
      </c>
      <c r="D197" t="s">
        <v>32</v>
      </c>
      <c r="E197" t="s">
        <v>33</v>
      </c>
      <c r="F197" t="s">
        <v>123</v>
      </c>
      <c r="G197" t="s">
        <v>22</v>
      </c>
      <c r="H197" t="s">
        <v>848</v>
      </c>
      <c r="I197" t="s">
        <v>849</v>
      </c>
      <c r="J197">
        <v>9</v>
      </c>
      <c r="K197" t="s">
        <v>112</v>
      </c>
      <c r="L197" t="s">
        <v>199</v>
      </c>
      <c r="M197" t="s">
        <v>89</v>
      </c>
      <c r="N197" t="s">
        <v>45</v>
      </c>
      <c r="O197" t="s">
        <v>612</v>
      </c>
      <c r="P197" t="s">
        <v>29</v>
      </c>
      <c r="Q197" t="s">
        <v>30</v>
      </c>
    </row>
    <row r="198" spans="1:17" x14ac:dyDescent="0.25">
      <c r="A198" t="s">
        <v>850</v>
      </c>
      <c r="B198">
        <v>2041</v>
      </c>
      <c r="C198" t="s">
        <v>851</v>
      </c>
      <c r="D198" t="s">
        <v>32</v>
      </c>
      <c r="E198" t="s">
        <v>754</v>
      </c>
      <c r="F198" t="s">
        <v>685</v>
      </c>
      <c r="G198" t="s">
        <v>394</v>
      </c>
      <c r="H198" t="s">
        <v>852</v>
      </c>
      <c r="I198" t="s">
        <v>853</v>
      </c>
      <c r="J198">
        <v>9</v>
      </c>
      <c r="K198" t="s">
        <v>25</v>
      </c>
      <c r="L198" t="s">
        <v>761</v>
      </c>
      <c r="M198" t="s">
        <v>688</v>
      </c>
      <c r="N198" t="s">
        <v>493</v>
      </c>
      <c r="O198" t="s">
        <v>620</v>
      </c>
      <c r="P198" t="s">
        <v>29</v>
      </c>
      <c r="Q198" t="s">
        <v>30</v>
      </c>
    </row>
    <row r="199" spans="1:17" x14ac:dyDescent="0.25">
      <c r="A199" t="s">
        <v>854</v>
      </c>
      <c r="B199">
        <v>128545</v>
      </c>
      <c r="C199" t="s">
        <v>353</v>
      </c>
      <c r="D199" t="s">
        <v>19</v>
      </c>
      <c r="E199" t="s">
        <v>62</v>
      </c>
      <c r="F199" t="s">
        <v>109</v>
      </c>
      <c r="G199" t="s">
        <v>22</v>
      </c>
      <c r="H199" t="s">
        <v>855</v>
      </c>
      <c r="I199" t="s">
        <v>856</v>
      </c>
      <c r="J199">
        <v>9</v>
      </c>
      <c r="K199" t="s">
        <v>25</v>
      </c>
      <c r="L199" t="s">
        <v>548</v>
      </c>
      <c r="M199" t="s">
        <v>178</v>
      </c>
      <c r="N199" t="s">
        <v>493</v>
      </c>
      <c r="O199" t="s">
        <v>290</v>
      </c>
      <c r="P199" t="s">
        <v>29</v>
      </c>
      <c r="Q199" t="s">
        <v>30</v>
      </c>
    </row>
    <row r="200" spans="1:17" x14ac:dyDescent="0.25">
      <c r="A200" t="s">
        <v>857</v>
      </c>
      <c r="B200">
        <v>128572</v>
      </c>
      <c r="C200" t="s">
        <v>474</v>
      </c>
      <c r="D200" t="s">
        <v>32</v>
      </c>
      <c r="E200" t="s">
        <v>130</v>
      </c>
      <c r="F200" t="s">
        <v>123</v>
      </c>
      <c r="G200" t="s">
        <v>22</v>
      </c>
      <c r="H200" t="s">
        <v>858</v>
      </c>
      <c r="I200" t="s">
        <v>859</v>
      </c>
      <c r="J200">
        <v>9</v>
      </c>
      <c r="K200" t="s">
        <v>25</v>
      </c>
      <c r="L200" t="s">
        <v>161</v>
      </c>
      <c r="M200" t="s">
        <v>127</v>
      </c>
      <c r="N200" t="s">
        <v>493</v>
      </c>
      <c r="O200" t="s">
        <v>548</v>
      </c>
      <c r="P200" t="s">
        <v>29</v>
      </c>
      <c r="Q200" t="s">
        <v>30</v>
      </c>
    </row>
    <row r="201" spans="1:17" x14ac:dyDescent="0.25">
      <c r="A201" t="s">
        <v>705</v>
      </c>
      <c r="B201">
        <v>126174</v>
      </c>
      <c r="C201" t="s">
        <v>353</v>
      </c>
      <c r="D201" t="s">
        <v>19</v>
      </c>
      <c r="E201" t="s">
        <v>33</v>
      </c>
      <c r="F201" t="s">
        <v>109</v>
      </c>
      <c r="G201" t="s">
        <v>22</v>
      </c>
      <c r="H201" t="s">
        <v>860</v>
      </c>
      <c r="I201" t="s">
        <v>861</v>
      </c>
      <c r="J201">
        <v>9</v>
      </c>
      <c r="K201" t="s">
        <v>25</v>
      </c>
      <c r="L201" t="s">
        <v>161</v>
      </c>
      <c r="M201" t="s">
        <v>536</v>
      </c>
      <c r="N201" t="s">
        <v>45</v>
      </c>
      <c r="O201" t="s">
        <v>290</v>
      </c>
      <c r="P201" t="s">
        <v>29</v>
      </c>
      <c r="Q201" t="s">
        <v>30</v>
      </c>
    </row>
    <row r="202" spans="1:17" x14ac:dyDescent="0.25">
      <c r="A202" t="s">
        <v>862</v>
      </c>
      <c r="B202">
        <v>106275</v>
      </c>
      <c r="C202" t="s">
        <v>863</v>
      </c>
      <c r="D202" t="s">
        <v>19</v>
      </c>
      <c r="E202" t="s">
        <v>33</v>
      </c>
      <c r="F202" t="s">
        <v>393</v>
      </c>
      <c r="G202" t="s">
        <v>394</v>
      </c>
      <c r="H202" t="s">
        <v>864</v>
      </c>
      <c r="I202" t="s">
        <v>865</v>
      </c>
      <c r="J202">
        <v>9</v>
      </c>
      <c r="K202" t="s">
        <v>211</v>
      </c>
      <c r="L202" t="s">
        <v>866</v>
      </c>
      <c r="M202" t="s">
        <v>867</v>
      </c>
      <c r="N202" t="s">
        <v>493</v>
      </c>
      <c r="O202" t="s">
        <v>620</v>
      </c>
      <c r="P202" t="s">
        <v>29</v>
      </c>
      <c r="Q202" t="s">
        <v>30</v>
      </c>
    </row>
    <row r="203" spans="1:17" x14ac:dyDescent="0.25">
      <c r="A203" t="s">
        <v>868</v>
      </c>
      <c r="B203">
        <v>80132</v>
      </c>
      <c r="C203" t="s">
        <v>869</v>
      </c>
      <c r="D203" t="s">
        <v>19</v>
      </c>
      <c r="E203" t="s">
        <v>20</v>
      </c>
      <c r="F203" t="s">
        <v>428</v>
      </c>
      <c r="G203" t="s">
        <v>394</v>
      </c>
      <c r="H203" t="s">
        <v>870</v>
      </c>
      <c r="I203" t="s">
        <v>871</v>
      </c>
      <c r="J203">
        <v>9</v>
      </c>
      <c r="K203" t="s">
        <v>25</v>
      </c>
      <c r="L203" t="s">
        <v>872</v>
      </c>
      <c r="M203" t="s">
        <v>166</v>
      </c>
      <c r="N203" t="s">
        <v>493</v>
      </c>
      <c r="O203" t="s">
        <v>591</v>
      </c>
      <c r="P203" t="s">
        <v>29</v>
      </c>
      <c r="Q203" t="s">
        <v>30</v>
      </c>
    </row>
    <row r="204" spans="1:17" x14ac:dyDescent="0.25">
      <c r="A204" t="s">
        <v>873</v>
      </c>
      <c r="B204">
        <v>129074</v>
      </c>
      <c r="C204" t="s">
        <v>718</v>
      </c>
      <c r="D204" t="s">
        <v>19</v>
      </c>
      <c r="E204" t="s">
        <v>20</v>
      </c>
      <c r="F204" t="s">
        <v>428</v>
      </c>
      <c r="G204" t="s">
        <v>22</v>
      </c>
      <c r="H204" t="s">
        <v>874</v>
      </c>
      <c r="I204" t="s">
        <v>875</v>
      </c>
      <c r="J204">
        <v>9</v>
      </c>
      <c r="K204" t="s">
        <v>112</v>
      </c>
      <c r="L204" t="s">
        <v>661</v>
      </c>
      <c r="M204" t="s">
        <v>586</v>
      </c>
      <c r="N204" t="s">
        <v>876</v>
      </c>
      <c r="O204" t="s">
        <v>591</v>
      </c>
      <c r="P204" t="s">
        <v>29</v>
      </c>
      <c r="Q204" t="s">
        <v>30</v>
      </c>
    </row>
    <row r="205" spans="1:17" x14ac:dyDescent="0.25">
      <c r="A205" t="s">
        <v>877</v>
      </c>
      <c r="B205">
        <v>126289</v>
      </c>
      <c r="C205" t="s">
        <v>61</v>
      </c>
      <c r="D205" t="s">
        <v>32</v>
      </c>
      <c r="E205" t="s">
        <v>62</v>
      </c>
      <c r="F205" t="s">
        <v>40</v>
      </c>
      <c r="G205" t="s">
        <v>22</v>
      </c>
      <c r="H205" t="s">
        <v>878</v>
      </c>
      <c r="I205" t="s">
        <v>879</v>
      </c>
      <c r="J205">
        <v>8</v>
      </c>
      <c r="K205" t="s">
        <v>25</v>
      </c>
      <c r="L205" t="s">
        <v>290</v>
      </c>
      <c r="M205" t="s">
        <v>89</v>
      </c>
      <c r="N205" t="s">
        <v>45</v>
      </c>
      <c r="O205" t="s">
        <v>620</v>
      </c>
      <c r="P205" t="s">
        <v>29</v>
      </c>
      <c r="Q205" t="s">
        <v>30</v>
      </c>
    </row>
    <row r="206" spans="1:17" x14ac:dyDescent="0.25">
      <c r="A206" t="s">
        <v>880</v>
      </c>
      <c r="B206">
        <v>126353</v>
      </c>
      <c r="C206" t="s">
        <v>622</v>
      </c>
      <c r="D206" t="s">
        <v>32</v>
      </c>
      <c r="E206" t="s">
        <v>62</v>
      </c>
      <c r="F206" t="s">
        <v>21</v>
      </c>
      <c r="G206" t="s">
        <v>22</v>
      </c>
      <c r="H206" t="s">
        <v>881</v>
      </c>
      <c r="I206" t="s">
        <v>882</v>
      </c>
      <c r="J206">
        <v>8</v>
      </c>
      <c r="K206" t="s">
        <v>25</v>
      </c>
      <c r="L206" t="s">
        <v>661</v>
      </c>
      <c r="M206" t="s">
        <v>387</v>
      </c>
      <c r="N206" t="s">
        <v>45</v>
      </c>
      <c r="O206" t="s">
        <v>356</v>
      </c>
      <c r="P206" t="s">
        <v>29</v>
      </c>
      <c r="Q206" t="s">
        <v>30</v>
      </c>
    </row>
    <row r="207" spans="1:17" x14ac:dyDescent="0.25">
      <c r="A207" t="s">
        <v>883</v>
      </c>
      <c r="B207">
        <v>60471</v>
      </c>
      <c r="C207" t="s">
        <v>884</v>
      </c>
      <c r="D207" t="s">
        <v>19</v>
      </c>
      <c r="E207" t="s">
        <v>227</v>
      </c>
      <c r="F207" t="s">
        <v>484</v>
      </c>
      <c r="G207" t="s">
        <v>22</v>
      </c>
      <c r="H207" t="s">
        <v>885</v>
      </c>
      <c r="I207" t="s">
        <v>886</v>
      </c>
      <c r="J207">
        <v>8</v>
      </c>
      <c r="K207" t="s">
        <v>25</v>
      </c>
      <c r="L207" t="s">
        <v>590</v>
      </c>
      <c r="M207" t="s">
        <v>652</v>
      </c>
      <c r="N207" t="s">
        <v>45</v>
      </c>
      <c r="O207" t="s">
        <v>145</v>
      </c>
      <c r="P207" t="s">
        <v>29</v>
      </c>
      <c r="Q207" t="s">
        <v>30</v>
      </c>
    </row>
    <row r="208" spans="1:17" x14ac:dyDescent="0.25">
      <c r="A208" t="s">
        <v>887</v>
      </c>
      <c r="B208">
        <v>126600</v>
      </c>
      <c r="C208" t="s">
        <v>541</v>
      </c>
      <c r="D208" t="s">
        <v>32</v>
      </c>
      <c r="E208" t="s">
        <v>33</v>
      </c>
      <c r="F208" t="s">
        <v>700</v>
      </c>
      <c r="G208" t="s">
        <v>22</v>
      </c>
      <c r="H208" t="s">
        <v>888</v>
      </c>
      <c r="I208" t="s">
        <v>889</v>
      </c>
      <c r="J208">
        <v>8</v>
      </c>
      <c r="K208" t="s">
        <v>25</v>
      </c>
      <c r="L208" t="s">
        <v>612</v>
      </c>
      <c r="M208" t="s">
        <v>219</v>
      </c>
      <c r="N208" t="s">
        <v>493</v>
      </c>
      <c r="O208" t="s">
        <v>591</v>
      </c>
      <c r="P208" t="s">
        <v>29</v>
      </c>
      <c r="Q208" t="s">
        <v>30</v>
      </c>
    </row>
    <row r="209" spans="1:17" x14ac:dyDescent="0.25">
      <c r="A209" t="s">
        <v>890</v>
      </c>
      <c r="B209">
        <v>29719</v>
      </c>
      <c r="C209" t="s">
        <v>778</v>
      </c>
      <c r="D209" t="s">
        <v>19</v>
      </c>
      <c r="E209" t="s">
        <v>227</v>
      </c>
      <c r="F209" t="s">
        <v>685</v>
      </c>
      <c r="G209" t="s">
        <v>394</v>
      </c>
      <c r="H209" t="s">
        <v>891</v>
      </c>
      <c r="I209" t="s">
        <v>892</v>
      </c>
      <c r="J209">
        <v>8</v>
      </c>
      <c r="K209" t="s">
        <v>211</v>
      </c>
      <c r="L209" t="s">
        <v>716</v>
      </c>
      <c r="M209" t="s">
        <v>398</v>
      </c>
      <c r="N209" t="s">
        <v>493</v>
      </c>
      <c r="O209" t="s">
        <v>683</v>
      </c>
      <c r="P209" t="s">
        <v>29</v>
      </c>
      <c r="Q209" t="s">
        <v>30</v>
      </c>
    </row>
    <row r="210" spans="1:17" x14ac:dyDescent="0.25">
      <c r="A210" t="s">
        <v>893</v>
      </c>
      <c r="B210">
        <v>126949</v>
      </c>
      <c r="C210" t="s">
        <v>641</v>
      </c>
      <c r="D210" t="s">
        <v>32</v>
      </c>
      <c r="E210" t="s">
        <v>20</v>
      </c>
      <c r="F210" t="s">
        <v>123</v>
      </c>
      <c r="G210" t="s">
        <v>22</v>
      </c>
      <c r="H210" t="s">
        <v>894</v>
      </c>
      <c r="I210" t="s">
        <v>895</v>
      </c>
      <c r="J210">
        <v>8</v>
      </c>
      <c r="K210" t="s">
        <v>25</v>
      </c>
      <c r="L210" t="s">
        <v>604</v>
      </c>
      <c r="M210" t="s">
        <v>304</v>
      </c>
      <c r="N210" t="s">
        <v>493</v>
      </c>
      <c r="O210" t="s">
        <v>548</v>
      </c>
      <c r="P210" t="s">
        <v>29</v>
      </c>
      <c r="Q210" t="s">
        <v>30</v>
      </c>
    </row>
    <row r="211" spans="1:17" x14ac:dyDescent="0.25">
      <c r="A211" t="s">
        <v>896</v>
      </c>
      <c r="B211">
        <v>127022</v>
      </c>
      <c r="C211" t="s">
        <v>601</v>
      </c>
      <c r="D211" t="s">
        <v>32</v>
      </c>
      <c r="E211" t="s">
        <v>62</v>
      </c>
      <c r="F211" t="s">
        <v>123</v>
      </c>
      <c r="G211" t="s">
        <v>22</v>
      </c>
      <c r="H211" t="s">
        <v>897</v>
      </c>
      <c r="I211" t="s">
        <v>898</v>
      </c>
      <c r="J211">
        <v>8</v>
      </c>
      <c r="K211" t="s">
        <v>25</v>
      </c>
      <c r="L211" t="s">
        <v>77</v>
      </c>
      <c r="M211" t="s">
        <v>212</v>
      </c>
      <c r="N211" t="s">
        <v>28</v>
      </c>
      <c r="O211" t="s">
        <v>548</v>
      </c>
      <c r="P211" t="s">
        <v>29</v>
      </c>
      <c r="Q211" t="s">
        <v>30</v>
      </c>
    </row>
    <row r="212" spans="1:17" x14ac:dyDescent="0.25">
      <c r="A212" t="s">
        <v>899</v>
      </c>
      <c r="B212">
        <v>127203</v>
      </c>
      <c r="C212" t="s">
        <v>86</v>
      </c>
      <c r="D212" t="s">
        <v>32</v>
      </c>
      <c r="E212" t="s">
        <v>33</v>
      </c>
      <c r="F212" t="s">
        <v>40</v>
      </c>
      <c r="G212" t="s">
        <v>22</v>
      </c>
      <c r="H212" t="s">
        <v>900</v>
      </c>
      <c r="I212" t="s">
        <v>901</v>
      </c>
      <c r="J212">
        <v>8</v>
      </c>
      <c r="K212" t="s">
        <v>25</v>
      </c>
      <c r="L212" t="s">
        <v>290</v>
      </c>
      <c r="M212" t="s">
        <v>78</v>
      </c>
      <c r="N212" t="s">
        <v>493</v>
      </c>
      <c r="O212" t="s">
        <v>620</v>
      </c>
      <c r="P212" t="s">
        <v>29</v>
      </c>
      <c r="Q212" t="s">
        <v>30</v>
      </c>
    </row>
    <row r="213" spans="1:17" x14ac:dyDescent="0.25">
      <c r="A213" t="s">
        <v>902</v>
      </c>
      <c r="B213">
        <v>127245</v>
      </c>
      <c r="C213" t="s">
        <v>903</v>
      </c>
      <c r="D213" t="s">
        <v>19</v>
      </c>
      <c r="E213" t="s">
        <v>33</v>
      </c>
      <c r="F213" t="s">
        <v>109</v>
      </c>
      <c r="G213" t="s">
        <v>22</v>
      </c>
      <c r="H213" t="s">
        <v>904</v>
      </c>
      <c r="I213" t="s">
        <v>905</v>
      </c>
      <c r="J213">
        <v>8</v>
      </c>
      <c r="K213" t="s">
        <v>25</v>
      </c>
      <c r="L213" t="s">
        <v>213</v>
      </c>
      <c r="M213" t="s">
        <v>906</v>
      </c>
      <c r="N213" t="s">
        <v>28</v>
      </c>
      <c r="O213" t="s">
        <v>77</v>
      </c>
      <c r="P213" t="s">
        <v>29</v>
      </c>
      <c r="Q213" t="s">
        <v>30</v>
      </c>
    </row>
    <row r="214" spans="1:17" x14ac:dyDescent="0.25">
      <c r="A214" t="s">
        <v>907</v>
      </c>
      <c r="B214">
        <v>123126</v>
      </c>
      <c r="C214" t="s">
        <v>641</v>
      </c>
      <c r="D214" t="s">
        <v>19</v>
      </c>
      <c r="E214" t="s">
        <v>33</v>
      </c>
      <c r="F214" t="s">
        <v>428</v>
      </c>
      <c r="G214" t="s">
        <v>22</v>
      </c>
      <c r="H214" t="s">
        <v>908</v>
      </c>
      <c r="I214" t="s">
        <v>909</v>
      </c>
      <c r="J214">
        <v>8</v>
      </c>
      <c r="K214" t="s">
        <v>25</v>
      </c>
      <c r="L214" t="s">
        <v>77</v>
      </c>
      <c r="M214" t="s">
        <v>910</v>
      </c>
      <c r="N214" t="s">
        <v>45</v>
      </c>
      <c r="O214" t="s">
        <v>77</v>
      </c>
      <c r="P214" t="s">
        <v>29</v>
      </c>
      <c r="Q214" t="s">
        <v>30</v>
      </c>
    </row>
    <row r="215" spans="1:17" x14ac:dyDescent="0.25">
      <c r="A215" t="s">
        <v>911</v>
      </c>
      <c r="B215">
        <v>127796</v>
      </c>
      <c r="C215" t="s">
        <v>147</v>
      </c>
      <c r="D215" t="s">
        <v>32</v>
      </c>
      <c r="E215" t="s">
        <v>33</v>
      </c>
      <c r="F215" t="s">
        <v>40</v>
      </c>
      <c r="G215" t="s">
        <v>22</v>
      </c>
      <c r="H215" t="s">
        <v>912</v>
      </c>
      <c r="I215" t="s">
        <v>913</v>
      </c>
      <c r="J215">
        <v>8</v>
      </c>
      <c r="K215" t="s">
        <v>25</v>
      </c>
      <c r="L215" t="s">
        <v>444</v>
      </c>
      <c r="M215" t="s">
        <v>71</v>
      </c>
      <c r="N215" t="s">
        <v>45</v>
      </c>
      <c r="O215" t="s">
        <v>199</v>
      </c>
      <c r="P215" t="s">
        <v>29</v>
      </c>
      <c r="Q215" t="s">
        <v>30</v>
      </c>
    </row>
    <row r="216" spans="1:17" x14ac:dyDescent="0.25">
      <c r="A216" t="s">
        <v>914</v>
      </c>
      <c r="B216">
        <v>6603</v>
      </c>
      <c r="C216" t="s">
        <v>572</v>
      </c>
      <c r="D216" t="s">
        <v>32</v>
      </c>
      <c r="E216" t="s">
        <v>33</v>
      </c>
      <c r="F216" t="s">
        <v>685</v>
      </c>
      <c r="G216" t="s">
        <v>394</v>
      </c>
      <c r="H216" t="s">
        <v>915</v>
      </c>
      <c r="I216" t="s">
        <v>916</v>
      </c>
      <c r="J216">
        <v>8</v>
      </c>
      <c r="K216" t="s">
        <v>25</v>
      </c>
      <c r="L216" t="s">
        <v>761</v>
      </c>
      <c r="M216" t="s">
        <v>36</v>
      </c>
      <c r="N216" t="s">
        <v>493</v>
      </c>
      <c r="O216" t="s">
        <v>620</v>
      </c>
      <c r="P216" t="s">
        <v>29</v>
      </c>
      <c r="Q216" t="s">
        <v>30</v>
      </c>
    </row>
    <row r="217" spans="1:17" x14ac:dyDescent="0.25">
      <c r="A217" t="s">
        <v>917</v>
      </c>
      <c r="B217">
        <v>128170</v>
      </c>
      <c r="C217" t="s">
        <v>122</v>
      </c>
      <c r="D217" t="s">
        <v>19</v>
      </c>
      <c r="E217" t="s">
        <v>62</v>
      </c>
      <c r="F217" t="s">
        <v>763</v>
      </c>
      <c r="G217" t="s">
        <v>22</v>
      </c>
      <c r="H217" t="s">
        <v>918</v>
      </c>
      <c r="I217" t="s">
        <v>919</v>
      </c>
      <c r="J217">
        <v>8</v>
      </c>
      <c r="K217" t="s">
        <v>211</v>
      </c>
      <c r="L217" t="s">
        <v>604</v>
      </c>
      <c r="M217" t="s">
        <v>920</v>
      </c>
      <c r="N217" t="s">
        <v>493</v>
      </c>
      <c r="O217" t="s">
        <v>767</v>
      </c>
      <c r="P217" t="s">
        <v>29</v>
      </c>
      <c r="Q217" t="s">
        <v>30</v>
      </c>
    </row>
    <row r="218" spans="1:17" x14ac:dyDescent="0.25">
      <c r="A218" t="s">
        <v>921</v>
      </c>
      <c r="B218">
        <v>128416</v>
      </c>
      <c r="C218" t="s">
        <v>922</v>
      </c>
      <c r="D218" t="s">
        <v>32</v>
      </c>
      <c r="E218" t="s">
        <v>62</v>
      </c>
      <c r="F218" t="s">
        <v>700</v>
      </c>
      <c r="G218" t="s">
        <v>22</v>
      </c>
      <c r="H218" t="s">
        <v>923</v>
      </c>
      <c r="I218" t="s">
        <v>924</v>
      </c>
      <c r="J218">
        <v>8</v>
      </c>
      <c r="K218" t="s">
        <v>25</v>
      </c>
      <c r="L218" t="s">
        <v>548</v>
      </c>
      <c r="M218" t="s">
        <v>925</v>
      </c>
      <c r="N218" t="s">
        <v>45</v>
      </c>
      <c r="O218" t="s">
        <v>761</v>
      </c>
      <c r="P218" t="s">
        <v>29</v>
      </c>
      <c r="Q218" t="s">
        <v>30</v>
      </c>
    </row>
    <row r="219" spans="1:17" x14ac:dyDescent="0.25">
      <c r="A219" t="s">
        <v>926</v>
      </c>
      <c r="B219">
        <v>128468</v>
      </c>
      <c r="C219" t="s">
        <v>39</v>
      </c>
      <c r="D219" t="s">
        <v>32</v>
      </c>
      <c r="E219" t="s">
        <v>33</v>
      </c>
      <c r="F219" t="s">
        <v>123</v>
      </c>
      <c r="G219" t="s">
        <v>22</v>
      </c>
      <c r="H219" t="s">
        <v>927</v>
      </c>
      <c r="I219" t="s">
        <v>928</v>
      </c>
      <c r="J219">
        <v>8</v>
      </c>
      <c r="K219" t="s">
        <v>25</v>
      </c>
      <c r="L219" t="s">
        <v>761</v>
      </c>
      <c r="M219" t="s">
        <v>929</v>
      </c>
      <c r="N219" t="s">
        <v>45</v>
      </c>
      <c r="O219" t="s">
        <v>591</v>
      </c>
      <c r="P219" t="s">
        <v>29</v>
      </c>
      <c r="Q219" t="s">
        <v>30</v>
      </c>
    </row>
    <row r="220" spans="1:17" x14ac:dyDescent="0.25">
      <c r="A220" t="s">
        <v>930</v>
      </c>
      <c r="B220">
        <v>128546</v>
      </c>
      <c r="C220" t="s">
        <v>18</v>
      </c>
      <c r="D220" t="s">
        <v>19</v>
      </c>
      <c r="E220" t="s">
        <v>33</v>
      </c>
      <c r="F220" t="s">
        <v>109</v>
      </c>
      <c r="G220" t="s">
        <v>22</v>
      </c>
      <c r="H220" t="s">
        <v>931</v>
      </c>
      <c r="I220" t="s">
        <v>932</v>
      </c>
      <c r="J220">
        <v>8</v>
      </c>
      <c r="K220" t="s">
        <v>112</v>
      </c>
      <c r="L220" t="s">
        <v>37</v>
      </c>
      <c r="M220" t="s">
        <v>178</v>
      </c>
      <c r="N220" t="s">
        <v>493</v>
      </c>
      <c r="O220" t="s">
        <v>290</v>
      </c>
      <c r="P220" t="s">
        <v>29</v>
      </c>
      <c r="Q220" t="s">
        <v>30</v>
      </c>
    </row>
    <row r="221" spans="1:17" x14ac:dyDescent="0.25">
      <c r="A221" t="s">
        <v>933</v>
      </c>
      <c r="B221">
        <v>128786</v>
      </c>
      <c r="C221" t="s">
        <v>572</v>
      </c>
      <c r="D221" t="s">
        <v>32</v>
      </c>
      <c r="E221" t="s">
        <v>33</v>
      </c>
      <c r="F221" t="s">
        <v>700</v>
      </c>
      <c r="G221" t="s">
        <v>22</v>
      </c>
      <c r="H221" t="s">
        <v>934</v>
      </c>
      <c r="I221" t="s">
        <v>935</v>
      </c>
      <c r="J221">
        <v>8</v>
      </c>
      <c r="K221" t="s">
        <v>25</v>
      </c>
      <c r="L221" t="s">
        <v>126</v>
      </c>
      <c r="M221" t="s">
        <v>36</v>
      </c>
      <c r="N221" t="s">
        <v>493</v>
      </c>
      <c r="O221" t="s">
        <v>761</v>
      </c>
      <c r="P221" t="s">
        <v>29</v>
      </c>
      <c r="Q221" t="s">
        <v>30</v>
      </c>
    </row>
    <row r="222" spans="1:17" x14ac:dyDescent="0.25">
      <c r="A222" t="s">
        <v>936</v>
      </c>
      <c r="B222">
        <v>32062</v>
      </c>
      <c r="C222" t="s">
        <v>215</v>
      </c>
      <c r="D222" t="s">
        <v>32</v>
      </c>
      <c r="E222" t="s">
        <v>227</v>
      </c>
      <c r="F222" t="s">
        <v>123</v>
      </c>
      <c r="G222" t="s">
        <v>22</v>
      </c>
      <c r="H222" t="s">
        <v>937</v>
      </c>
      <c r="I222" t="s">
        <v>938</v>
      </c>
      <c r="J222">
        <v>8</v>
      </c>
      <c r="K222" t="s">
        <v>25</v>
      </c>
      <c r="L222" t="s">
        <v>243</v>
      </c>
      <c r="M222" t="s">
        <v>939</v>
      </c>
      <c r="N222" t="s">
        <v>45</v>
      </c>
      <c r="O222" t="s">
        <v>548</v>
      </c>
      <c r="P222" t="s">
        <v>29</v>
      </c>
      <c r="Q222" t="s">
        <v>30</v>
      </c>
    </row>
    <row r="223" spans="1:17" x14ac:dyDescent="0.25">
      <c r="A223" t="s">
        <v>940</v>
      </c>
      <c r="B223">
        <v>129087</v>
      </c>
      <c r="C223" t="s">
        <v>622</v>
      </c>
      <c r="D223" t="s">
        <v>32</v>
      </c>
      <c r="E223" t="s">
        <v>260</v>
      </c>
      <c r="F223" t="s">
        <v>21</v>
      </c>
      <c r="G223" t="s">
        <v>22</v>
      </c>
      <c r="H223" t="s">
        <v>941</v>
      </c>
      <c r="I223" t="s">
        <v>942</v>
      </c>
      <c r="J223">
        <v>8</v>
      </c>
      <c r="K223" t="s">
        <v>112</v>
      </c>
      <c r="L223" t="s">
        <v>290</v>
      </c>
      <c r="M223" t="s">
        <v>943</v>
      </c>
      <c r="N223" t="s">
        <v>493</v>
      </c>
      <c r="O223" t="s">
        <v>77</v>
      </c>
      <c r="P223" t="s">
        <v>29</v>
      </c>
      <c r="Q223" t="s">
        <v>30</v>
      </c>
    </row>
    <row r="224" spans="1:17" x14ac:dyDescent="0.25">
      <c r="A224" t="s">
        <v>944</v>
      </c>
      <c r="B224">
        <v>129181</v>
      </c>
      <c r="C224" t="s">
        <v>454</v>
      </c>
      <c r="D224" t="s">
        <v>19</v>
      </c>
      <c r="E224" t="s">
        <v>62</v>
      </c>
      <c r="F224" t="s">
        <v>109</v>
      </c>
      <c r="G224" t="s">
        <v>22</v>
      </c>
      <c r="H224" t="s">
        <v>945</v>
      </c>
      <c r="I224" t="s">
        <v>946</v>
      </c>
      <c r="J224">
        <v>8</v>
      </c>
      <c r="K224" t="s">
        <v>25</v>
      </c>
      <c r="L224" t="s">
        <v>288</v>
      </c>
      <c r="M224" t="s">
        <v>811</v>
      </c>
      <c r="N224" t="s">
        <v>45</v>
      </c>
      <c r="O224" t="s">
        <v>290</v>
      </c>
      <c r="P224" t="s">
        <v>29</v>
      </c>
      <c r="Q224" t="s">
        <v>30</v>
      </c>
    </row>
    <row r="225" spans="1:17" x14ac:dyDescent="0.25">
      <c r="A225" t="s">
        <v>947</v>
      </c>
      <c r="B225">
        <v>129306</v>
      </c>
      <c r="C225" t="s">
        <v>948</v>
      </c>
      <c r="D225" t="s">
        <v>19</v>
      </c>
      <c r="E225" t="s">
        <v>33</v>
      </c>
      <c r="F225" t="s">
        <v>484</v>
      </c>
      <c r="G225" t="s">
        <v>22</v>
      </c>
      <c r="H225" t="s">
        <v>949</v>
      </c>
      <c r="I225" t="s">
        <v>950</v>
      </c>
      <c r="J225">
        <v>8</v>
      </c>
      <c r="K225" t="s">
        <v>25</v>
      </c>
      <c r="L225" t="s">
        <v>661</v>
      </c>
      <c r="M225" t="s">
        <v>951</v>
      </c>
      <c r="N225" t="s">
        <v>45</v>
      </c>
      <c r="O225" t="s">
        <v>620</v>
      </c>
      <c r="P225" t="s">
        <v>29</v>
      </c>
      <c r="Q225" t="s">
        <v>30</v>
      </c>
    </row>
    <row r="226" spans="1:17" x14ac:dyDescent="0.25">
      <c r="A226" t="s">
        <v>952</v>
      </c>
      <c r="B226">
        <v>126535</v>
      </c>
      <c r="C226" t="s">
        <v>361</v>
      </c>
      <c r="D226" t="s">
        <v>32</v>
      </c>
      <c r="E226" t="s">
        <v>260</v>
      </c>
      <c r="F226" t="s">
        <v>123</v>
      </c>
      <c r="G226" t="s">
        <v>22</v>
      </c>
      <c r="H226" t="s">
        <v>953</v>
      </c>
      <c r="I226" t="s">
        <v>954</v>
      </c>
      <c r="J226">
        <v>7</v>
      </c>
      <c r="K226" t="s">
        <v>25</v>
      </c>
      <c r="L226" t="s">
        <v>213</v>
      </c>
      <c r="M226" t="s">
        <v>929</v>
      </c>
      <c r="N226" t="s">
        <v>493</v>
      </c>
      <c r="O226" t="s">
        <v>548</v>
      </c>
      <c r="P226" t="s">
        <v>29</v>
      </c>
      <c r="Q226" t="s">
        <v>30</v>
      </c>
    </row>
    <row r="227" spans="1:17" x14ac:dyDescent="0.25">
      <c r="A227" t="s">
        <v>955</v>
      </c>
      <c r="B227">
        <v>126553</v>
      </c>
      <c r="C227" t="s">
        <v>400</v>
      </c>
      <c r="D227" t="s">
        <v>32</v>
      </c>
      <c r="E227" t="s">
        <v>33</v>
      </c>
      <c r="F227" t="s">
        <v>40</v>
      </c>
      <c r="G227" t="s">
        <v>22</v>
      </c>
      <c r="H227" t="s">
        <v>956</v>
      </c>
      <c r="I227" t="s">
        <v>957</v>
      </c>
      <c r="J227">
        <v>7</v>
      </c>
      <c r="K227" t="s">
        <v>25</v>
      </c>
      <c r="L227" t="s">
        <v>620</v>
      </c>
      <c r="M227" t="s">
        <v>958</v>
      </c>
      <c r="N227" t="s">
        <v>45</v>
      </c>
      <c r="O227" t="s">
        <v>290</v>
      </c>
      <c r="P227" t="s">
        <v>29</v>
      </c>
      <c r="Q227" t="s">
        <v>30</v>
      </c>
    </row>
    <row r="228" spans="1:17" x14ac:dyDescent="0.25">
      <c r="A228" t="s">
        <v>959</v>
      </c>
      <c r="B228">
        <v>126572</v>
      </c>
      <c r="C228" t="s">
        <v>181</v>
      </c>
      <c r="D228" t="s">
        <v>32</v>
      </c>
      <c r="E228" t="s">
        <v>33</v>
      </c>
      <c r="F228" t="s">
        <v>109</v>
      </c>
      <c r="G228" t="s">
        <v>22</v>
      </c>
      <c r="H228" t="s">
        <v>960</v>
      </c>
      <c r="I228" t="s">
        <v>961</v>
      </c>
      <c r="J228">
        <v>7</v>
      </c>
      <c r="K228" t="s">
        <v>25</v>
      </c>
      <c r="L228" t="s">
        <v>548</v>
      </c>
      <c r="M228" t="s">
        <v>962</v>
      </c>
      <c r="N228" t="s">
        <v>493</v>
      </c>
      <c r="O228" t="s">
        <v>661</v>
      </c>
      <c r="P228" t="s">
        <v>29</v>
      </c>
      <c r="Q228" t="s">
        <v>30</v>
      </c>
    </row>
    <row r="229" spans="1:17" x14ac:dyDescent="0.25">
      <c r="A229" t="s">
        <v>963</v>
      </c>
      <c r="B229">
        <v>92538</v>
      </c>
      <c r="C229" t="s">
        <v>964</v>
      </c>
      <c r="D229" t="s">
        <v>19</v>
      </c>
      <c r="E229" t="s">
        <v>20</v>
      </c>
      <c r="F229" t="s">
        <v>484</v>
      </c>
      <c r="G229" t="s">
        <v>22</v>
      </c>
      <c r="H229" t="s">
        <v>965</v>
      </c>
      <c r="I229" t="s">
        <v>966</v>
      </c>
      <c r="J229">
        <v>7</v>
      </c>
      <c r="K229" t="s">
        <v>211</v>
      </c>
      <c r="L229" t="s">
        <v>761</v>
      </c>
      <c r="M229" t="s">
        <v>967</v>
      </c>
      <c r="N229" t="s">
        <v>493</v>
      </c>
      <c r="O229" t="s">
        <v>683</v>
      </c>
      <c r="P229" t="s">
        <v>29</v>
      </c>
      <c r="Q229" t="s">
        <v>30</v>
      </c>
    </row>
    <row r="230" spans="1:17" x14ac:dyDescent="0.25">
      <c r="A230" t="s">
        <v>968</v>
      </c>
      <c r="B230">
        <v>126476</v>
      </c>
      <c r="C230" t="s">
        <v>68</v>
      </c>
      <c r="D230" t="s">
        <v>32</v>
      </c>
      <c r="E230" t="s">
        <v>33</v>
      </c>
      <c r="F230" t="s">
        <v>123</v>
      </c>
      <c r="G230" t="s">
        <v>664</v>
      </c>
      <c r="H230" t="s">
        <v>969</v>
      </c>
      <c r="I230" t="s">
        <v>970</v>
      </c>
      <c r="J230">
        <v>7</v>
      </c>
      <c r="K230" t="s">
        <v>25</v>
      </c>
      <c r="L230" t="s">
        <v>37</v>
      </c>
      <c r="M230" t="s">
        <v>971</v>
      </c>
      <c r="N230" t="s">
        <v>493</v>
      </c>
      <c r="O230" t="s">
        <v>77</v>
      </c>
      <c r="P230" t="s">
        <v>29</v>
      </c>
      <c r="Q230" t="s">
        <v>30</v>
      </c>
    </row>
    <row r="231" spans="1:17" x14ac:dyDescent="0.25">
      <c r="A231" t="s">
        <v>972</v>
      </c>
      <c r="B231">
        <v>127130</v>
      </c>
      <c r="C231" t="s">
        <v>151</v>
      </c>
      <c r="D231" t="s">
        <v>19</v>
      </c>
      <c r="E231" t="s">
        <v>33</v>
      </c>
      <c r="F231" t="s">
        <v>428</v>
      </c>
      <c r="G231" t="s">
        <v>22</v>
      </c>
      <c r="H231" t="s">
        <v>973</v>
      </c>
      <c r="I231" t="s">
        <v>974</v>
      </c>
      <c r="J231">
        <v>7</v>
      </c>
      <c r="K231" t="s">
        <v>25</v>
      </c>
      <c r="L231" t="s">
        <v>604</v>
      </c>
      <c r="M231" t="s">
        <v>644</v>
      </c>
      <c r="N231" t="s">
        <v>975</v>
      </c>
      <c r="O231" t="s">
        <v>77</v>
      </c>
      <c r="P231" t="s">
        <v>29</v>
      </c>
      <c r="Q231" t="s">
        <v>30</v>
      </c>
    </row>
    <row r="232" spans="1:17" x14ac:dyDescent="0.25">
      <c r="A232" t="s">
        <v>976</v>
      </c>
      <c r="B232">
        <v>127140</v>
      </c>
      <c r="C232" t="s">
        <v>622</v>
      </c>
      <c r="D232" t="s">
        <v>19</v>
      </c>
      <c r="E232" t="s">
        <v>130</v>
      </c>
      <c r="F232" t="s">
        <v>21</v>
      </c>
      <c r="G232" t="s">
        <v>22</v>
      </c>
      <c r="H232" t="s">
        <v>977</v>
      </c>
      <c r="I232" t="s">
        <v>978</v>
      </c>
      <c r="J232">
        <v>7</v>
      </c>
      <c r="K232" t="s">
        <v>112</v>
      </c>
      <c r="L232" t="s">
        <v>356</v>
      </c>
      <c r="M232" t="s">
        <v>308</v>
      </c>
      <c r="N232" t="s">
        <v>45</v>
      </c>
      <c r="O232" t="s">
        <v>77</v>
      </c>
      <c r="P232" t="s">
        <v>29</v>
      </c>
      <c r="Q232" t="s">
        <v>30</v>
      </c>
    </row>
    <row r="233" spans="1:17" x14ac:dyDescent="0.25">
      <c r="A233" t="s">
        <v>979</v>
      </c>
      <c r="B233">
        <v>10898</v>
      </c>
      <c r="C233" t="s">
        <v>530</v>
      </c>
      <c r="D233" t="s">
        <v>32</v>
      </c>
      <c r="E233" t="s">
        <v>754</v>
      </c>
      <c r="F233" t="s">
        <v>40</v>
      </c>
      <c r="G233" t="s">
        <v>394</v>
      </c>
      <c r="H233" t="s">
        <v>980</v>
      </c>
      <c r="I233" t="s">
        <v>981</v>
      </c>
      <c r="J233">
        <v>7</v>
      </c>
      <c r="K233" t="s">
        <v>25</v>
      </c>
      <c r="L233" t="s">
        <v>199</v>
      </c>
      <c r="M233" t="s">
        <v>89</v>
      </c>
      <c r="N233" t="s">
        <v>493</v>
      </c>
      <c r="O233" t="s">
        <v>290</v>
      </c>
      <c r="P233" t="s">
        <v>29</v>
      </c>
      <c r="Q233" t="s">
        <v>30</v>
      </c>
    </row>
    <row r="234" spans="1:17" x14ac:dyDescent="0.25">
      <c r="A234" t="s">
        <v>982</v>
      </c>
      <c r="B234">
        <v>127283</v>
      </c>
      <c r="C234" t="s">
        <v>670</v>
      </c>
      <c r="D234" t="s">
        <v>19</v>
      </c>
      <c r="E234" t="s">
        <v>62</v>
      </c>
      <c r="F234" t="s">
        <v>484</v>
      </c>
      <c r="G234" t="s">
        <v>22</v>
      </c>
      <c r="H234" t="s">
        <v>983</v>
      </c>
      <c r="I234" t="s">
        <v>984</v>
      </c>
      <c r="J234">
        <v>7</v>
      </c>
      <c r="K234" t="s">
        <v>25</v>
      </c>
      <c r="L234" t="s">
        <v>761</v>
      </c>
      <c r="M234" t="s">
        <v>487</v>
      </c>
      <c r="N234" t="s">
        <v>28</v>
      </c>
      <c r="O234" t="s">
        <v>145</v>
      </c>
      <c r="P234" t="s">
        <v>29</v>
      </c>
      <c r="Q234" t="s">
        <v>30</v>
      </c>
    </row>
    <row r="235" spans="1:17" x14ac:dyDescent="0.25">
      <c r="A235" t="s">
        <v>985</v>
      </c>
      <c r="B235">
        <v>127416</v>
      </c>
      <c r="C235" t="s">
        <v>758</v>
      </c>
      <c r="D235" t="s">
        <v>32</v>
      </c>
      <c r="E235" t="s">
        <v>62</v>
      </c>
      <c r="F235" t="s">
        <v>40</v>
      </c>
      <c r="G235" t="s">
        <v>22</v>
      </c>
      <c r="H235" t="s">
        <v>986</v>
      </c>
      <c r="I235" t="s">
        <v>987</v>
      </c>
      <c r="J235">
        <v>7</v>
      </c>
      <c r="K235" t="s">
        <v>25</v>
      </c>
      <c r="L235" t="s">
        <v>290</v>
      </c>
      <c r="M235" t="s">
        <v>89</v>
      </c>
      <c r="N235" t="s">
        <v>45</v>
      </c>
      <c r="O235" t="s">
        <v>444</v>
      </c>
      <c r="P235" t="s">
        <v>29</v>
      </c>
      <c r="Q235" t="s">
        <v>30</v>
      </c>
    </row>
    <row r="236" spans="1:17" x14ac:dyDescent="0.25">
      <c r="A236" t="s">
        <v>988</v>
      </c>
      <c r="B236">
        <v>127427</v>
      </c>
      <c r="C236" t="s">
        <v>18</v>
      </c>
      <c r="D236" t="s">
        <v>19</v>
      </c>
      <c r="E236" t="s">
        <v>62</v>
      </c>
      <c r="F236" t="s">
        <v>21</v>
      </c>
      <c r="G236" t="s">
        <v>22</v>
      </c>
      <c r="H236" t="s">
        <v>989</v>
      </c>
      <c r="I236" t="s">
        <v>990</v>
      </c>
      <c r="J236">
        <v>7</v>
      </c>
      <c r="K236" t="s">
        <v>25</v>
      </c>
      <c r="L236" t="s">
        <v>356</v>
      </c>
      <c r="M236" t="s">
        <v>387</v>
      </c>
      <c r="N236" t="s">
        <v>45</v>
      </c>
      <c r="O236" t="s">
        <v>356</v>
      </c>
      <c r="P236" t="s">
        <v>29</v>
      </c>
      <c r="Q236" t="s">
        <v>30</v>
      </c>
    </row>
    <row r="237" spans="1:17" x14ac:dyDescent="0.25">
      <c r="A237" t="s">
        <v>991</v>
      </c>
      <c r="B237">
        <v>127705</v>
      </c>
      <c r="C237" t="s">
        <v>86</v>
      </c>
      <c r="D237" t="s">
        <v>32</v>
      </c>
      <c r="E237" t="s">
        <v>33</v>
      </c>
      <c r="F237" t="s">
        <v>40</v>
      </c>
      <c r="G237" t="s">
        <v>22</v>
      </c>
      <c r="H237" t="s">
        <v>992</v>
      </c>
      <c r="I237" t="s">
        <v>993</v>
      </c>
      <c r="J237">
        <v>7</v>
      </c>
      <c r="K237" t="s">
        <v>25</v>
      </c>
      <c r="L237" t="s">
        <v>290</v>
      </c>
      <c r="M237" t="s">
        <v>89</v>
      </c>
      <c r="N237" t="s">
        <v>493</v>
      </c>
      <c r="O237" t="s">
        <v>290</v>
      </c>
      <c r="P237" t="s">
        <v>29</v>
      </c>
      <c r="Q237" t="s">
        <v>30</v>
      </c>
    </row>
    <row r="238" spans="1:17" x14ac:dyDescent="0.25">
      <c r="A238" t="s">
        <v>994</v>
      </c>
      <c r="B238">
        <v>127963</v>
      </c>
      <c r="C238" t="s">
        <v>614</v>
      </c>
      <c r="D238" t="s">
        <v>19</v>
      </c>
      <c r="E238" t="s">
        <v>260</v>
      </c>
      <c r="F238" t="s">
        <v>428</v>
      </c>
      <c r="G238" t="s">
        <v>22</v>
      </c>
      <c r="H238" t="s">
        <v>995</v>
      </c>
      <c r="I238" t="s">
        <v>996</v>
      </c>
      <c r="J238">
        <v>7</v>
      </c>
      <c r="K238" t="s">
        <v>25</v>
      </c>
      <c r="L238" t="s">
        <v>548</v>
      </c>
      <c r="M238" t="s">
        <v>586</v>
      </c>
      <c r="N238" t="s">
        <v>45</v>
      </c>
      <c r="O238" t="s">
        <v>591</v>
      </c>
      <c r="P238" t="s">
        <v>29</v>
      </c>
      <c r="Q238" t="s">
        <v>30</v>
      </c>
    </row>
    <row r="239" spans="1:17" x14ac:dyDescent="0.25">
      <c r="A239" t="s">
        <v>997</v>
      </c>
      <c r="B239">
        <v>128005</v>
      </c>
      <c r="C239" t="s">
        <v>142</v>
      </c>
      <c r="D239" t="s">
        <v>32</v>
      </c>
      <c r="E239" t="s">
        <v>33</v>
      </c>
      <c r="F239" t="s">
        <v>40</v>
      </c>
      <c r="G239" t="s">
        <v>22</v>
      </c>
      <c r="H239" t="s">
        <v>998</v>
      </c>
      <c r="I239" t="s">
        <v>999</v>
      </c>
      <c r="J239">
        <v>7</v>
      </c>
      <c r="K239" t="s">
        <v>112</v>
      </c>
      <c r="L239" t="s">
        <v>620</v>
      </c>
      <c r="M239" t="s">
        <v>958</v>
      </c>
      <c r="N239" t="s">
        <v>28</v>
      </c>
      <c r="O239" t="s">
        <v>199</v>
      </c>
      <c r="P239" t="s">
        <v>29</v>
      </c>
      <c r="Q239" t="s">
        <v>30</v>
      </c>
    </row>
    <row r="240" spans="1:17" x14ac:dyDescent="0.25">
      <c r="A240" t="s">
        <v>1000</v>
      </c>
      <c r="B240">
        <v>122880</v>
      </c>
      <c r="C240" t="s">
        <v>80</v>
      </c>
      <c r="D240" t="s">
        <v>32</v>
      </c>
      <c r="E240" t="s">
        <v>33</v>
      </c>
      <c r="F240" t="s">
        <v>40</v>
      </c>
      <c r="G240" t="s">
        <v>394</v>
      </c>
      <c r="H240" t="s">
        <v>1001</v>
      </c>
      <c r="I240" t="s">
        <v>1002</v>
      </c>
      <c r="J240">
        <v>7</v>
      </c>
      <c r="K240" t="s">
        <v>25</v>
      </c>
      <c r="L240" t="s">
        <v>46</v>
      </c>
      <c r="M240" t="s">
        <v>71</v>
      </c>
      <c r="N240" t="s">
        <v>493</v>
      </c>
      <c r="O240" t="s">
        <v>683</v>
      </c>
      <c r="P240" t="s">
        <v>29</v>
      </c>
      <c r="Q240" t="s">
        <v>30</v>
      </c>
    </row>
    <row r="241" spans="1:17" x14ac:dyDescent="0.25">
      <c r="A241" t="s">
        <v>1003</v>
      </c>
      <c r="B241">
        <v>128366</v>
      </c>
      <c r="C241" t="s">
        <v>622</v>
      </c>
      <c r="D241" t="s">
        <v>19</v>
      </c>
      <c r="E241" t="s">
        <v>33</v>
      </c>
      <c r="F241" t="s">
        <v>21</v>
      </c>
      <c r="G241" t="s">
        <v>22</v>
      </c>
      <c r="H241" t="s">
        <v>1004</v>
      </c>
      <c r="I241" t="s">
        <v>1005</v>
      </c>
      <c r="J241">
        <v>7</v>
      </c>
      <c r="K241" t="s">
        <v>25</v>
      </c>
      <c r="L241" t="s">
        <v>191</v>
      </c>
      <c r="M241" t="s">
        <v>368</v>
      </c>
      <c r="N241" t="s">
        <v>493</v>
      </c>
      <c r="O241" t="s">
        <v>77</v>
      </c>
      <c r="P241" t="s">
        <v>29</v>
      </c>
      <c r="Q241" t="s">
        <v>30</v>
      </c>
    </row>
    <row r="242" spans="1:17" x14ac:dyDescent="0.25">
      <c r="A242" t="s">
        <v>1006</v>
      </c>
      <c r="B242">
        <v>128485</v>
      </c>
      <c r="C242" t="s">
        <v>310</v>
      </c>
      <c r="D242" t="s">
        <v>19</v>
      </c>
      <c r="E242" t="s">
        <v>33</v>
      </c>
      <c r="F242" t="s">
        <v>428</v>
      </c>
      <c r="G242" t="s">
        <v>22</v>
      </c>
      <c r="H242" t="s">
        <v>1007</v>
      </c>
      <c r="I242" t="s">
        <v>1008</v>
      </c>
      <c r="J242">
        <v>7</v>
      </c>
      <c r="K242" t="s">
        <v>25</v>
      </c>
      <c r="L242" t="s">
        <v>288</v>
      </c>
      <c r="M242" t="s">
        <v>1009</v>
      </c>
      <c r="N242" t="s">
        <v>45</v>
      </c>
      <c r="O242" t="s">
        <v>591</v>
      </c>
      <c r="P242" t="s">
        <v>29</v>
      </c>
      <c r="Q242" t="s">
        <v>30</v>
      </c>
    </row>
    <row r="243" spans="1:17" x14ac:dyDescent="0.25">
      <c r="A243" t="s">
        <v>1010</v>
      </c>
      <c r="B243">
        <v>128670</v>
      </c>
      <c r="C243" t="s">
        <v>758</v>
      </c>
      <c r="D243" t="s">
        <v>19</v>
      </c>
      <c r="E243" t="s">
        <v>33</v>
      </c>
      <c r="F243" t="s">
        <v>393</v>
      </c>
      <c r="G243" t="s">
        <v>22</v>
      </c>
      <c r="H243" t="s">
        <v>1011</v>
      </c>
      <c r="I243" t="s">
        <v>1012</v>
      </c>
      <c r="J243">
        <v>7</v>
      </c>
      <c r="K243" t="s">
        <v>25</v>
      </c>
      <c r="L243" t="s">
        <v>213</v>
      </c>
      <c r="M243" t="s">
        <v>1013</v>
      </c>
      <c r="N243" t="s">
        <v>493</v>
      </c>
      <c r="O243" t="s">
        <v>145</v>
      </c>
      <c r="P243" t="s">
        <v>29</v>
      </c>
      <c r="Q243" t="s">
        <v>30</v>
      </c>
    </row>
    <row r="244" spans="1:17" x14ac:dyDescent="0.25">
      <c r="A244" t="s">
        <v>1014</v>
      </c>
      <c r="B244">
        <v>128678</v>
      </c>
      <c r="C244" t="s">
        <v>285</v>
      </c>
      <c r="D244" t="s">
        <v>32</v>
      </c>
      <c r="E244" t="s">
        <v>33</v>
      </c>
      <c r="F244" t="s">
        <v>700</v>
      </c>
      <c r="G244" t="s">
        <v>22</v>
      </c>
      <c r="H244" t="s">
        <v>1015</v>
      </c>
      <c r="I244" t="s">
        <v>1016</v>
      </c>
      <c r="J244">
        <v>7</v>
      </c>
      <c r="K244" t="s">
        <v>25</v>
      </c>
      <c r="L244" t="s">
        <v>37</v>
      </c>
      <c r="M244" t="s">
        <v>1017</v>
      </c>
      <c r="N244" t="s">
        <v>493</v>
      </c>
      <c r="O244" t="s">
        <v>761</v>
      </c>
      <c r="P244" t="s">
        <v>29</v>
      </c>
      <c r="Q244" t="s">
        <v>30</v>
      </c>
    </row>
    <row r="245" spans="1:17" x14ac:dyDescent="0.25">
      <c r="A245" t="s">
        <v>1018</v>
      </c>
      <c r="B245">
        <v>128750</v>
      </c>
      <c r="C245" t="s">
        <v>285</v>
      </c>
      <c r="D245" t="s">
        <v>32</v>
      </c>
      <c r="E245" t="s">
        <v>33</v>
      </c>
      <c r="F245" t="s">
        <v>40</v>
      </c>
      <c r="G245" t="s">
        <v>394</v>
      </c>
      <c r="H245" t="s">
        <v>1019</v>
      </c>
      <c r="I245" t="s">
        <v>1020</v>
      </c>
      <c r="J245">
        <v>7</v>
      </c>
      <c r="K245" t="s">
        <v>25</v>
      </c>
      <c r="L245" t="s">
        <v>590</v>
      </c>
      <c r="M245" t="s">
        <v>590</v>
      </c>
      <c r="N245" t="s">
        <v>493</v>
      </c>
      <c r="O245" t="s">
        <v>590</v>
      </c>
      <c r="P245" t="s">
        <v>29</v>
      </c>
      <c r="Q245" t="s">
        <v>30</v>
      </c>
    </row>
    <row r="246" spans="1:17" x14ac:dyDescent="0.25">
      <c r="A246" t="s">
        <v>1021</v>
      </c>
      <c r="B246">
        <v>128760</v>
      </c>
      <c r="C246" t="s">
        <v>622</v>
      </c>
      <c r="D246" t="s">
        <v>32</v>
      </c>
      <c r="E246" t="s">
        <v>33</v>
      </c>
      <c r="F246" t="s">
        <v>21</v>
      </c>
      <c r="G246" t="s">
        <v>22</v>
      </c>
      <c r="H246" t="s">
        <v>1022</v>
      </c>
      <c r="I246" t="s">
        <v>1023</v>
      </c>
      <c r="J246">
        <v>7</v>
      </c>
      <c r="K246" t="s">
        <v>25</v>
      </c>
      <c r="L246" t="s">
        <v>77</v>
      </c>
      <c r="M246" t="s">
        <v>368</v>
      </c>
      <c r="N246" t="s">
        <v>493</v>
      </c>
      <c r="O246" t="s">
        <v>77</v>
      </c>
      <c r="P246" t="s">
        <v>29</v>
      </c>
      <c r="Q246" t="s">
        <v>30</v>
      </c>
    </row>
    <row r="247" spans="1:17" x14ac:dyDescent="0.25">
      <c r="A247" t="s">
        <v>1024</v>
      </c>
      <c r="B247">
        <v>128761</v>
      </c>
      <c r="C247" t="s">
        <v>622</v>
      </c>
      <c r="D247" t="s">
        <v>32</v>
      </c>
      <c r="E247" t="s">
        <v>33</v>
      </c>
      <c r="F247" t="s">
        <v>21</v>
      </c>
      <c r="G247" t="s">
        <v>22</v>
      </c>
      <c r="H247" t="s">
        <v>1025</v>
      </c>
      <c r="I247" t="s">
        <v>1026</v>
      </c>
      <c r="J247">
        <v>7</v>
      </c>
      <c r="K247" t="s">
        <v>25</v>
      </c>
      <c r="L247" t="s">
        <v>77</v>
      </c>
      <c r="M247" t="s">
        <v>368</v>
      </c>
      <c r="N247" t="s">
        <v>493</v>
      </c>
      <c r="O247" t="s">
        <v>77</v>
      </c>
      <c r="P247" t="s">
        <v>29</v>
      </c>
      <c r="Q247" t="s">
        <v>30</v>
      </c>
    </row>
    <row r="248" spans="1:17" x14ac:dyDescent="0.25">
      <c r="A248" t="s">
        <v>1027</v>
      </c>
      <c r="B248">
        <v>128826</v>
      </c>
      <c r="C248" t="s">
        <v>450</v>
      </c>
      <c r="D248" t="s">
        <v>19</v>
      </c>
      <c r="E248" t="s">
        <v>33</v>
      </c>
      <c r="F248" t="s">
        <v>202</v>
      </c>
      <c r="G248" t="s">
        <v>22</v>
      </c>
      <c r="H248" t="s">
        <v>1028</v>
      </c>
      <c r="I248" t="s">
        <v>1029</v>
      </c>
      <c r="J248">
        <v>7</v>
      </c>
      <c r="K248" t="s">
        <v>25</v>
      </c>
      <c r="L248" t="s">
        <v>37</v>
      </c>
      <c r="M248" t="s">
        <v>695</v>
      </c>
      <c r="N248" t="s">
        <v>493</v>
      </c>
      <c r="O248" t="s">
        <v>145</v>
      </c>
      <c r="P248" t="s">
        <v>29</v>
      </c>
      <c r="Q248" t="s">
        <v>30</v>
      </c>
    </row>
    <row r="249" spans="1:17" x14ac:dyDescent="0.25">
      <c r="A249" t="s">
        <v>1030</v>
      </c>
      <c r="B249">
        <v>128945</v>
      </c>
      <c r="C249" t="s">
        <v>758</v>
      </c>
      <c r="D249" t="s">
        <v>32</v>
      </c>
      <c r="E249" t="s">
        <v>62</v>
      </c>
      <c r="F249" t="s">
        <v>40</v>
      </c>
      <c r="G249" t="s">
        <v>22</v>
      </c>
      <c r="H249" t="s">
        <v>1031</v>
      </c>
      <c r="I249" t="s">
        <v>1032</v>
      </c>
      <c r="J249">
        <v>7</v>
      </c>
      <c r="K249" t="s">
        <v>25</v>
      </c>
      <c r="L249" t="s">
        <v>46</v>
      </c>
      <c r="M249" t="s">
        <v>71</v>
      </c>
      <c r="N249" t="s">
        <v>493</v>
      </c>
      <c r="O249" t="s">
        <v>683</v>
      </c>
      <c r="P249" t="s">
        <v>29</v>
      </c>
      <c r="Q249" t="s">
        <v>30</v>
      </c>
    </row>
    <row r="250" spans="1:17" x14ac:dyDescent="0.25">
      <c r="A250" t="s">
        <v>1033</v>
      </c>
      <c r="B250">
        <v>104177</v>
      </c>
      <c r="C250" t="s">
        <v>74</v>
      </c>
      <c r="D250" t="s">
        <v>32</v>
      </c>
      <c r="E250" t="s">
        <v>33</v>
      </c>
      <c r="F250" t="s">
        <v>40</v>
      </c>
      <c r="G250" t="s">
        <v>292</v>
      </c>
      <c r="H250" t="s">
        <v>1034</v>
      </c>
      <c r="I250" t="s">
        <v>1035</v>
      </c>
      <c r="J250">
        <v>7</v>
      </c>
      <c r="K250" t="s">
        <v>25</v>
      </c>
      <c r="L250" t="s">
        <v>683</v>
      </c>
      <c r="M250" t="s">
        <v>71</v>
      </c>
      <c r="N250" t="s">
        <v>45</v>
      </c>
      <c r="O250" t="s">
        <v>590</v>
      </c>
      <c r="P250" t="s">
        <v>29</v>
      </c>
      <c r="Q250" t="s">
        <v>30</v>
      </c>
    </row>
    <row r="251" spans="1:17" x14ac:dyDescent="0.25">
      <c r="A251" t="s">
        <v>1036</v>
      </c>
      <c r="B251">
        <v>129016</v>
      </c>
      <c r="C251" t="s">
        <v>215</v>
      </c>
      <c r="D251" t="s">
        <v>32</v>
      </c>
      <c r="E251" t="s">
        <v>33</v>
      </c>
      <c r="F251" t="s">
        <v>40</v>
      </c>
      <c r="G251" t="s">
        <v>22</v>
      </c>
      <c r="H251" t="s">
        <v>1037</v>
      </c>
      <c r="I251" t="s">
        <v>1038</v>
      </c>
      <c r="J251">
        <v>7</v>
      </c>
      <c r="K251" t="s">
        <v>25</v>
      </c>
      <c r="L251" t="s">
        <v>683</v>
      </c>
      <c r="M251" t="s">
        <v>1039</v>
      </c>
      <c r="N251" t="s">
        <v>45</v>
      </c>
      <c r="O251" t="s">
        <v>612</v>
      </c>
      <c r="P251" t="s">
        <v>29</v>
      </c>
      <c r="Q251" t="s">
        <v>30</v>
      </c>
    </row>
    <row r="252" spans="1:17" x14ac:dyDescent="0.25">
      <c r="A252" t="s">
        <v>1040</v>
      </c>
      <c r="B252">
        <v>72747</v>
      </c>
      <c r="C252" t="s">
        <v>1041</v>
      </c>
      <c r="D252" t="s">
        <v>32</v>
      </c>
      <c r="E252" t="s">
        <v>227</v>
      </c>
      <c r="F252" t="s">
        <v>202</v>
      </c>
      <c r="G252" t="s">
        <v>22</v>
      </c>
      <c r="H252" t="s">
        <v>1042</v>
      </c>
      <c r="I252" t="s">
        <v>1043</v>
      </c>
      <c r="J252">
        <v>7</v>
      </c>
      <c r="K252" t="s">
        <v>25</v>
      </c>
      <c r="L252" t="s">
        <v>288</v>
      </c>
      <c r="M252" t="s">
        <v>364</v>
      </c>
      <c r="N252" t="s">
        <v>45</v>
      </c>
      <c r="O252" t="s">
        <v>145</v>
      </c>
      <c r="P252" t="s">
        <v>29</v>
      </c>
      <c r="Q252" t="s">
        <v>30</v>
      </c>
    </row>
    <row r="253" spans="1:17" x14ac:dyDescent="0.25">
      <c r="A253" t="s">
        <v>1044</v>
      </c>
      <c r="B253">
        <v>129448</v>
      </c>
      <c r="C253" t="s">
        <v>86</v>
      </c>
      <c r="D253" t="s">
        <v>32</v>
      </c>
      <c r="E253" t="s">
        <v>33</v>
      </c>
      <c r="F253" t="s">
        <v>40</v>
      </c>
      <c r="G253" t="s">
        <v>22</v>
      </c>
      <c r="H253" t="s">
        <v>1045</v>
      </c>
      <c r="I253" t="s">
        <v>1046</v>
      </c>
      <c r="J253">
        <v>7</v>
      </c>
      <c r="K253" t="s">
        <v>25</v>
      </c>
      <c r="L253" t="s">
        <v>105</v>
      </c>
      <c r="M253" t="s">
        <v>1047</v>
      </c>
      <c r="N253" t="s">
        <v>45</v>
      </c>
      <c r="O253" t="s">
        <v>590</v>
      </c>
      <c r="P253" t="s">
        <v>29</v>
      </c>
      <c r="Q253" t="s">
        <v>30</v>
      </c>
    </row>
    <row r="254" spans="1:17" x14ac:dyDescent="0.25">
      <c r="A254" t="s">
        <v>1048</v>
      </c>
      <c r="B254">
        <v>126510</v>
      </c>
      <c r="C254" t="s">
        <v>622</v>
      </c>
      <c r="D254" t="s">
        <v>19</v>
      </c>
      <c r="E254" t="s">
        <v>33</v>
      </c>
      <c r="F254" t="s">
        <v>21</v>
      </c>
      <c r="G254" t="s">
        <v>22</v>
      </c>
      <c r="H254" t="s">
        <v>1049</v>
      </c>
      <c r="I254" t="s">
        <v>1050</v>
      </c>
      <c r="J254">
        <v>6</v>
      </c>
      <c r="K254" t="s">
        <v>25</v>
      </c>
      <c r="L254" t="s">
        <v>356</v>
      </c>
      <c r="M254" t="s">
        <v>308</v>
      </c>
      <c r="N254" t="s">
        <v>45</v>
      </c>
      <c r="O254" t="s">
        <v>356</v>
      </c>
      <c r="P254" t="s">
        <v>29</v>
      </c>
      <c r="Q254" t="s">
        <v>30</v>
      </c>
    </row>
    <row r="255" spans="1:17" x14ac:dyDescent="0.25">
      <c r="A255" t="s">
        <v>1051</v>
      </c>
      <c r="B255">
        <v>126525</v>
      </c>
      <c r="C255" t="s">
        <v>18</v>
      </c>
      <c r="D255" t="s">
        <v>19</v>
      </c>
      <c r="E255" t="s">
        <v>33</v>
      </c>
      <c r="F255" t="s">
        <v>109</v>
      </c>
      <c r="G255" t="s">
        <v>22</v>
      </c>
      <c r="H255" t="s">
        <v>1052</v>
      </c>
      <c r="I255" t="s">
        <v>1053</v>
      </c>
      <c r="J255">
        <v>6</v>
      </c>
      <c r="K255" t="s">
        <v>25</v>
      </c>
      <c r="L255" t="s">
        <v>213</v>
      </c>
      <c r="M255" t="s">
        <v>536</v>
      </c>
      <c r="N255" t="s">
        <v>45</v>
      </c>
      <c r="O255" t="s">
        <v>77</v>
      </c>
      <c r="P255" t="s">
        <v>29</v>
      </c>
      <c r="Q255" t="s">
        <v>30</v>
      </c>
    </row>
    <row r="256" spans="1:17" x14ac:dyDescent="0.25">
      <c r="A256" t="s">
        <v>1054</v>
      </c>
      <c r="B256">
        <v>126560</v>
      </c>
      <c r="C256" t="s">
        <v>622</v>
      </c>
      <c r="D256" t="s">
        <v>32</v>
      </c>
      <c r="E256" t="s">
        <v>33</v>
      </c>
      <c r="F256" t="s">
        <v>21</v>
      </c>
      <c r="G256" t="s">
        <v>22</v>
      </c>
      <c r="H256" t="s">
        <v>1055</v>
      </c>
      <c r="I256" t="s">
        <v>1056</v>
      </c>
      <c r="J256">
        <v>6</v>
      </c>
      <c r="K256" t="s">
        <v>112</v>
      </c>
      <c r="L256" t="s">
        <v>661</v>
      </c>
      <c r="M256" t="s">
        <v>423</v>
      </c>
      <c r="N256" t="s">
        <v>45</v>
      </c>
      <c r="O256" t="s">
        <v>356</v>
      </c>
      <c r="P256" t="s">
        <v>29</v>
      </c>
      <c r="Q256" t="s">
        <v>30</v>
      </c>
    </row>
    <row r="257" spans="1:17" x14ac:dyDescent="0.25">
      <c r="A257" t="s">
        <v>1057</v>
      </c>
      <c r="B257">
        <v>126559</v>
      </c>
      <c r="C257" t="s">
        <v>622</v>
      </c>
      <c r="D257" t="s">
        <v>19</v>
      </c>
      <c r="E257" t="s">
        <v>33</v>
      </c>
      <c r="F257" t="s">
        <v>21</v>
      </c>
      <c r="G257" t="s">
        <v>22</v>
      </c>
      <c r="H257" t="s">
        <v>1058</v>
      </c>
      <c r="I257" t="s">
        <v>1059</v>
      </c>
      <c r="J257">
        <v>6</v>
      </c>
      <c r="K257" t="s">
        <v>112</v>
      </c>
      <c r="L257" t="s">
        <v>661</v>
      </c>
      <c r="M257" t="s">
        <v>423</v>
      </c>
      <c r="N257" t="s">
        <v>45</v>
      </c>
      <c r="O257" t="s">
        <v>356</v>
      </c>
      <c r="P257" t="s">
        <v>29</v>
      </c>
      <c r="Q257" t="s">
        <v>30</v>
      </c>
    </row>
    <row r="258" spans="1:17" x14ac:dyDescent="0.25">
      <c r="A258" t="s">
        <v>1060</v>
      </c>
      <c r="B258">
        <v>115475</v>
      </c>
      <c r="C258" t="s">
        <v>1061</v>
      </c>
      <c r="D258" t="s">
        <v>19</v>
      </c>
      <c r="E258" t="s">
        <v>20</v>
      </c>
      <c r="F258" t="s">
        <v>428</v>
      </c>
      <c r="G258" t="s">
        <v>1062</v>
      </c>
      <c r="H258" t="s">
        <v>1063</v>
      </c>
      <c r="I258" t="s">
        <v>1064</v>
      </c>
      <c r="J258">
        <v>6</v>
      </c>
      <c r="K258" t="s">
        <v>25</v>
      </c>
      <c r="L258" t="s">
        <v>761</v>
      </c>
      <c r="M258" t="s">
        <v>586</v>
      </c>
      <c r="N258" t="s">
        <v>493</v>
      </c>
      <c r="O258" t="s">
        <v>77</v>
      </c>
      <c r="P258" t="s">
        <v>29</v>
      </c>
      <c r="Q258" t="s">
        <v>30</v>
      </c>
    </row>
    <row r="259" spans="1:17" x14ac:dyDescent="0.25">
      <c r="A259" t="s">
        <v>1065</v>
      </c>
      <c r="B259">
        <v>126605</v>
      </c>
      <c r="C259" t="s">
        <v>147</v>
      </c>
      <c r="D259" t="s">
        <v>19</v>
      </c>
      <c r="E259" t="s">
        <v>260</v>
      </c>
      <c r="F259" t="s">
        <v>428</v>
      </c>
      <c r="G259" t="s">
        <v>22</v>
      </c>
      <c r="H259" t="s">
        <v>1066</v>
      </c>
      <c r="I259" t="s">
        <v>1067</v>
      </c>
      <c r="J259">
        <v>6</v>
      </c>
      <c r="K259" t="s">
        <v>25</v>
      </c>
      <c r="L259" t="s">
        <v>1068</v>
      </c>
      <c r="M259" t="s">
        <v>586</v>
      </c>
      <c r="N259" t="s">
        <v>493</v>
      </c>
      <c r="O259" t="s">
        <v>1068</v>
      </c>
      <c r="P259" t="s">
        <v>29</v>
      </c>
      <c r="Q259" t="s">
        <v>30</v>
      </c>
    </row>
    <row r="260" spans="1:17" x14ac:dyDescent="0.25">
      <c r="A260" t="s">
        <v>1069</v>
      </c>
      <c r="B260">
        <v>126649</v>
      </c>
      <c r="C260" t="s">
        <v>646</v>
      </c>
      <c r="D260" t="s">
        <v>32</v>
      </c>
      <c r="E260" t="s">
        <v>20</v>
      </c>
      <c r="F260" t="s">
        <v>109</v>
      </c>
      <c r="G260" t="s">
        <v>22</v>
      </c>
      <c r="H260" t="s">
        <v>1070</v>
      </c>
      <c r="I260" t="s">
        <v>1071</v>
      </c>
      <c r="J260">
        <v>6</v>
      </c>
      <c r="K260" t="s">
        <v>25</v>
      </c>
      <c r="L260" t="s">
        <v>37</v>
      </c>
      <c r="M260" t="s">
        <v>962</v>
      </c>
      <c r="N260" t="s">
        <v>493</v>
      </c>
      <c r="O260" t="s">
        <v>661</v>
      </c>
      <c r="P260" t="s">
        <v>29</v>
      </c>
      <c r="Q260" t="s">
        <v>30</v>
      </c>
    </row>
    <row r="261" spans="1:17" x14ac:dyDescent="0.25">
      <c r="A261" t="s">
        <v>1072</v>
      </c>
      <c r="B261">
        <v>126865</v>
      </c>
      <c r="C261" t="s">
        <v>622</v>
      </c>
      <c r="D261" t="s">
        <v>19</v>
      </c>
      <c r="E261" t="s">
        <v>20</v>
      </c>
      <c r="F261" t="s">
        <v>21</v>
      </c>
      <c r="G261" t="s">
        <v>22</v>
      </c>
      <c r="H261" t="s">
        <v>1073</v>
      </c>
      <c r="I261" t="s">
        <v>1074</v>
      </c>
      <c r="J261">
        <v>6</v>
      </c>
      <c r="K261" t="s">
        <v>25</v>
      </c>
      <c r="L261" t="s">
        <v>356</v>
      </c>
      <c r="M261" t="s">
        <v>308</v>
      </c>
      <c r="N261" t="s">
        <v>493</v>
      </c>
      <c r="O261" t="s">
        <v>356</v>
      </c>
      <c r="P261" t="s">
        <v>29</v>
      </c>
      <c r="Q261" t="s">
        <v>30</v>
      </c>
    </row>
    <row r="262" spans="1:17" x14ac:dyDescent="0.25">
      <c r="A262" t="s">
        <v>1075</v>
      </c>
      <c r="B262">
        <v>125298</v>
      </c>
      <c r="C262" t="s">
        <v>138</v>
      </c>
      <c r="D262" t="s">
        <v>32</v>
      </c>
      <c r="E262" t="s">
        <v>33</v>
      </c>
      <c r="F262" t="s">
        <v>123</v>
      </c>
      <c r="G262" t="s">
        <v>22</v>
      </c>
      <c r="H262" t="s">
        <v>1076</v>
      </c>
      <c r="I262" t="s">
        <v>1077</v>
      </c>
      <c r="J262">
        <v>6</v>
      </c>
      <c r="K262" t="s">
        <v>25</v>
      </c>
      <c r="L262" t="s">
        <v>612</v>
      </c>
      <c r="M262" t="s">
        <v>929</v>
      </c>
      <c r="N262" t="s">
        <v>493</v>
      </c>
      <c r="O262" t="s">
        <v>290</v>
      </c>
      <c r="P262" t="s">
        <v>29</v>
      </c>
      <c r="Q262" t="s">
        <v>30</v>
      </c>
    </row>
    <row r="263" spans="1:17" x14ac:dyDescent="0.25">
      <c r="A263" t="s">
        <v>1078</v>
      </c>
      <c r="B263">
        <v>126868</v>
      </c>
      <c r="C263" t="s">
        <v>622</v>
      </c>
      <c r="D263" t="s">
        <v>32</v>
      </c>
      <c r="E263" t="s">
        <v>33</v>
      </c>
      <c r="F263" t="s">
        <v>21</v>
      </c>
      <c r="G263" t="s">
        <v>22</v>
      </c>
      <c r="H263" t="s">
        <v>1079</v>
      </c>
      <c r="I263" t="s">
        <v>1080</v>
      </c>
      <c r="J263">
        <v>6</v>
      </c>
      <c r="K263" t="s">
        <v>25</v>
      </c>
      <c r="L263" t="s">
        <v>356</v>
      </c>
      <c r="M263" t="s">
        <v>387</v>
      </c>
      <c r="N263" t="s">
        <v>493</v>
      </c>
      <c r="O263" t="s">
        <v>356</v>
      </c>
      <c r="P263" t="s">
        <v>29</v>
      </c>
      <c r="Q263" t="s">
        <v>30</v>
      </c>
    </row>
    <row r="264" spans="1:17" x14ac:dyDescent="0.25">
      <c r="A264" t="s">
        <v>1081</v>
      </c>
      <c r="B264">
        <v>127070</v>
      </c>
      <c r="C264" t="s">
        <v>454</v>
      </c>
      <c r="D264" t="s">
        <v>19</v>
      </c>
      <c r="E264" t="s">
        <v>62</v>
      </c>
      <c r="F264" t="s">
        <v>109</v>
      </c>
      <c r="G264" t="s">
        <v>22</v>
      </c>
      <c r="H264" t="s">
        <v>1082</v>
      </c>
      <c r="I264" t="s">
        <v>1083</v>
      </c>
      <c r="J264">
        <v>6</v>
      </c>
      <c r="K264" t="s">
        <v>25</v>
      </c>
      <c r="L264" t="s">
        <v>356</v>
      </c>
      <c r="M264" t="s">
        <v>372</v>
      </c>
      <c r="N264" t="s">
        <v>45</v>
      </c>
      <c r="O264" t="s">
        <v>661</v>
      </c>
      <c r="P264" t="s">
        <v>29</v>
      </c>
      <c r="Q264" t="s">
        <v>30</v>
      </c>
    </row>
    <row r="265" spans="1:17" x14ac:dyDescent="0.25">
      <c r="A265" t="s">
        <v>1084</v>
      </c>
      <c r="B265">
        <v>127095</v>
      </c>
      <c r="C265" t="s">
        <v>541</v>
      </c>
      <c r="D265" t="s">
        <v>32</v>
      </c>
      <c r="E265" t="s">
        <v>260</v>
      </c>
      <c r="F265" t="s">
        <v>123</v>
      </c>
      <c r="G265" t="s">
        <v>22</v>
      </c>
      <c r="H265" t="s">
        <v>1085</v>
      </c>
      <c r="I265" t="s">
        <v>1086</v>
      </c>
      <c r="J265">
        <v>6</v>
      </c>
      <c r="K265" t="s">
        <v>25</v>
      </c>
      <c r="L265" t="s">
        <v>548</v>
      </c>
      <c r="M265" t="s">
        <v>971</v>
      </c>
      <c r="N265" t="s">
        <v>45</v>
      </c>
      <c r="O265" t="s">
        <v>548</v>
      </c>
      <c r="P265" t="s">
        <v>29</v>
      </c>
      <c r="Q265" t="s">
        <v>30</v>
      </c>
    </row>
    <row r="266" spans="1:17" x14ac:dyDescent="0.25">
      <c r="A266" t="s">
        <v>1087</v>
      </c>
      <c r="B266">
        <v>127171</v>
      </c>
      <c r="C266" t="s">
        <v>361</v>
      </c>
      <c r="D266" t="s">
        <v>32</v>
      </c>
      <c r="E266" t="s">
        <v>260</v>
      </c>
      <c r="F266" t="s">
        <v>40</v>
      </c>
      <c r="G266" t="s">
        <v>22</v>
      </c>
      <c r="H266" t="s">
        <v>1088</v>
      </c>
      <c r="I266" t="s">
        <v>1089</v>
      </c>
      <c r="J266">
        <v>6</v>
      </c>
      <c r="K266" t="s">
        <v>25</v>
      </c>
      <c r="L266" t="s">
        <v>199</v>
      </c>
      <c r="M266" t="s">
        <v>89</v>
      </c>
      <c r="N266" t="s">
        <v>45</v>
      </c>
      <c r="O266" t="s">
        <v>290</v>
      </c>
      <c r="P266" t="s">
        <v>29</v>
      </c>
      <c r="Q266" t="s">
        <v>30</v>
      </c>
    </row>
    <row r="267" spans="1:17" x14ac:dyDescent="0.25">
      <c r="A267" t="s">
        <v>1090</v>
      </c>
      <c r="B267">
        <v>127192</v>
      </c>
      <c r="C267" t="s">
        <v>142</v>
      </c>
      <c r="D267" t="s">
        <v>32</v>
      </c>
      <c r="E267" t="s">
        <v>62</v>
      </c>
      <c r="F267" t="s">
        <v>40</v>
      </c>
      <c r="G267" t="s">
        <v>22</v>
      </c>
      <c r="H267" t="s">
        <v>1091</v>
      </c>
      <c r="I267" t="s">
        <v>1092</v>
      </c>
      <c r="J267">
        <v>6</v>
      </c>
      <c r="K267" t="s">
        <v>25</v>
      </c>
      <c r="L267" t="s">
        <v>290</v>
      </c>
      <c r="M267" t="s">
        <v>89</v>
      </c>
      <c r="N267" t="s">
        <v>45</v>
      </c>
      <c r="O267" t="s">
        <v>620</v>
      </c>
      <c r="P267" t="s">
        <v>29</v>
      </c>
      <c r="Q267" t="s">
        <v>30</v>
      </c>
    </row>
    <row r="268" spans="1:17" x14ac:dyDescent="0.25">
      <c r="A268" t="s">
        <v>1093</v>
      </c>
      <c r="B268">
        <v>127196</v>
      </c>
      <c r="C268" t="s">
        <v>622</v>
      </c>
      <c r="D268" t="s">
        <v>19</v>
      </c>
      <c r="E268" t="s">
        <v>62</v>
      </c>
      <c r="F268" t="s">
        <v>21</v>
      </c>
      <c r="G268" t="s">
        <v>22</v>
      </c>
      <c r="H268" t="s">
        <v>1094</v>
      </c>
      <c r="I268" t="s">
        <v>1095</v>
      </c>
      <c r="J268">
        <v>6</v>
      </c>
      <c r="K268" t="s">
        <v>25</v>
      </c>
      <c r="L268" t="s">
        <v>356</v>
      </c>
      <c r="M268" t="s">
        <v>351</v>
      </c>
      <c r="N268" t="s">
        <v>45</v>
      </c>
      <c r="O268" t="s">
        <v>356</v>
      </c>
      <c r="P268" t="s">
        <v>29</v>
      </c>
      <c r="Q268" t="s">
        <v>30</v>
      </c>
    </row>
    <row r="269" spans="1:17" x14ac:dyDescent="0.25">
      <c r="A269" t="s">
        <v>1096</v>
      </c>
      <c r="B269">
        <v>127400</v>
      </c>
      <c r="C269" t="s">
        <v>622</v>
      </c>
      <c r="D269" t="s">
        <v>32</v>
      </c>
      <c r="E269" t="s">
        <v>33</v>
      </c>
      <c r="F269" t="s">
        <v>21</v>
      </c>
      <c r="G269" t="s">
        <v>22</v>
      </c>
      <c r="H269" t="s">
        <v>1097</v>
      </c>
      <c r="I269" t="s">
        <v>1098</v>
      </c>
      <c r="J269">
        <v>6</v>
      </c>
      <c r="K269" t="s">
        <v>25</v>
      </c>
      <c r="L269" t="s">
        <v>356</v>
      </c>
      <c r="M269" t="s">
        <v>27</v>
      </c>
      <c r="N269" t="s">
        <v>493</v>
      </c>
      <c r="O269" t="s">
        <v>356</v>
      </c>
      <c r="P269" t="s">
        <v>29</v>
      </c>
      <c r="Q269" t="s">
        <v>30</v>
      </c>
    </row>
    <row r="270" spans="1:17" x14ac:dyDescent="0.25">
      <c r="A270" t="s">
        <v>1099</v>
      </c>
      <c r="B270">
        <v>127373</v>
      </c>
      <c r="C270" t="s">
        <v>1100</v>
      </c>
      <c r="D270" t="s">
        <v>32</v>
      </c>
      <c r="E270" t="s">
        <v>33</v>
      </c>
      <c r="F270" t="s">
        <v>123</v>
      </c>
      <c r="G270" t="s">
        <v>22</v>
      </c>
      <c r="H270" t="s">
        <v>1101</v>
      </c>
      <c r="I270" t="s">
        <v>1102</v>
      </c>
      <c r="J270">
        <v>6</v>
      </c>
      <c r="K270" t="s">
        <v>112</v>
      </c>
      <c r="L270" t="s">
        <v>37</v>
      </c>
      <c r="M270" t="s">
        <v>1103</v>
      </c>
      <c r="N270" t="s">
        <v>493</v>
      </c>
      <c r="O270" t="s">
        <v>77</v>
      </c>
      <c r="P270" t="s">
        <v>29</v>
      </c>
      <c r="Q270" t="s">
        <v>30</v>
      </c>
    </row>
    <row r="271" spans="1:17" x14ac:dyDescent="0.25">
      <c r="A271" t="s">
        <v>1104</v>
      </c>
      <c r="B271">
        <v>127559</v>
      </c>
      <c r="C271" t="s">
        <v>634</v>
      </c>
      <c r="D271" t="s">
        <v>19</v>
      </c>
      <c r="E271" t="s">
        <v>62</v>
      </c>
      <c r="F271" t="s">
        <v>109</v>
      </c>
      <c r="G271" t="s">
        <v>22</v>
      </c>
      <c r="H271" t="s">
        <v>1105</v>
      </c>
      <c r="I271" t="s">
        <v>1106</v>
      </c>
      <c r="J271">
        <v>6</v>
      </c>
      <c r="K271" t="s">
        <v>25</v>
      </c>
      <c r="L271" t="s">
        <v>126</v>
      </c>
      <c r="M271" t="s">
        <v>708</v>
      </c>
      <c r="N271" t="s">
        <v>45</v>
      </c>
      <c r="O271" t="s">
        <v>77</v>
      </c>
      <c r="P271" t="s">
        <v>29</v>
      </c>
      <c r="Q271" t="s">
        <v>30</v>
      </c>
    </row>
    <row r="272" spans="1:17" x14ac:dyDescent="0.25">
      <c r="A272" t="s">
        <v>1107</v>
      </c>
      <c r="B272">
        <v>127571</v>
      </c>
      <c r="C272" t="s">
        <v>296</v>
      </c>
      <c r="D272" t="s">
        <v>32</v>
      </c>
      <c r="E272" t="s">
        <v>33</v>
      </c>
      <c r="F272" t="s">
        <v>40</v>
      </c>
      <c r="G272" t="s">
        <v>22</v>
      </c>
      <c r="H272" t="s">
        <v>1108</v>
      </c>
      <c r="I272" t="s">
        <v>1109</v>
      </c>
      <c r="J272">
        <v>6</v>
      </c>
      <c r="K272" t="s">
        <v>25</v>
      </c>
      <c r="L272" t="s">
        <v>105</v>
      </c>
      <c r="M272" t="s">
        <v>106</v>
      </c>
      <c r="N272" t="s">
        <v>28</v>
      </c>
      <c r="O272" t="s">
        <v>46</v>
      </c>
      <c r="P272" t="s">
        <v>29</v>
      </c>
      <c r="Q272" t="s">
        <v>30</v>
      </c>
    </row>
    <row r="273" spans="1:17" x14ac:dyDescent="0.25">
      <c r="A273" t="s">
        <v>1033</v>
      </c>
      <c r="B273">
        <v>104177</v>
      </c>
      <c r="C273" t="s">
        <v>74</v>
      </c>
      <c r="D273" t="s">
        <v>32</v>
      </c>
      <c r="E273" t="s">
        <v>33</v>
      </c>
      <c r="F273" t="s">
        <v>40</v>
      </c>
      <c r="G273" t="s">
        <v>292</v>
      </c>
      <c r="H273" t="s">
        <v>1110</v>
      </c>
      <c r="I273" t="s">
        <v>1111</v>
      </c>
      <c r="J273">
        <v>6</v>
      </c>
      <c r="K273" t="s">
        <v>25</v>
      </c>
      <c r="L273" t="s">
        <v>1112</v>
      </c>
      <c r="M273" t="s">
        <v>89</v>
      </c>
      <c r="N273" t="s">
        <v>45</v>
      </c>
      <c r="O273" t="s">
        <v>290</v>
      </c>
      <c r="P273" t="s">
        <v>29</v>
      </c>
      <c r="Q273" t="s">
        <v>30</v>
      </c>
    </row>
    <row r="274" spans="1:17" x14ac:dyDescent="0.25">
      <c r="A274" t="s">
        <v>1113</v>
      </c>
      <c r="B274">
        <v>127866</v>
      </c>
      <c r="C274" t="s">
        <v>18</v>
      </c>
      <c r="D274" t="s">
        <v>32</v>
      </c>
      <c r="E274" t="s">
        <v>62</v>
      </c>
      <c r="F274" t="s">
        <v>109</v>
      </c>
      <c r="G274" t="s">
        <v>22</v>
      </c>
      <c r="H274" t="s">
        <v>1114</v>
      </c>
      <c r="I274" t="s">
        <v>1115</v>
      </c>
      <c r="J274">
        <v>6</v>
      </c>
      <c r="K274" t="s">
        <v>25</v>
      </c>
      <c r="L274" t="s">
        <v>37</v>
      </c>
      <c r="M274" t="s">
        <v>372</v>
      </c>
      <c r="N274" t="s">
        <v>493</v>
      </c>
      <c r="O274" t="s">
        <v>191</v>
      </c>
      <c r="P274" t="s">
        <v>29</v>
      </c>
      <c r="Q274" t="s">
        <v>30</v>
      </c>
    </row>
    <row r="275" spans="1:17" x14ac:dyDescent="0.25">
      <c r="A275" t="s">
        <v>1116</v>
      </c>
      <c r="B275">
        <v>128025</v>
      </c>
      <c r="C275" t="s">
        <v>151</v>
      </c>
      <c r="D275" t="s">
        <v>19</v>
      </c>
      <c r="E275" t="s">
        <v>33</v>
      </c>
      <c r="F275" t="s">
        <v>428</v>
      </c>
      <c r="G275" t="s">
        <v>22</v>
      </c>
      <c r="H275" t="s">
        <v>1117</v>
      </c>
      <c r="I275" t="s">
        <v>1118</v>
      </c>
      <c r="J275">
        <v>6</v>
      </c>
      <c r="K275" t="s">
        <v>25</v>
      </c>
      <c r="L275" t="s">
        <v>213</v>
      </c>
      <c r="M275" t="s">
        <v>439</v>
      </c>
      <c r="N275" t="s">
        <v>45</v>
      </c>
      <c r="O275" t="s">
        <v>591</v>
      </c>
      <c r="P275" t="s">
        <v>29</v>
      </c>
      <c r="Q275" t="s">
        <v>30</v>
      </c>
    </row>
    <row r="276" spans="1:17" x14ac:dyDescent="0.25">
      <c r="A276" t="s">
        <v>1119</v>
      </c>
      <c r="B276">
        <v>128053</v>
      </c>
      <c r="C276" t="s">
        <v>374</v>
      </c>
      <c r="D276" t="s">
        <v>32</v>
      </c>
      <c r="E276" t="s">
        <v>20</v>
      </c>
      <c r="F276" t="s">
        <v>40</v>
      </c>
      <c r="G276" t="s">
        <v>22</v>
      </c>
      <c r="H276" t="s">
        <v>1120</v>
      </c>
      <c r="I276" t="s">
        <v>1121</v>
      </c>
      <c r="J276">
        <v>6</v>
      </c>
      <c r="K276" t="s">
        <v>25</v>
      </c>
      <c r="L276" t="s">
        <v>290</v>
      </c>
      <c r="M276" t="s">
        <v>341</v>
      </c>
      <c r="N276" t="s">
        <v>28</v>
      </c>
      <c r="O276" t="s">
        <v>612</v>
      </c>
      <c r="P276" t="s">
        <v>29</v>
      </c>
      <c r="Q276" t="s">
        <v>30</v>
      </c>
    </row>
    <row r="277" spans="1:17" x14ac:dyDescent="0.25">
      <c r="A277" t="s">
        <v>1122</v>
      </c>
      <c r="B277">
        <v>128168</v>
      </c>
      <c r="C277" t="s">
        <v>74</v>
      </c>
      <c r="D277" t="s">
        <v>19</v>
      </c>
      <c r="E277" t="s">
        <v>33</v>
      </c>
      <c r="F277" t="s">
        <v>202</v>
      </c>
      <c r="G277" t="s">
        <v>22</v>
      </c>
      <c r="H277" t="s">
        <v>1123</v>
      </c>
      <c r="I277" t="s">
        <v>1124</v>
      </c>
      <c r="J277">
        <v>6</v>
      </c>
      <c r="K277" t="s">
        <v>25</v>
      </c>
      <c r="L277" t="s">
        <v>612</v>
      </c>
      <c r="M277" t="s">
        <v>682</v>
      </c>
      <c r="N277" t="s">
        <v>493</v>
      </c>
      <c r="O277" t="s">
        <v>683</v>
      </c>
      <c r="P277" t="s">
        <v>29</v>
      </c>
      <c r="Q277" t="s">
        <v>30</v>
      </c>
    </row>
    <row r="278" spans="1:17" x14ac:dyDescent="0.25">
      <c r="A278" t="s">
        <v>1125</v>
      </c>
      <c r="B278">
        <v>128189</v>
      </c>
      <c r="C278" t="s">
        <v>215</v>
      </c>
      <c r="D278" t="s">
        <v>32</v>
      </c>
      <c r="E278" t="s">
        <v>33</v>
      </c>
      <c r="F278" t="s">
        <v>40</v>
      </c>
      <c r="G278" t="s">
        <v>22</v>
      </c>
      <c r="H278" t="s">
        <v>1126</v>
      </c>
      <c r="I278" t="s">
        <v>1127</v>
      </c>
      <c r="J278">
        <v>6</v>
      </c>
      <c r="K278" t="s">
        <v>25</v>
      </c>
      <c r="L278" t="s">
        <v>444</v>
      </c>
      <c r="M278" t="s">
        <v>1128</v>
      </c>
      <c r="N278" t="s">
        <v>493</v>
      </c>
      <c r="O278" t="s">
        <v>590</v>
      </c>
      <c r="P278" t="s">
        <v>29</v>
      </c>
      <c r="Q278" t="s">
        <v>30</v>
      </c>
    </row>
    <row r="279" spans="1:17" x14ac:dyDescent="0.25">
      <c r="A279" t="s">
        <v>1129</v>
      </c>
      <c r="B279">
        <v>128298</v>
      </c>
      <c r="C279" t="s">
        <v>142</v>
      </c>
      <c r="D279" t="s">
        <v>32</v>
      </c>
      <c r="E279" t="s">
        <v>33</v>
      </c>
      <c r="F279" t="s">
        <v>700</v>
      </c>
      <c r="G279" t="s">
        <v>22</v>
      </c>
      <c r="H279" t="s">
        <v>1130</v>
      </c>
      <c r="I279" t="s">
        <v>1131</v>
      </c>
      <c r="J279">
        <v>6</v>
      </c>
      <c r="K279" t="s">
        <v>25</v>
      </c>
      <c r="L279" t="s">
        <v>567</v>
      </c>
      <c r="M279" t="s">
        <v>1132</v>
      </c>
      <c r="N279" t="s">
        <v>493</v>
      </c>
      <c r="O279" t="s">
        <v>761</v>
      </c>
      <c r="P279" t="s">
        <v>29</v>
      </c>
      <c r="Q279" t="s">
        <v>30</v>
      </c>
    </row>
    <row r="280" spans="1:17" x14ac:dyDescent="0.25">
      <c r="A280" t="s">
        <v>1133</v>
      </c>
      <c r="B280">
        <v>59696</v>
      </c>
      <c r="C280" t="s">
        <v>188</v>
      </c>
      <c r="D280" t="s">
        <v>32</v>
      </c>
      <c r="E280" t="s">
        <v>33</v>
      </c>
      <c r="F280" t="s">
        <v>40</v>
      </c>
      <c r="G280" t="s">
        <v>22</v>
      </c>
      <c r="H280" t="s">
        <v>1134</v>
      </c>
      <c r="I280" t="s">
        <v>1135</v>
      </c>
      <c r="J280">
        <v>6</v>
      </c>
      <c r="K280" t="s">
        <v>25</v>
      </c>
      <c r="L280" t="s">
        <v>1136</v>
      </c>
      <c r="M280" t="s">
        <v>89</v>
      </c>
      <c r="N280" t="s">
        <v>493</v>
      </c>
      <c r="O280" t="s">
        <v>105</v>
      </c>
      <c r="P280" t="s">
        <v>29</v>
      </c>
      <c r="Q280" t="s">
        <v>30</v>
      </c>
    </row>
    <row r="281" spans="1:17" x14ac:dyDescent="0.25">
      <c r="A281" t="s">
        <v>1137</v>
      </c>
      <c r="B281">
        <v>91531</v>
      </c>
      <c r="C281" t="s">
        <v>1138</v>
      </c>
      <c r="D281" t="s">
        <v>32</v>
      </c>
      <c r="E281" t="s">
        <v>33</v>
      </c>
      <c r="F281" t="s">
        <v>685</v>
      </c>
      <c r="G281" t="s">
        <v>22</v>
      </c>
      <c r="H281" t="s">
        <v>1139</v>
      </c>
      <c r="I281" t="s">
        <v>1140</v>
      </c>
      <c r="J281">
        <v>6</v>
      </c>
      <c r="K281" t="s">
        <v>25</v>
      </c>
      <c r="L281" t="s">
        <v>213</v>
      </c>
      <c r="M281" t="s">
        <v>776</v>
      </c>
      <c r="N281" t="s">
        <v>493</v>
      </c>
      <c r="O281" t="s">
        <v>1141</v>
      </c>
      <c r="P281" t="s">
        <v>29</v>
      </c>
      <c r="Q281" t="s">
        <v>30</v>
      </c>
    </row>
    <row r="282" spans="1:17" x14ac:dyDescent="0.25">
      <c r="A282" t="s">
        <v>1142</v>
      </c>
      <c r="B282">
        <v>104772</v>
      </c>
      <c r="C282" t="s">
        <v>1138</v>
      </c>
      <c r="D282" t="s">
        <v>32</v>
      </c>
      <c r="E282" t="s">
        <v>62</v>
      </c>
      <c r="F282" t="s">
        <v>123</v>
      </c>
      <c r="G282" t="s">
        <v>22</v>
      </c>
      <c r="H282" t="s">
        <v>1143</v>
      </c>
      <c r="I282" t="s">
        <v>1144</v>
      </c>
      <c r="J282">
        <v>6</v>
      </c>
      <c r="K282" t="s">
        <v>25</v>
      </c>
      <c r="L282" t="s">
        <v>161</v>
      </c>
      <c r="M282" t="s">
        <v>127</v>
      </c>
      <c r="N282" t="s">
        <v>493</v>
      </c>
      <c r="O282" t="s">
        <v>591</v>
      </c>
      <c r="P282" t="s">
        <v>29</v>
      </c>
      <c r="Q282" t="s">
        <v>30</v>
      </c>
    </row>
    <row r="283" spans="1:17" x14ac:dyDescent="0.25">
      <c r="A283" t="s">
        <v>1145</v>
      </c>
      <c r="B283">
        <v>128566</v>
      </c>
      <c r="C283" t="s">
        <v>646</v>
      </c>
      <c r="D283" t="s">
        <v>32</v>
      </c>
      <c r="E283" t="s">
        <v>130</v>
      </c>
      <c r="F283" t="s">
        <v>109</v>
      </c>
      <c r="G283" t="s">
        <v>22</v>
      </c>
      <c r="H283" t="s">
        <v>1146</v>
      </c>
      <c r="I283" t="s">
        <v>1147</v>
      </c>
      <c r="J283">
        <v>6</v>
      </c>
      <c r="K283" t="s">
        <v>112</v>
      </c>
      <c r="L283" t="s">
        <v>161</v>
      </c>
      <c r="M283" t="s">
        <v>482</v>
      </c>
      <c r="N283" t="s">
        <v>493</v>
      </c>
      <c r="O283" t="s">
        <v>591</v>
      </c>
      <c r="P283" t="s">
        <v>29</v>
      </c>
      <c r="Q283" t="s">
        <v>30</v>
      </c>
    </row>
    <row r="284" spans="1:17" x14ac:dyDescent="0.25">
      <c r="A284" t="s">
        <v>1148</v>
      </c>
      <c r="B284">
        <v>128749</v>
      </c>
      <c r="C284" t="s">
        <v>80</v>
      </c>
      <c r="D284" t="s">
        <v>32</v>
      </c>
      <c r="E284" t="s">
        <v>33</v>
      </c>
      <c r="F284" t="s">
        <v>40</v>
      </c>
      <c r="G284" t="s">
        <v>22</v>
      </c>
      <c r="H284" t="s">
        <v>1149</v>
      </c>
      <c r="I284" t="s">
        <v>1150</v>
      </c>
      <c r="J284">
        <v>6</v>
      </c>
      <c r="K284" t="s">
        <v>25</v>
      </c>
      <c r="L284" t="s">
        <v>105</v>
      </c>
      <c r="M284" t="s">
        <v>1047</v>
      </c>
      <c r="N284" t="s">
        <v>493</v>
      </c>
      <c r="O284" t="s">
        <v>612</v>
      </c>
      <c r="P284" t="s">
        <v>29</v>
      </c>
      <c r="Q284" t="s">
        <v>30</v>
      </c>
    </row>
    <row r="285" spans="1:17" x14ac:dyDescent="0.25">
      <c r="A285" t="s">
        <v>1151</v>
      </c>
      <c r="B285">
        <v>129088</v>
      </c>
      <c r="C285" t="s">
        <v>922</v>
      </c>
      <c r="D285" t="s">
        <v>19</v>
      </c>
      <c r="E285" t="s">
        <v>33</v>
      </c>
      <c r="F285" t="s">
        <v>685</v>
      </c>
      <c r="G285" t="s">
        <v>22</v>
      </c>
      <c r="H285" t="s">
        <v>1152</v>
      </c>
      <c r="I285" t="s">
        <v>1153</v>
      </c>
      <c r="J285">
        <v>6</v>
      </c>
      <c r="K285" t="s">
        <v>397</v>
      </c>
      <c r="L285" t="s">
        <v>213</v>
      </c>
      <c r="M285" t="s">
        <v>766</v>
      </c>
      <c r="N285" t="s">
        <v>493</v>
      </c>
      <c r="O285" t="s">
        <v>145</v>
      </c>
      <c r="P285" t="s">
        <v>29</v>
      </c>
      <c r="Q285" t="s">
        <v>30</v>
      </c>
    </row>
    <row r="286" spans="1:17" x14ac:dyDescent="0.25">
      <c r="A286" t="s">
        <v>1154</v>
      </c>
      <c r="B286">
        <v>103008</v>
      </c>
      <c r="C286" t="s">
        <v>18</v>
      </c>
      <c r="D286" t="s">
        <v>19</v>
      </c>
      <c r="E286" t="s">
        <v>33</v>
      </c>
      <c r="F286" t="s">
        <v>109</v>
      </c>
      <c r="G286" t="s">
        <v>22</v>
      </c>
      <c r="H286" t="s">
        <v>1155</v>
      </c>
      <c r="I286" t="s">
        <v>1156</v>
      </c>
      <c r="J286">
        <v>6</v>
      </c>
      <c r="K286" t="s">
        <v>25</v>
      </c>
      <c r="L286" t="s">
        <v>230</v>
      </c>
      <c r="M286" t="s">
        <v>906</v>
      </c>
      <c r="N286" t="s">
        <v>45</v>
      </c>
      <c r="O286" t="s">
        <v>77</v>
      </c>
      <c r="P286" t="s">
        <v>29</v>
      </c>
      <c r="Q286" t="s">
        <v>30</v>
      </c>
    </row>
    <row r="287" spans="1:17" x14ac:dyDescent="0.25">
      <c r="A287" t="s">
        <v>1157</v>
      </c>
      <c r="B287">
        <v>129187</v>
      </c>
      <c r="C287" t="s">
        <v>758</v>
      </c>
      <c r="D287" t="s">
        <v>32</v>
      </c>
      <c r="E287" t="s">
        <v>260</v>
      </c>
      <c r="F287" t="s">
        <v>40</v>
      </c>
      <c r="G287" t="s">
        <v>22</v>
      </c>
      <c r="H287" t="s">
        <v>1158</v>
      </c>
      <c r="I287" t="s">
        <v>1159</v>
      </c>
      <c r="J287">
        <v>6</v>
      </c>
      <c r="K287" t="s">
        <v>25</v>
      </c>
      <c r="L287" t="s">
        <v>590</v>
      </c>
      <c r="M287" t="s">
        <v>1160</v>
      </c>
      <c r="N287" t="s">
        <v>45</v>
      </c>
      <c r="O287" t="s">
        <v>612</v>
      </c>
      <c r="P287" t="s">
        <v>29</v>
      </c>
      <c r="Q287" t="s">
        <v>30</v>
      </c>
    </row>
    <row r="288" spans="1:17" x14ac:dyDescent="0.25">
      <c r="A288" t="s">
        <v>1161</v>
      </c>
      <c r="B288">
        <v>129301</v>
      </c>
      <c r="C288" t="s">
        <v>361</v>
      </c>
      <c r="D288" t="s">
        <v>32</v>
      </c>
      <c r="E288" t="s">
        <v>33</v>
      </c>
      <c r="F288" t="s">
        <v>40</v>
      </c>
      <c r="G288" t="s">
        <v>22</v>
      </c>
      <c r="H288" t="s">
        <v>1162</v>
      </c>
      <c r="I288" t="s">
        <v>1163</v>
      </c>
      <c r="J288">
        <v>6</v>
      </c>
      <c r="K288" t="s">
        <v>25</v>
      </c>
      <c r="L288" t="s">
        <v>612</v>
      </c>
      <c r="M288" t="s">
        <v>590</v>
      </c>
      <c r="N288" t="s">
        <v>493</v>
      </c>
      <c r="O288" t="s">
        <v>612</v>
      </c>
      <c r="P288" t="s">
        <v>29</v>
      </c>
      <c r="Q288" t="s">
        <v>30</v>
      </c>
    </row>
    <row r="289" spans="1:17" x14ac:dyDescent="0.25">
      <c r="A289" t="s">
        <v>1164</v>
      </c>
      <c r="B289">
        <v>129429</v>
      </c>
      <c r="C289" t="s">
        <v>147</v>
      </c>
      <c r="D289" t="s">
        <v>32</v>
      </c>
      <c r="E289" t="s">
        <v>62</v>
      </c>
      <c r="F289" t="s">
        <v>40</v>
      </c>
      <c r="G289" t="s">
        <v>22</v>
      </c>
      <c r="H289" t="s">
        <v>1165</v>
      </c>
      <c r="I289" t="s">
        <v>1166</v>
      </c>
      <c r="J289">
        <v>6</v>
      </c>
      <c r="K289" t="s">
        <v>25</v>
      </c>
      <c r="L289" t="s">
        <v>683</v>
      </c>
      <c r="M289" t="s">
        <v>1039</v>
      </c>
      <c r="N289" t="s">
        <v>45</v>
      </c>
      <c r="O289" t="s">
        <v>683</v>
      </c>
      <c r="P289" t="s">
        <v>29</v>
      </c>
      <c r="Q289" t="s">
        <v>30</v>
      </c>
    </row>
    <row r="290" spans="1:17" x14ac:dyDescent="0.25">
      <c r="A290" t="s">
        <v>1167</v>
      </c>
      <c r="B290">
        <v>129390</v>
      </c>
      <c r="C290" t="s">
        <v>74</v>
      </c>
      <c r="D290" t="s">
        <v>19</v>
      </c>
      <c r="E290" t="s">
        <v>33</v>
      </c>
      <c r="F290" t="s">
        <v>428</v>
      </c>
      <c r="G290" t="s">
        <v>22</v>
      </c>
      <c r="H290" t="s">
        <v>1168</v>
      </c>
      <c r="I290" t="s">
        <v>1169</v>
      </c>
      <c r="J290">
        <v>6</v>
      </c>
      <c r="K290" t="s">
        <v>112</v>
      </c>
      <c r="L290" t="s">
        <v>548</v>
      </c>
      <c r="M290" t="s">
        <v>1170</v>
      </c>
      <c r="N290" t="s">
        <v>975</v>
      </c>
      <c r="O290" t="s">
        <v>591</v>
      </c>
      <c r="P290" t="s">
        <v>29</v>
      </c>
      <c r="Q290" t="s">
        <v>30</v>
      </c>
    </row>
    <row r="291" spans="1:17" x14ac:dyDescent="0.25">
      <c r="A291" t="s">
        <v>1171</v>
      </c>
      <c r="B291">
        <v>129447</v>
      </c>
      <c r="C291" t="s">
        <v>1172</v>
      </c>
      <c r="D291" t="s">
        <v>19</v>
      </c>
      <c r="E291" t="s">
        <v>62</v>
      </c>
      <c r="F291" t="s">
        <v>21</v>
      </c>
      <c r="G291" t="s">
        <v>22</v>
      </c>
      <c r="H291" t="s">
        <v>1173</v>
      </c>
      <c r="I291" t="s">
        <v>1174</v>
      </c>
      <c r="J291">
        <v>6</v>
      </c>
      <c r="K291" t="s">
        <v>25</v>
      </c>
      <c r="L291" t="s">
        <v>290</v>
      </c>
      <c r="M291" t="s">
        <v>225</v>
      </c>
      <c r="N291" t="s">
        <v>45</v>
      </c>
      <c r="O291" t="s">
        <v>77</v>
      </c>
      <c r="P291" t="s">
        <v>29</v>
      </c>
      <c r="Q291" t="s">
        <v>30</v>
      </c>
    </row>
    <row r="292" spans="1:17" x14ac:dyDescent="0.25">
      <c r="A292" t="s">
        <v>791</v>
      </c>
      <c r="B292">
        <v>127206</v>
      </c>
      <c r="C292" t="s">
        <v>142</v>
      </c>
      <c r="D292" t="s">
        <v>32</v>
      </c>
      <c r="E292" t="s">
        <v>33</v>
      </c>
      <c r="F292" t="s">
        <v>40</v>
      </c>
      <c r="G292" t="s">
        <v>22</v>
      </c>
      <c r="H292" t="s">
        <v>1175</v>
      </c>
      <c r="I292" t="s">
        <v>1176</v>
      </c>
      <c r="J292">
        <v>6</v>
      </c>
      <c r="K292" t="s">
        <v>25</v>
      </c>
      <c r="L292" t="s">
        <v>590</v>
      </c>
      <c r="M292" t="s">
        <v>590</v>
      </c>
      <c r="N292" t="s">
        <v>45</v>
      </c>
      <c r="O292" t="s">
        <v>46</v>
      </c>
      <c r="P292" t="s">
        <v>29</v>
      </c>
      <c r="Q292" t="s">
        <v>30</v>
      </c>
    </row>
    <row r="293" spans="1:17" x14ac:dyDescent="0.25">
      <c r="A293" t="s">
        <v>1177</v>
      </c>
      <c r="B293">
        <v>126590</v>
      </c>
      <c r="C293" t="s">
        <v>634</v>
      </c>
      <c r="D293" t="s">
        <v>19</v>
      </c>
      <c r="E293" t="s">
        <v>33</v>
      </c>
      <c r="F293" t="s">
        <v>21</v>
      </c>
      <c r="G293" t="s">
        <v>22</v>
      </c>
      <c r="H293" t="s">
        <v>1178</v>
      </c>
      <c r="I293" t="s">
        <v>1179</v>
      </c>
      <c r="J293">
        <v>5</v>
      </c>
      <c r="K293" t="s">
        <v>25</v>
      </c>
      <c r="L293" t="s">
        <v>356</v>
      </c>
      <c r="M293" t="s">
        <v>225</v>
      </c>
      <c r="N293" t="s">
        <v>45</v>
      </c>
      <c r="O293" t="s">
        <v>356</v>
      </c>
      <c r="P293" t="s">
        <v>29</v>
      </c>
      <c r="Q293" t="s">
        <v>30</v>
      </c>
    </row>
    <row r="294" spans="1:17" x14ac:dyDescent="0.25">
      <c r="A294" t="s">
        <v>1180</v>
      </c>
      <c r="B294">
        <v>126791</v>
      </c>
      <c r="C294" t="s">
        <v>39</v>
      </c>
      <c r="D294" t="s">
        <v>32</v>
      </c>
      <c r="E294" t="s">
        <v>33</v>
      </c>
      <c r="F294" t="s">
        <v>40</v>
      </c>
      <c r="G294" t="s">
        <v>394</v>
      </c>
      <c r="H294" t="s">
        <v>1181</v>
      </c>
      <c r="I294" t="s">
        <v>1182</v>
      </c>
      <c r="J294">
        <v>5</v>
      </c>
      <c r="K294" t="s">
        <v>25</v>
      </c>
      <c r="L294" t="s">
        <v>290</v>
      </c>
      <c r="M294" t="s">
        <v>89</v>
      </c>
      <c r="N294" t="s">
        <v>493</v>
      </c>
      <c r="O294" t="s">
        <v>290</v>
      </c>
      <c r="P294" t="s">
        <v>29</v>
      </c>
      <c r="Q294" t="s">
        <v>30</v>
      </c>
    </row>
    <row r="295" spans="1:17" x14ac:dyDescent="0.25">
      <c r="A295" t="s">
        <v>1183</v>
      </c>
      <c r="B295">
        <v>126874</v>
      </c>
      <c r="C295" t="s">
        <v>622</v>
      </c>
      <c r="D295" t="s">
        <v>19</v>
      </c>
      <c r="E295" t="s">
        <v>33</v>
      </c>
      <c r="F295" t="s">
        <v>21</v>
      </c>
      <c r="G295" t="s">
        <v>22</v>
      </c>
      <c r="H295" t="s">
        <v>1184</v>
      </c>
      <c r="I295" t="s">
        <v>1185</v>
      </c>
      <c r="J295">
        <v>5</v>
      </c>
      <c r="K295" t="s">
        <v>211</v>
      </c>
      <c r="L295" t="s">
        <v>356</v>
      </c>
      <c r="M295" t="s">
        <v>662</v>
      </c>
      <c r="N295" t="s">
        <v>493</v>
      </c>
      <c r="O295" t="s">
        <v>356</v>
      </c>
      <c r="P295" t="s">
        <v>29</v>
      </c>
      <c r="Q295" t="s">
        <v>30</v>
      </c>
    </row>
    <row r="296" spans="1:17" x14ac:dyDescent="0.25">
      <c r="A296" t="s">
        <v>1186</v>
      </c>
      <c r="B296">
        <v>126956</v>
      </c>
      <c r="C296" t="s">
        <v>816</v>
      </c>
      <c r="D296" t="s">
        <v>32</v>
      </c>
      <c r="E296" t="s">
        <v>20</v>
      </c>
      <c r="F296" t="s">
        <v>763</v>
      </c>
      <c r="G296" t="s">
        <v>22</v>
      </c>
      <c r="H296" t="s">
        <v>1187</v>
      </c>
      <c r="I296" t="s">
        <v>1188</v>
      </c>
      <c r="J296">
        <v>5</v>
      </c>
      <c r="K296" t="s">
        <v>211</v>
      </c>
      <c r="L296" t="s">
        <v>590</v>
      </c>
      <c r="M296" t="s">
        <v>1132</v>
      </c>
      <c r="N296" t="s">
        <v>493</v>
      </c>
      <c r="O296" t="s">
        <v>1189</v>
      </c>
      <c r="P296" t="s">
        <v>29</v>
      </c>
      <c r="Q296" t="s">
        <v>30</v>
      </c>
    </row>
    <row r="297" spans="1:17" x14ac:dyDescent="0.25">
      <c r="A297" t="s">
        <v>1190</v>
      </c>
      <c r="B297">
        <v>126977</v>
      </c>
      <c r="C297" t="s">
        <v>54</v>
      </c>
      <c r="D297" t="s">
        <v>19</v>
      </c>
      <c r="E297" t="s">
        <v>33</v>
      </c>
      <c r="F297" t="s">
        <v>428</v>
      </c>
      <c r="G297" t="s">
        <v>22</v>
      </c>
      <c r="H297" t="s">
        <v>1191</v>
      </c>
      <c r="I297" t="s">
        <v>1192</v>
      </c>
      <c r="J297">
        <v>5</v>
      </c>
      <c r="K297" t="s">
        <v>25</v>
      </c>
      <c r="L297" t="s">
        <v>161</v>
      </c>
      <c r="M297" t="s">
        <v>586</v>
      </c>
      <c r="N297" t="s">
        <v>493</v>
      </c>
      <c r="O297" t="s">
        <v>77</v>
      </c>
      <c r="P297" t="s">
        <v>29</v>
      </c>
      <c r="Q297" t="s">
        <v>30</v>
      </c>
    </row>
    <row r="298" spans="1:17" x14ac:dyDescent="0.25">
      <c r="A298" t="s">
        <v>1193</v>
      </c>
      <c r="B298">
        <v>127035</v>
      </c>
      <c r="C298" t="s">
        <v>361</v>
      </c>
      <c r="D298" t="s">
        <v>32</v>
      </c>
      <c r="E298" t="s">
        <v>62</v>
      </c>
      <c r="F298" t="s">
        <v>40</v>
      </c>
      <c r="G298" t="s">
        <v>22</v>
      </c>
      <c r="H298" t="s">
        <v>1194</v>
      </c>
      <c r="I298" t="s">
        <v>1195</v>
      </c>
      <c r="J298">
        <v>5</v>
      </c>
      <c r="K298" t="s">
        <v>25</v>
      </c>
      <c r="L298" t="s">
        <v>290</v>
      </c>
      <c r="M298" t="s">
        <v>89</v>
      </c>
      <c r="N298" t="s">
        <v>493</v>
      </c>
      <c r="O298" t="s">
        <v>620</v>
      </c>
      <c r="P298" t="s">
        <v>29</v>
      </c>
      <c r="Q298" t="s">
        <v>30</v>
      </c>
    </row>
    <row r="299" spans="1:17" x14ac:dyDescent="0.25">
      <c r="A299" t="s">
        <v>1196</v>
      </c>
      <c r="B299">
        <v>91632</v>
      </c>
      <c r="C299" t="s">
        <v>1197</v>
      </c>
      <c r="D299" t="s">
        <v>19</v>
      </c>
      <c r="E299" t="s">
        <v>20</v>
      </c>
      <c r="F299" t="s">
        <v>484</v>
      </c>
      <c r="G299" t="s">
        <v>22</v>
      </c>
      <c r="H299" t="s">
        <v>1198</v>
      </c>
      <c r="I299" t="s">
        <v>1199</v>
      </c>
      <c r="J299">
        <v>5</v>
      </c>
      <c r="K299" t="s">
        <v>211</v>
      </c>
      <c r="L299" t="s">
        <v>761</v>
      </c>
      <c r="M299" t="s">
        <v>925</v>
      </c>
      <c r="N299" t="s">
        <v>493</v>
      </c>
      <c r="O299" t="s">
        <v>145</v>
      </c>
      <c r="P299" t="s">
        <v>29</v>
      </c>
      <c r="Q299" t="s">
        <v>30</v>
      </c>
    </row>
    <row r="300" spans="1:17" x14ac:dyDescent="0.25">
      <c r="A300" t="s">
        <v>1200</v>
      </c>
      <c r="B300">
        <v>126767</v>
      </c>
      <c r="C300" t="s">
        <v>1100</v>
      </c>
      <c r="D300" t="s">
        <v>32</v>
      </c>
      <c r="E300" t="s">
        <v>62</v>
      </c>
      <c r="F300" t="s">
        <v>700</v>
      </c>
      <c r="G300" t="s">
        <v>22</v>
      </c>
      <c r="H300" t="s">
        <v>1201</v>
      </c>
      <c r="I300" t="s">
        <v>1202</v>
      </c>
      <c r="J300">
        <v>5</v>
      </c>
      <c r="K300" t="s">
        <v>25</v>
      </c>
      <c r="L300" t="s">
        <v>761</v>
      </c>
      <c r="M300" t="s">
        <v>1017</v>
      </c>
      <c r="N300" t="s">
        <v>493</v>
      </c>
      <c r="O300" t="s">
        <v>591</v>
      </c>
      <c r="P300" t="s">
        <v>29</v>
      </c>
      <c r="Q300" t="s">
        <v>30</v>
      </c>
    </row>
    <row r="301" spans="1:17" x14ac:dyDescent="0.25">
      <c r="A301" t="s">
        <v>1203</v>
      </c>
      <c r="B301">
        <v>127138</v>
      </c>
      <c r="C301" t="s">
        <v>903</v>
      </c>
      <c r="D301" t="s">
        <v>32</v>
      </c>
      <c r="E301" t="s">
        <v>33</v>
      </c>
      <c r="F301" t="s">
        <v>109</v>
      </c>
      <c r="G301" t="s">
        <v>22</v>
      </c>
      <c r="H301" t="s">
        <v>1204</v>
      </c>
      <c r="I301" t="s">
        <v>1205</v>
      </c>
      <c r="J301">
        <v>5</v>
      </c>
      <c r="K301" t="s">
        <v>25</v>
      </c>
      <c r="L301" t="s">
        <v>761</v>
      </c>
      <c r="M301" t="s">
        <v>811</v>
      </c>
      <c r="N301" t="s">
        <v>493</v>
      </c>
      <c r="O301" t="s">
        <v>661</v>
      </c>
      <c r="P301" t="s">
        <v>29</v>
      </c>
      <c r="Q301" t="s">
        <v>30</v>
      </c>
    </row>
    <row r="302" spans="1:17" x14ac:dyDescent="0.25">
      <c r="A302" t="s">
        <v>1206</v>
      </c>
      <c r="B302">
        <v>127201</v>
      </c>
      <c r="C302" t="s">
        <v>884</v>
      </c>
      <c r="D302" t="s">
        <v>19</v>
      </c>
      <c r="E302" t="s">
        <v>62</v>
      </c>
      <c r="F302" t="s">
        <v>763</v>
      </c>
      <c r="G302" t="s">
        <v>22</v>
      </c>
      <c r="H302" t="s">
        <v>1207</v>
      </c>
      <c r="I302" t="s">
        <v>1208</v>
      </c>
      <c r="J302">
        <v>5</v>
      </c>
      <c r="K302" t="s">
        <v>211</v>
      </c>
      <c r="L302" t="s">
        <v>548</v>
      </c>
      <c r="M302" t="s">
        <v>586</v>
      </c>
      <c r="N302" t="s">
        <v>45</v>
      </c>
      <c r="O302" t="s">
        <v>1189</v>
      </c>
      <c r="P302" t="s">
        <v>29</v>
      </c>
      <c r="Q302" t="s">
        <v>30</v>
      </c>
    </row>
    <row r="303" spans="1:17" x14ac:dyDescent="0.25">
      <c r="A303" t="s">
        <v>1209</v>
      </c>
      <c r="B303">
        <v>127248</v>
      </c>
      <c r="C303" t="s">
        <v>296</v>
      </c>
      <c r="D303" t="s">
        <v>19</v>
      </c>
      <c r="E303" t="s">
        <v>62</v>
      </c>
      <c r="F303" t="s">
        <v>428</v>
      </c>
      <c r="G303" t="s">
        <v>22</v>
      </c>
      <c r="H303" t="s">
        <v>1210</v>
      </c>
      <c r="I303" t="s">
        <v>1211</v>
      </c>
      <c r="J303">
        <v>5</v>
      </c>
      <c r="K303" t="s">
        <v>25</v>
      </c>
      <c r="L303" t="s">
        <v>213</v>
      </c>
      <c r="M303" t="s">
        <v>724</v>
      </c>
      <c r="N303" t="s">
        <v>45</v>
      </c>
      <c r="O303" t="s">
        <v>77</v>
      </c>
      <c r="P303" t="s">
        <v>29</v>
      </c>
      <c r="Q303" t="s">
        <v>30</v>
      </c>
    </row>
    <row r="304" spans="1:17" x14ac:dyDescent="0.25">
      <c r="A304" t="s">
        <v>1212</v>
      </c>
      <c r="B304">
        <v>127532</v>
      </c>
      <c r="C304" t="s">
        <v>788</v>
      </c>
      <c r="D304" t="s">
        <v>19</v>
      </c>
      <c r="E304" t="s">
        <v>260</v>
      </c>
      <c r="F304" t="s">
        <v>685</v>
      </c>
      <c r="G304" t="s">
        <v>394</v>
      </c>
      <c r="H304" t="s">
        <v>1213</v>
      </c>
      <c r="I304" t="s">
        <v>1214</v>
      </c>
      <c r="J304">
        <v>5</v>
      </c>
      <c r="K304" t="s">
        <v>25</v>
      </c>
      <c r="L304" t="s">
        <v>590</v>
      </c>
      <c r="M304" t="s">
        <v>1215</v>
      </c>
      <c r="N304" t="s">
        <v>493</v>
      </c>
      <c r="O304" t="s">
        <v>683</v>
      </c>
      <c r="P304" t="s">
        <v>29</v>
      </c>
      <c r="Q304" t="s">
        <v>30</v>
      </c>
    </row>
    <row r="305" spans="1:17" x14ac:dyDescent="0.25">
      <c r="A305" t="s">
        <v>1216</v>
      </c>
      <c r="B305">
        <v>127503</v>
      </c>
      <c r="C305" t="s">
        <v>1217</v>
      </c>
      <c r="D305" t="s">
        <v>19</v>
      </c>
      <c r="E305" t="s">
        <v>260</v>
      </c>
      <c r="F305" t="s">
        <v>109</v>
      </c>
      <c r="G305" t="s">
        <v>22</v>
      </c>
      <c r="H305" t="s">
        <v>1218</v>
      </c>
      <c r="I305" t="s">
        <v>1219</v>
      </c>
      <c r="J305">
        <v>5</v>
      </c>
      <c r="K305" t="s">
        <v>25</v>
      </c>
      <c r="L305" t="s">
        <v>761</v>
      </c>
      <c r="M305" t="s">
        <v>708</v>
      </c>
      <c r="N305" t="s">
        <v>493</v>
      </c>
      <c r="O305" t="s">
        <v>661</v>
      </c>
      <c r="P305" t="s">
        <v>29</v>
      </c>
      <c r="Q305" t="s">
        <v>30</v>
      </c>
    </row>
    <row r="306" spans="1:17" x14ac:dyDescent="0.25">
      <c r="A306" t="s">
        <v>1220</v>
      </c>
      <c r="B306">
        <v>127553</v>
      </c>
      <c r="C306" t="s">
        <v>622</v>
      </c>
      <c r="D306" t="s">
        <v>19</v>
      </c>
      <c r="E306" t="s">
        <v>20</v>
      </c>
      <c r="F306" t="s">
        <v>21</v>
      </c>
      <c r="G306" t="s">
        <v>22</v>
      </c>
      <c r="H306" t="s">
        <v>1221</v>
      </c>
      <c r="I306" t="s">
        <v>1222</v>
      </c>
      <c r="J306">
        <v>5</v>
      </c>
      <c r="K306" t="s">
        <v>211</v>
      </c>
      <c r="L306" t="s">
        <v>661</v>
      </c>
      <c r="M306" t="s">
        <v>308</v>
      </c>
      <c r="N306" t="s">
        <v>493</v>
      </c>
      <c r="O306" t="s">
        <v>356</v>
      </c>
      <c r="P306" t="s">
        <v>29</v>
      </c>
      <c r="Q306" t="s">
        <v>30</v>
      </c>
    </row>
    <row r="307" spans="1:17" x14ac:dyDescent="0.25">
      <c r="A307" t="s">
        <v>1223</v>
      </c>
      <c r="B307">
        <v>127558</v>
      </c>
      <c r="C307" t="s">
        <v>281</v>
      </c>
      <c r="D307" t="s">
        <v>32</v>
      </c>
      <c r="E307" t="s">
        <v>62</v>
      </c>
      <c r="F307" t="s">
        <v>700</v>
      </c>
      <c r="G307" t="s">
        <v>22</v>
      </c>
      <c r="H307" t="s">
        <v>1224</v>
      </c>
      <c r="I307" t="s">
        <v>1225</v>
      </c>
      <c r="J307">
        <v>5</v>
      </c>
      <c r="K307" t="s">
        <v>25</v>
      </c>
      <c r="L307" t="s">
        <v>37</v>
      </c>
      <c r="M307" t="s">
        <v>1226</v>
      </c>
      <c r="N307" t="s">
        <v>493</v>
      </c>
      <c r="O307" t="s">
        <v>591</v>
      </c>
      <c r="P307" t="s">
        <v>29</v>
      </c>
      <c r="Q307" t="s">
        <v>30</v>
      </c>
    </row>
    <row r="308" spans="1:17" x14ac:dyDescent="0.25">
      <c r="A308" t="s">
        <v>1227</v>
      </c>
      <c r="B308">
        <v>127560</v>
      </c>
      <c r="C308" t="s">
        <v>622</v>
      </c>
      <c r="D308" t="s">
        <v>32</v>
      </c>
      <c r="E308" t="s">
        <v>33</v>
      </c>
      <c r="F308" t="s">
        <v>21</v>
      </c>
      <c r="G308" t="s">
        <v>22</v>
      </c>
      <c r="H308" t="s">
        <v>1228</v>
      </c>
      <c r="I308" t="s">
        <v>1229</v>
      </c>
      <c r="J308">
        <v>5</v>
      </c>
      <c r="K308" t="s">
        <v>25</v>
      </c>
      <c r="L308" t="s">
        <v>661</v>
      </c>
      <c r="M308" t="s">
        <v>368</v>
      </c>
      <c r="N308" t="s">
        <v>493</v>
      </c>
      <c r="O308" t="s">
        <v>356</v>
      </c>
      <c r="P308" t="s">
        <v>29</v>
      </c>
      <c r="Q308" t="s">
        <v>30</v>
      </c>
    </row>
    <row r="309" spans="1:17" x14ac:dyDescent="0.25">
      <c r="A309" t="s">
        <v>1230</v>
      </c>
      <c r="B309">
        <v>127561</v>
      </c>
      <c r="C309" t="s">
        <v>758</v>
      </c>
      <c r="D309" t="s">
        <v>19</v>
      </c>
      <c r="E309" t="s">
        <v>62</v>
      </c>
      <c r="F309" t="s">
        <v>428</v>
      </c>
      <c r="G309" t="s">
        <v>22</v>
      </c>
      <c r="H309" t="s">
        <v>1231</v>
      </c>
      <c r="I309" t="s">
        <v>1232</v>
      </c>
      <c r="J309">
        <v>5</v>
      </c>
      <c r="K309" t="s">
        <v>25</v>
      </c>
      <c r="L309" t="s">
        <v>37</v>
      </c>
      <c r="M309" t="s">
        <v>751</v>
      </c>
      <c r="N309" t="s">
        <v>493</v>
      </c>
      <c r="O309" t="s">
        <v>77</v>
      </c>
      <c r="P309" t="s">
        <v>29</v>
      </c>
      <c r="Q309" t="s">
        <v>30</v>
      </c>
    </row>
    <row r="310" spans="1:17" x14ac:dyDescent="0.25">
      <c r="A310" t="s">
        <v>1233</v>
      </c>
      <c r="B310">
        <v>127433</v>
      </c>
      <c r="C310" t="s">
        <v>646</v>
      </c>
      <c r="D310" t="s">
        <v>19</v>
      </c>
      <c r="E310" t="s">
        <v>33</v>
      </c>
      <c r="F310" t="s">
        <v>109</v>
      </c>
      <c r="G310" t="s">
        <v>22</v>
      </c>
      <c r="H310" t="s">
        <v>1234</v>
      </c>
      <c r="I310" t="s">
        <v>1235</v>
      </c>
      <c r="J310">
        <v>5</v>
      </c>
      <c r="K310" t="s">
        <v>25</v>
      </c>
      <c r="L310" t="s">
        <v>37</v>
      </c>
      <c r="M310" t="s">
        <v>708</v>
      </c>
      <c r="N310" t="s">
        <v>493</v>
      </c>
      <c r="O310" t="s">
        <v>661</v>
      </c>
      <c r="P310" t="s">
        <v>29</v>
      </c>
      <c r="Q310" t="s">
        <v>30</v>
      </c>
    </row>
    <row r="311" spans="1:17" x14ac:dyDescent="0.25">
      <c r="A311" t="s">
        <v>1236</v>
      </c>
      <c r="B311">
        <v>127803</v>
      </c>
      <c r="C311" t="s">
        <v>54</v>
      </c>
      <c r="D311" t="s">
        <v>19</v>
      </c>
      <c r="E311" t="s">
        <v>130</v>
      </c>
      <c r="F311" t="s">
        <v>484</v>
      </c>
      <c r="G311" t="s">
        <v>22</v>
      </c>
      <c r="H311" t="s">
        <v>1237</v>
      </c>
      <c r="I311" t="s">
        <v>1238</v>
      </c>
      <c r="J311">
        <v>5</v>
      </c>
      <c r="K311" t="s">
        <v>211</v>
      </c>
      <c r="L311" t="s">
        <v>761</v>
      </c>
      <c r="M311" t="s">
        <v>967</v>
      </c>
      <c r="N311" t="s">
        <v>493</v>
      </c>
      <c r="O311" t="s">
        <v>591</v>
      </c>
      <c r="P311" t="s">
        <v>29</v>
      </c>
      <c r="Q311" t="s">
        <v>30</v>
      </c>
    </row>
    <row r="312" spans="1:17" x14ac:dyDescent="0.25">
      <c r="A312" t="s">
        <v>1239</v>
      </c>
      <c r="B312">
        <v>12418</v>
      </c>
      <c r="C312" t="s">
        <v>1240</v>
      </c>
      <c r="D312" t="s">
        <v>32</v>
      </c>
      <c r="E312" t="s">
        <v>260</v>
      </c>
      <c r="F312" t="s">
        <v>685</v>
      </c>
      <c r="G312" t="s">
        <v>394</v>
      </c>
      <c r="H312" t="s">
        <v>1241</v>
      </c>
      <c r="I312" t="s">
        <v>1242</v>
      </c>
      <c r="J312">
        <v>5</v>
      </c>
      <c r="K312" t="s">
        <v>25</v>
      </c>
      <c r="L312" t="s">
        <v>126</v>
      </c>
      <c r="M312" t="s">
        <v>1132</v>
      </c>
      <c r="N312" t="s">
        <v>493</v>
      </c>
      <c r="O312" t="s">
        <v>683</v>
      </c>
      <c r="P312" t="s">
        <v>29</v>
      </c>
      <c r="Q312" t="s">
        <v>30</v>
      </c>
    </row>
    <row r="313" spans="1:17" x14ac:dyDescent="0.25">
      <c r="A313" t="s">
        <v>1243</v>
      </c>
      <c r="B313">
        <v>127951</v>
      </c>
      <c r="C313" t="s">
        <v>122</v>
      </c>
      <c r="D313" t="s">
        <v>32</v>
      </c>
      <c r="E313" t="s">
        <v>33</v>
      </c>
      <c r="F313" t="s">
        <v>40</v>
      </c>
      <c r="G313" t="s">
        <v>22</v>
      </c>
      <c r="H313" t="s">
        <v>1244</v>
      </c>
      <c r="I313" t="s">
        <v>1245</v>
      </c>
      <c r="J313">
        <v>5</v>
      </c>
      <c r="K313" t="s">
        <v>25</v>
      </c>
      <c r="L313" t="s">
        <v>290</v>
      </c>
      <c r="M313" t="s">
        <v>89</v>
      </c>
      <c r="N313" t="s">
        <v>493</v>
      </c>
      <c r="O313" t="s">
        <v>290</v>
      </c>
      <c r="P313" t="s">
        <v>29</v>
      </c>
      <c r="Q313" t="s">
        <v>30</v>
      </c>
    </row>
    <row r="314" spans="1:17" x14ac:dyDescent="0.25">
      <c r="A314" t="s">
        <v>1246</v>
      </c>
      <c r="B314">
        <v>128024</v>
      </c>
      <c r="C314" t="s">
        <v>641</v>
      </c>
      <c r="D314" t="s">
        <v>32</v>
      </c>
      <c r="E314" t="s">
        <v>33</v>
      </c>
      <c r="F314" t="s">
        <v>700</v>
      </c>
      <c r="G314" t="s">
        <v>22</v>
      </c>
      <c r="H314" t="s">
        <v>1247</v>
      </c>
      <c r="I314" t="s">
        <v>1248</v>
      </c>
      <c r="J314">
        <v>5</v>
      </c>
      <c r="K314" t="s">
        <v>25</v>
      </c>
      <c r="L314" t="s">
        <v>213</v>
      </c>
      <c r="M314" t="s">
        <v>807</v>
      </c>
      <c r="N314" t="s">
        <v>45</v>
      </c>
      <c r="O314" t="s">
        <v>761</v>
      </c>
      <c r="P314" t="s">
        <v>29</v>
      </c>
      <c r="Q314" t="s">
        <v>30</v>
      </c>
    </row>
    <row r="315" spans="1:17" x14ac:dyDescent="0.25">
      <c r="A315" t="s">
        <v>1249</v>
      </c>
      <c r="B315">
        <v>128068</v>
      </c>
      <c r="C315" t="s">
        <v>151</v>
      </c>
      <c r="D315" t="s">
        <v>32</v>
      </c>
      <c r="E315" t="s">
        <v>33</v>
      </c>
      <c r="F315" t="s">
        <v>40</v>
      </c>
      <c r="G315" t="s">
        <v>22</v>
      </c>
      <c r="H315" t="s">
        <v>1250</v>
      </c>
      <c r="I315" t="s">
        <v>1251</v>
      </c>
      <c r="J315">
        <v>5</v>
      </c>
      <c r="K315" t="s">
        <v>25</v>
      </c>
      <c r="L315" t="s">
        <v>105</v>
      </c>
      <c r="M315" t="s">
        <v>341</v>
      </c>
      <c r="N315" t="s">
        <v>45</v>
      </c>
      <c r="O315" t="s">
        <v>105</v>
      </c>
      <c r="P315" t="s">
        <v>29</v>
      </c>
      <c r="Q315" t="s">
        <v>30</v>
      </c>
    </row>
    <row r="316" spans="1:17" x14ac:dyDescent="0.25">
      <c r="A316" t="s">
        <v>1252</v>
      </c>
      <c r="B316">
        <v>128194</v>
      </c>
      <c r="C316" t="s">
        <v>151</v>
      </c>
      <c r="D316" t="s">
        <v>32</v>
      </c>
      <c r="E316" t="s">
        <v>33</v>
      </c>
      <c r="F316" t="s">
        <v>40</v>
      </c>
      <c r="G316" t="s">
        <v>22</v>
      </c>
      <c r="H316" t="s">
        <v>1253</v>
      </c>
      <c r="I316" t="s">
        <v>1254</v>
      </c>
      <c r="J316">
        <v>5</v>
      </c>
      <c r="K316" t="s">
        <v>25</v>
      </c>
      <c r="L316" t="s">
        <v>444</v>
      </c>
      <c r="M316" t="s">
        <v>1128</v>
      </c>
      <c r="N316" t="s">
        <v>28</v>
      </c>
      <c r="O316" t="s">
        <v>590</v>
      </c>
      <c r="P316" t="s">
        <v>29</v>
      </c>
      <c r="Q316" t="s">
        <v>30</v>
      </c>
    </row>
    <row r="317" spans="1:17" x14ac:dyDescent="0.25">
      <c r="A317" t="s">
        <v>1255</v>
      </c>
      <c r="B317">
        <v>128305</v>
      </c>
      <c r="C317" t="s">
        <v>400</v>
      </c>
      <c r="D317" t="s">
        <v>19</v>
      </c>
      <c r="E317" t="s">
        <v>130</v>
      </c>
      <c r="F317" t="s">
        <v>484</v>
      </c>
      <c r="G317" t="s">
        <v>22</v>
      </c>
      <c r="H317" t="s">
        <v>1256</v>
      </c>
      <c r="I317" t="s">
        <v>1257</v>
      </c>
      <c r="J317">
        <v>5</v>
      </c>
      <c r="K317" t="s">
        <v>25</v>
      </c>
      <c r="L317" t="s">
        <v>590</v>
      </c>
      <c r="M317" t="s">
        <v>544</v>
      </c>
      <c r="N317" t="s">
        <v>493</v>
      </c>
      <c r="O317" t="s">
        <v>145</v>
      </c>
      <c r="P317" t="s">
        <v>29</v>
      </c>
      <c r="Q317" t="s">
        <v>30</v>
      </c>
    </row>
    <row r="318" spans="1:17" x14ac:dyDescent="0.25">
      <c r="A318" t="s">
        <v>1258</v>
      </c>
      <c r="B318">
        <v>17945</v>
      </c>
      <c r="C318" t="s">
        <v>86</v>
      </c>
      <c r="D318" t="s">
        <v>32</v>
      </c>
      <c r="E318" t="s">
        <v>33</v>
      </c>
      <c r="F318" t="s">
        <v>40</v>
      </c>
      <c r="G318" t="s">
        <v>664</v>
      </c>
      <c r="H318" t="s">
        <v>1259</v>
      </c>
      <c r="I318" t="s">
        <v>1260</v>
      </c>
      <c r="J318">
        <v>5</v>
      </c>
      <c r="K318" t="s">
        <v>25</v>
      </c>
      <c r="L318" t="s">
        <v>290</v>
      </c>
      <c r="M318" t="s">
        <v>89</v>
      </c>
      <c r="N318" t="s">
        <v>493</v>
      </c>
      <c r="O318" t="s">
        <v>590</v>
      </c>
      <c r="P318" t="s">
        <v>29</v>
      </c>
      <c r="Q318" t="s">
        <v>30</v>
      </c>
    </row>
    <row r="319" spans="1:17" x14ac:dyDescent="0.25">
      <c r="A319" t="s">
        <v>1261</v>
      </c>
      <c r="B319">
        <v>128370</v>
      </c>
      <c r="C319" t="s">
        <v>1262</v>
      </c>
      <c r="D319" t="s">
        <v>19</v>
      </c>
      <c r="E319" t="s">
        <v>33</v>
      </c>
      <c r="F319" t="s">
        <v>484</v>
      </c>
      <c r="G319" t="s">
        <v>22</v>
      </c>
      <c r="H319" t="s">
        <v>1263</v>
      </c>
      <c r="I319" t="s">
        <v>1264</v>
      </c>
      <c r="J319">
        <v>5</v>
      </c>
      <c r="K319" t="s">
        <v>211</v>
      </c>
      <c r="L319" t="s">
        <v>548</v>
      </c>
      <c r="M319" t="s">
        <v>1265</v>
      </c>
      <c r="N319" t="s">
        <v>493</v>
      </c>
      <c r="O319" t="s">
        <v>620</v>
      </c>
      <c r="P319" t="s">
        <v>29</v>
      </c>
      <c r="Q319" t="s">
        <v>30</v>
      </c>
    </row>
    <row r="320" spans="1:17" x14ac:dyDescent="0.25">
      <c r="A320" t="s">
        <v>1266</v>
      </c>
      <c r="B320">
        <v>103757</v>
      </c>
      <c r="C320" t="s">
        <v>252</v>
      </c>
      <c r="D320" t="s">
        <v>19</v>
      </c>
      <c r="E320" t="s">
        <v>62</v>
      </c>
      <c r="F320" t="s">
        <v>109</v>
      </c>
      <c r="G320" t="s">
        <v>22</v>
      </c>
      <c r="H320" t="s">
        <v>1267</v>
      </c>
      <c r="I320" t="s">
        <v>1268</v>
      </c>
      <c r="J320">
        <v>5</v>
      </c>
      <c r="K320" t="s">
        <v>25</v>
      </c>
      <c r="L320" t="s">
        <v>157</v>
      </c>
      <c r="M320" t="s">
        <v>708</v>
      </c>
      <c r="N320" t="s">
        <v>28</v>
      </c>
      <c r="O320" t="s">
        <v>290</v>
      </c>
      <c r="P320" t="s">
        <v>29</v>
      </c>
      <c r="Q320" t="s">
        <v>30</v>
      </c>
    </row>
    <row r="321" spans="1:17" x14ac:dyDescent="0.25">
      <c r="A321" t="s">
        <v>1269</v>
      </c>
      <c r="B321">
        <v>128543</v>
      </c>
      <c r="C321" t="s">
        <v>577</v>
      </c>
      <c r="D321" t="s">
        <v>19</v>
      </c>
      <c r="E321" t="s">
        <v>20</v>
      </c>
      <c r="F321" t="s">
        <v>428</v>
      </c>
      <c r="G321" t="s">
        <v>22</v>
      </c>
      <c r="H321" t="s">
        <v>1270</v>
      </c>
      <c r="I321" t="s">
        <v>1271</v>
      </c>
      <c r="J321">
        <v>5</v>
      </c>
      <c r="K321" t="s">
        <v>25</v>
      </c>
      <c r="L321" t="s">
        <v>213</v>
      </c>
      <c r="M321" t="s">
        <v>652</v>
      </c>
      <c r="N321" t="s">
        <v>493</v>
      </c>
      <c r="O321" t="s">
        <v>77</v>
      </c>
      <c r="P321" t="s">
        <v>29</v>
      </c>
      <c r="Q321" t="s">
        <v>30</v>
      </c>
    </row>
    <row r="322" spans="1:17" x14ac:dyDescent="0.25">
      <c r="A322" t="s">
        <v>1272</v>
      </c>
      <c r="B322">
        <v>128563</v>
      </c>
      <c r="C322" t="s">
        <v>122</v>
      </c>
      <c r="D322" t="s">
        <v>32</v>
      </c>
      <c r="E322" t="s">
        <v>260</v>
      </c>
      <c r="F322" t="s">
        <v>40</v>
      </c>
      <c r="G322" t="s">
        <v>22</v>
      </c>
      <c r="H322" t="s">
        <v>1273</v>
      </c>
      <c r="I322" t="s">
        <v>1274</v>
      </c>
      <c r="J322">
        <v>5</v>
      </c>
      <c r="K322" t="s">
        <v>25</v>
      </c>
      <c r="L322" t="s">
        <v>290</v>
      </c>
      <c r="M322" t="s">
        <v>89</v>
      </c>
      <c r="N322" t="s">
        <v>493</v>
      </c>
      <c r="O322" t="s">
        <v>683</v>
      </c>
      <c r="P322" t="s">
        <v>29</v>
      </c>
      <c r="Q322" t="s">
        <v>30</v>
      </c>
    </row>
    <row r="323" spans="1:17" x14ac:dyDescent="0.25">
      <c r="A323" t="s">
        <v>1275</v>
      </c>
      <c r="B323">
        <v>128856</v>
      </c>
      <c r="C323" t="s">
        <v>122</v>
      </c>
      <c r="D323" t="s">
        <v>32</v>
      </c>
      <c r="E323" t="s">
        <v>62</v>
      </c>
      <c r="F323" t="s">
        <v>123</v>
      </c>
      <c r="G323" t="s">
        <v>22</v>
      </c>
      <c r="H323" t="s">
        <v>1276</v>
      </c>
      <c r="I323" t="s">
        <v>1277</v>
      </c>
      <c r="J323">
        <v>5</v>
      </c>
      <c r="K323" t="s">
        <v>25</v>
      </c>
      <c r="L323" t="s">
        <v>356</v>
      </c>
      <c r="M323" t="s">
        <v>127</v>
      </c>
      <c r="N323" t="s">
        <v>493</v>
      </c>
      <c r="O323" t="s">
        <v>444</v>
      </c>
      <c r="P323" t="s">
        <v>29</v>
      </c>
      <c r="Q323" t="s">
        <v>30</v>
      </c>
    </row>
    <row r="324" spans="1:17" x14ac:dyDescent="0.25">
      <c r="A324" t="s">
        <v>1278</v>
      </c>
      <c r="B324">
        <v>104346</v>
      </c>
      <c r="C324" t="s">
        <v>61</v>
      </c>
      <c r="D324" t="s">
        <v>32</v>
      </c>
      <c r="E324" t="s">
        <v>33</v>
      </c>
      <c r="F324" t="s">
        <v>685</v>
      </c>
      <c r="G324" t="s">
        <v>394</v>
      </c>
      <c r="H324" t="s">
        <v>1279</v>
      </c>
      <c r="I324" t="s">
        <v>1280</v>
      </c>
      <c r="J324">
        <v>5</v>
      </c>
      <c r="K324" t="s">
        <v>25</v>
      </c>
      <c r="L324" t="s">
        <v>1281</v>
      </c>
      <c r="M324" t="s">
        <v>1215</v>
      </c>
      <c r="N324" t="s">
        <v>493</v>
      </c>
      <c r="O324" t="s">
        <v>444</v>
      </c>
      <c r="P324" t="s">
        <v>29</v>
      </c>
      <c r="Q324" t="s">
        <v>30</v>
      </c>
    </row>
    <row r="325" spans="1:17" x14ac:dyDescent="0.25">
      <c r="A325" t="s">
        <v>1282</v>
      </c>
      <c r="B325">
        <v>127164</v>
      </c>
      <c r="C325" t="s">
        <v>74</v>
      </c>
      <c r="D325" t="s">
        <v>32</v>
      </c>
      <c r="E325" t="s">
        <v>33</v>
      </c>
      <c r="F325" t="s">
        <v>700</v>
      </c>
      <c r="G325" t="s">
        <v>22</v>
      </c>
      <c r="H325" t="s">
        <v>1283</v>
      </c>
      <c r="I325" t="s">
        <v>1284</v>
      </c>
      <c r="J325">
        <v>5</v>
      </c>
      <c r="K325" t="s">
        <v>211</v>
      </c>
      <c r="L325" t="s">
        <v>126</v>
      </c>
      <c r="M325" t="s">
        <v>1285</v>
      </c>
      <c r="N325" t="s">
        <v>493</v>
      </c>
      <c r="O325" t="s">
        <v>145</v>
      </c>
      <c r="P325" t="s">
        <v>29</v>
      </c>
      <c r="Q325" t="s">
        <v>30</v>
      </c>
    </row>
    <row r="326" spans="1:17" x14ac:dyDescent="0.25">
      <c r="A326" t="s">
        <v>1286</v>
      </c>
      <c r="B326">
        <v>129195</v>
      </c>
      <c r="C326" t="s">
        <v>61</v>
      </c>
      <c r="D326" t="s">
        <v>19</v>
      </c>
      <c r="E326" t="s">
        <v>130</v>
      </c>
      <c r="F326" t="s">
        <v>428</v>
      </c>
      <c r="G326" t="s">
        <v>22</v>
      </c>
      <c r="H326" t="s">
        <v>1287</v>
      </c>
      <c r="I326" t="s">
        <v>1288</v>
      </c>
      <c r="J326">
        <v>5</v>
      </c>
      <c r="K326" t="s">
        <v>112</v>
      </c>
      <c r="L326" t="s">
        <v>548</v>
      </c>
      <c r="M326" t="s">
        <v>1103</v>
      </c>
      <c r="N326" t="s">
        <v>493</v>
      </c>
      <c r="O326" t="s">
        <v>591</v>
      </c>
      <c r="P326" t="s">
        <v>29</v>
      </c>
      <c r="Q326" t="s">
        <v>30</v>
      </c>
    </row>
    <row r="327" spans="1:17" x14ac:dyDescent="0.25">
      <c r="A327" t="s">
        <v>1289</v>
      </c>
      <c r="B327">
        <v>129250</v>
      </c>
      <c r="C327" t="s">
        <v>622</v>
      </c>
      <c r="D327" t="s">
        <v>32</v>
      </c>
      <c r="E327" t="s">
        <v>33</v>
      </c>
      <c r="F327" t="s">
        <v>21</v>
      </c>
      <c r="G327" t="s">
        <v>22</v>
      </c>
      <c r="H327" t="s">
        <v>1290</v>
      </c>
      <c r="I327" t="s">
        <v>1291</v>
      </c>
      <c r="J327">
        <v>5</v>
      </c>
      <c r="K327" t="s">
        <v>25</v>
      </c>
      <c r="L327" t="s">
        <v>77</v>
      </c>
      <c r="M327" t="s">
        <v>943</v>
      </c>
      <c r="N327" t="s">
        <v>45</v>
      </c>
      <c r="O327" t="s">
        <v>77</v>
      </c>
      <c r="P327" t="s">
        <v>29</v>
      </c>
      <c r="Q327" t="s">
        <v>30</v>
      </c>
    </row>
    <row r="328" spans="1:17" x14ac:dyDescent="0.25">
      <c r="A328" t="s">
        <v>1292</v>
      </c>
      <c r="B328">
        <v>129387</v>
      </c>
      <c r="C328" t="s">
        <v>1172</v>
      </c>
      <c r="D328" t="s">
        <v>32</v>
      </c>
      <c r="E328" t="s">
        <v>33</v>
      </c>
      <c r="F328" t="s">
        <v>21</v>
      </c>
      <c r="G328" t="s">
        <v>22</v>
      </c>
      <c r="H328" t="s">
        <v>1293</v>
      </c>
      <c r="I328" t="s">
        <v>1294</v>
      </c>
      <c r="J328">
        <v>5</v>
      </c>
      <c r="K328" t="s">
        <v>25</v>
      </c>
      <c r="L328" t="s">
        <v>77</v>
      </c>
      <c r="M328" t="s">
        <v>308</v>
      </c>
      <c r="N328" t="s">
        <v>493</v>
      </c>
      <c r="O328" t="s">
        <v>77</v>
      </c>
      <c r="P328" t="s">
        <v>29</v>
      </c>
      <c r="Q328" t="s">
        <v>30</v>
      </c>
    </row>
    <row r="329" spans="1:17" x14ac:dyDescent="0.25">
      <c r="A329" t="s">
        <v>1295</v>
      </c>
      <c r="B329">
        <v>129412</v>
      </c>
      <c r="C329" t="s">
        <v>622</v>
      </c>
      <c r="D329" t="s">
        <v>32</v>
      </c>
      <c r="E329" t="s">
        <v>33</v>
      </c>
      <c r="F329" t="s">
        <v>21</v>
      </c>
      <c r="G329" t="s">
        <v>22</v>
      </c>
      <c r="H329" t="s">
        <v>1296</v>
      </c>
      <c r="I329" t="s">
        <v>1297</v>
      </c>
      <c r="J329">
        <v>5</v>
      </c>
      <c r="K329" t="s">
        <v>25</v>
      </c>
      <c r="L329" t="s">
        <v>77</v>
      </c>
      <c r="M329" t="s">
        <v>308</v>
      </c>
      <c r="N329" t="s">
        <v>493</v>
      </c>
      <c r="O329" t="s">
        <v>77</v>
      </c>
      <c r="P329" t="s">
        <v>29</v>
      </c>
      <c r="Q329" t="s">
        <v>30</v>
      </c>
    </row>
    <row r="330" spans="1:17" x14ac:dyDescent="0.25">
      <c r="A330" t="s">
        <v>1298</v>
      </c>
      <c r="B330">
        <v>16509</v>
      </c>
      <c r="C330" t="s">
        <v>630</v>
      </c>
      <c r="D330" t="s">
        <v>32</v>
      </c>
      <c r="E330" t="s">
        <v>227</v>
      </c>
      <c r="F330" t="s">
        <v>685</v>
      </c>
      <c r="G330" t="s">
        <v>394</v>
      </c>
      <c r="H330" t="s">
        <v>1299</v>
      </c>
      <c r="I330" t="s">
        <v>1300</v>
      </c>
      <c r="J330">
        <v>5</v>
      </c>
      <c r="K330" t="s">
        <v>25</v>
      </c>
      <c r="L330" t="s">
        <v>213</v>
      </c>
      <c r="M330" t="s">
        <v>688</v>
      </c>
      <c r="N330" t="s">
        <v>45</v>
      </c>
      <c r="O330" t="s">
        <v>761</v>
      </c>
      <c r="P330" t="s">
        <v>29</v>
      </c>
      <c r="Q330" t="s">
        <v>30</v>
      </c>
    </row>
    <row r="331" spans="1:17" x14ac:dyDescent="0.25">
      <c r="A331" t="s">
        <v>1301</v>
      </c>
      <c r="B331">
        <v>129537</v>
      </c>
      <c r="C331" t="s">
        <v>1172</v>
      </c>
      <c r="D331" t="s">
        <v>19</v>
      </c>
      <c r="E331" t="s">
        <v>130</v>
      </c>
      <c r="F331" t="s">
        <v>21</v>
      </c>
      <c r="G331" t="s">
        <v>22</v>
      </c>
      <c r="H331" t="s">
        <v>1302</v>
      </c>
      <c r="I331" t="s">
        <v>1303</v>
      </c>
      <c r="J331">
        <v>5</v>
      </c>
      <c r="K331" t="s">
        <v>25</v>
      </c>
      <c r="L331" t="s">
        <v>77</v>
      </c>
      <c r="M331" t="s">
        <v>662</v>
      </c>
      <c r="N331" t="s">
        <v>45</v>
      </c>
      <c r="O331" t="s">
        <v>591</v>
      </c>
      <c r="P331" t="s">
        <v>29</v>
      </c>
      <c r="Q331" t="s">
        <v>30</v>
      </c>
    </row>
    <row r="332" spans="1:17" x14ac:dyDescent="0.25">
      <c r="A332" t="s">
        <v>1304</v>
      </c>
      <c r="B332">
        <v>129563</v>
      </c>
      <c r="C332" t="s">
        <v>147</v>
      </c>
      <c r="D332" t="s">
        <v>19</v>
      </c>
      <c r="E332" t="s">
        <v>20</v>
      </c>
      <c r="F332" t="s">
        <v>484</v>
      </c>
      <c r="G332" t="s">
        <v>22</v>
      </c>
      <c r="H332" t="s">
        <v>1305</v>
      </c>
      <c r="I332" t="s">
        <v>1306</v>
      </c>
      <c r="J332">
        <v>5</v>
      </c>
      <c r="K332" t="s">
        <v>112</v>
      </c>
      <c r="L332" t="s">
        <v>567</v>
      </c>
      <c r="M332" t="s">
        <v>951</v>
      </c>
      <c r="N332" t="s">
        <v>45</v>
      </c>
      <c r="O332" t="s">
        <v>761</v>
      </c>
      <c r="P332" t="s">
        <v>29</v>
      </c>
      <c r="Q332" t="s">
        <v>30</v>
      </c>
    </row>
    <row r="333" spans="1:17" x14ac:dyDescent="0.25">
      <c r="A333" t="s">
        <v>1307</v>
      </c>
      <c r="B333">
        <v>126586</v>
      </c>
      <c r="C333" t="s">
        <v>884</v>
      </c>
      <c r="D333" t="s">
        <v>32</v>
      </c>
      <c r="E333" t="s">
        <v>20</v>
      </c>
      <c r="F333" t="s">
        <v>700</v>
      </c>
      <c r="G333" t="s">
        <v>22</v>
      </c>
      <c r="H333" t="s">
        <v>1308</v>
      </c>
      <c r="I333" t="s">
        <v>1309</v>
      </c>
      <c r="J333">
        <v>4</v>
      </c>
      <c r="K333" t="s">
        <v>25</v>
      </c>
      <c r="L333" t="s">
        <v>548</v>
      </c>
      <c r="M333" t="s">
        <v>1132</v>
      </c>
      <c r="N333" t="s">
        <v>45</v>
      </c>
      <c r="O333" t="s">
        <v>591</v>
      </c>
      <c r="P333" t="s">
        <v>29</v>
      </c>
      <c r="Q333" t="s">
        <v>30</v>
      </c>
    </row>
    <row r="334" spans="1:17" x14ac:dyDescent="0.25">
      <c r="A334" t="s">
        <v>1310</v>
      </c>
      <c r="B334">
        <v>18145</v>
      </c>
      <c r="C334" t="s">
        <v>86</v>
      </c>
      <c r="D334" t="s">
        <v>32</v>
      </c>
      <c r="E334" t="s">
        <v>227</v>
      </c>
      <c r="F334" t="s">
        <v>40</v>
      </c>
      <c r="G334" t="s">
        <v>22</v>
      </c>
      <c r="H334" t="s">
        <v>1311</v>
      </c>
      <c r="I334" t="s">
        <v>1312</v>
      </c>
      <c r="J334">
        <v>4</v>
      </c>
      <c r="K334" t="s">
        <v>25</v>
      </c>
      <c r="L334" t="s">
        <v>199</v>
      </c>
      <c r="M334" t="s">
        <v>89</v>
      </c>
      <c r="N334" t="s">
        <v>45</v>
      </c>
      <c r="O334" t="s">
        <v>290</v>
      </c>
      <c r="P334" t="s">
        <v>29</v>
      </c>
      <c r="Q334" t="s">
        <v>30</v>
      </c>
    </row>
    <row r="335" spans="1:17" x14ac:dyDescent="0.25">
      <c r="A335" t="s">
        <v>1313</v>
      </c>
      <c r="B335">
        <v>126661</v>
      </c>
      <c r="C335" t="s">
        <v>74</v>
      </c>
      <c r="D335" t="s">
        <v>32</v>
      </c>
      <c r="E335" t="s">
        <v>130</v>
      </c>
      <c r="F335" t="s">
        <v>40</v>
      </c>
      <c r="G335" t="s">
        <v>22</v>
      </c>
      <c r="H335" t="s">
        <v>1314</v>
      </c>
      <c r="I335" t="s">
        <v>1315</v>
      </c>
      <c r="J335">
        <v>4</v>
      </c>
      <c r="K335" t="s">
        <v>112</v>
      </c>
      <c r="L335" t="s">
        <v>191</v>
      </c>
      <c r="M335" t="s">
        <v>89</v>
      </c>
      <c r="N335" t="s">
        <v>45</v>
      </c>
      <c r="O335" t="s">
        <v>290</v>
      </c>
      <c r="P335" t="s">
        <v>29</v>
      </c>
      <c r="Q335" t="s">
        <v>30</v>
      </c>
    </row>
    <row r="336" spans="1:17" x14ac:dyDescent="0.25">
      <c r="A336" t="s">
        <v>1316</v>
      </c>
      <c r="B336">
        <v>126709</v>
      </c>
      <c r="C336" t="s">
        <v>450</v>
      </c>
      <c r="D336" t="s">
        <v>32</v>
      </c>
      <c r="E336" t="s">
        <v>33</v>
      </c>
      <c r="F336" t="s">
        <v>700</v>
      </c>
      <c r="G336" t="s">
        <v>22</v>
      </c>
      <c r="H336" t="s">
        <v>1317</v>
      </c>
      <c r="I336" t="s">
        <v>1318</v>
      </c>
      <c r="J336">
        <v>4</v>
      </c>
      <c r="K336" t="s">
        <v>112</v>
      </c>
      <c r="L336" t="s">
        <v>213</v>
      </c>
      <c r="M336" t="s">
        <v>1017</v>
      </c>
      <c r="N336" t="s">
        <v>45</v>
      </c>
      <c r="O336" t="s">
        <v>591</v>
      </c>
      <c r="P336" t="s">
        <v>29</v>
      </c>
      <c r="Q336" t="s">
        <v>30</v>
      </c>
    </row>
    <row r="337" spans="1:17" x14ac:dyDescent="0.25">
      <c r="A337" t="s">
        <v>1319</v>
      </c>
      <c r="B337">
        <v>39867</v>
      </c>
      <c r="C337" t="s">
        <v>948</v>
      </c>
      <c r="D337" t="s">
        <v>19</v>
      </c>
      <c r="E337" t="s">
        <v>227</v>
      </c>
      <c r="F337" t="s">
        <v>685</v>
      </c>
      <c r="G337" t="s">
        <v>394</v>
      </c>
      <c r="H337" t="s">
        <v>1320</v>
      </c>
      <c r="I337" t="s">
        <v>1321</v>
      </c>
      <c r="J337">
        <v>4</v>
      </c>
      <c r="K337" t="s">
        <v>25</v>
      </c>
      <c r="L337" t="s">
        <v>548</v>
      </c>
      <c r="M337" t="s">
        <v>1215</v>
      </c>
      <c r="N337" t="s">
        <v>45</v>
      </c>
      <c r="O337" t="s">
        <v>683</v>
      </c>
      <c r="P337" t="s">
        <v>29</v>
      </c>
      <c r="Q337" t="s">
        <v>30</v>
      </c>
    </row>
    <row r="338" spans="1:17" x14ac:dyDescent="0.25">
      <c r="A338" t="s">
        <v>1322</v>
      </c>
      <c r="B338">
        <v>126626</v>
      </c>
      <c r="C338" t="s">
        <v>208</v>
      </c>
      <c r="D338" t="s">
        <v>32</v>
      </c>
      <c r="E338" t="s">
        <v>260</v>
      </c>
      <c r="F338" t="s">
        <v>123</v>
      </c>
      <c r="G338" t="s">
        <v>22</v>
      </c>
      <c r="H338" t="s">
        <v>1323</v>
      </c>
      <c r="I338" t="s">
        <v>1324</v>
      </c>
      <c r="J338">
        <v>4</v>
      </c>
      <c r="K338" t="s">
        <v>25</v>
      </c>
      <c r="L338" t="s">
        <v>444</v>
      </c>
      <c r="M338" t="s">
        <v>304</v>
      </c>
      <c r="N338" t="s">
        <v>45</v>
      </c>
      <c r="O338" t="s">
        <v>1112</v>
      </c>
      <c r="P338" t="s">
        <v>29</v>
      </c>
      <c r="Q338" t="s">
        <v>30</v>
      </c>
    </row>
    <row r="339" spans="1:17" x14ac:dyDescent="0.25">
      <c r="A339" t="s">
        <v>1325</v>
      </c>
      <c r="B339">
        <v>126781</v>
      </c>
      <c r="C339" t="s">
        <v>39</v>
      </c>
      <c r="D339" t="s">
        <v>32</v>
      </c>
      <c r="E339" t="s">
        <v>33</v>
      </c>
      <c r="F339" t="s">
        <v>40</v>
      </c>
      <c r="G339" t="s">
        <v>22</v>
      </c>
      <c r="H339" t="s">
        <v>1326</v>
      </c>
      <c r="I339" t="s">
        <v>1327</v>
      </c>
      <c r="J339">
        <v>4</v>
      </c>
      <c r="K339" t="s">
        <v>25</v>
      </c>
      <c r="L339" t="s">
        <v>290</v>
      </c>
      <c r="M339" t="s">
        <v>89</v>
      </c>
      <c r="N339" t="s">
        <v>45</v>
      </c>
      <c r="O339" t="s">
        <v>620</v>
      </c>
      <c r="P339" t="s">
        <v>29</v>
      </c>
      <c r="Q339" t="s">
        <v>30</v>
      </c>
    </row>
    <row r="340" spans="1:17" x14ac:dyDescent="0.25">
      <c r="A340" t="s">
        <v>1328</v>
      </c>
      <c r="B340">
        <v>126850</v>
      </c>
      <c r="C340" t="s">
        <v>80</v>
      </c>
      <c r="D340" t="s">
        <v>32</v>
      </c>
      <c r="E340" t="s">
        <v>62</v>
      </c>
      <c r="F340" t="s">
        <v>40</v>
      </c>
      <c r="G340" t="s">
        <v>22</v>
      </c>
      <c r="H340" t="s">
        <v>1329</v>
      </c>
      <c r="I340" t="s">
        <v>1330</v>
      </c>
      <c r="J340">
        <v>4</v>
      </c>
      <c r="K340" t="s">
        <v>25</v>
      </c>
      <c r="L340" t="s">
        <v>290</v>
      </c>
      <c r="M340" t="s">
        <v>89</v>
      </c>
      <c r="N340" t="s">
        <v>493</v>
      </c>
      <c r="O340" t="s">
        <v>290</v>
      </c>
      <c r="P340" t="s">
        <v>29</v>
      </c>
      <c r="Q340" t="s">
        <v>30</v>
      </c>
    </row>
    <row r="341" spans="1:17" x14ac:dyDescent="0.25">
      <c r="A341" t="s">
        <v>1331</v>
      </c>
      <c r="B341">
        <v>126863</v>
      </c>
      <c r="C341" t="s">
        <v>215</v>
      </c>
      <c r="D341" t="s">
        <v>32</v>
      </c>
      <c r="E341" t="s">
        <v>62</v>
      </c>
      <c r="F341" t="s">
        <v>40</v>
      </c>
      <c r="G341" t="s">
        <v>22</v>
      </c>
      <c r="H341" t="s">
        <v>1332</v>
      </c>
      <c r="I341" t="s">
        <v>1333</v>
      </c>
      <c r="J341">
        <v>4</v>
      </c>
      <c r="K341" t="s">
        <v>25</v>
      </c>
      <c r="L341" t="s">
        <v>290</v>
      </c>
      <c r="M341" t="s">
        <v>958</v>
      </c>
      <c r="N341" t="s">
        <v>493</v>
      </c>
      <c r="O341" t="s">
        <v>290</v>
      </c>
      <c r="P341" t="s">
        <v>29</v>
      </c>
      <c r="Q341" t="s">
        <v>30</v>
      </c>
    </row>
    <row r="342" spans="1:17" x14ac:dyDescent="0.25">
      <c r="A342" t="s">
        <v>1334</v>
      </c>
      <c r="B342">
        <v>126864</v>
      </c>
      <c r="C342" t="s">
        <v>142</v>
      </c>
      <c r="D342" t="s">
        <v>32</v>
      </c>
      <c r="E342" t="s">
        <v>33</v>
      </c>
      <c r="F342" t="s">
        <v>123</v>
      </c>
      <c r="G342" t="s">
        <v>22</v>
      </c>
      <c r="H342" t="s">
        <v>1335</v>
      </c>
      <c r="I342" t="s">
        <v>1336</v>
      </c>
      <c r="J342">
        <v>4</v>
      </c>
      <c r="K342" t="s">
        <v>112</v>
      </c>
      <c r="L342" t="s">
        <v>1337</v>
      </c>
      <c r="M342" t="s">
        <v>89</v>
      </c>
      <c r="N342" t="s">
        <v>493</v>
      </c>
      <c r="O342" t="s">
        <v>290</v>
      </c>
      <c r="P342" t="s">
        <v>29</v>
      </c>
      <c r="Q342" t="s">
        <v>30</v>
      </c>
    </row>
    <row r="343" spans="1:17" x14ac:dyDescent="0.25">
      <c r="A343" t="s">
        <v>1338</v>
      </c>
      <c r="B343">
        <v>126691</v>
      </c>
      <c r="C343" t="s">
        <v>903</v>
      </c>
      <c r="D343" t="s">
        <v>19</v>
      </c>
      <c r="E343" t="s">
        <v>62</v>
      </c>
      <c r="F343" t="s">
        <v>109</v>
      </c>
      <c r="G343" t="s">
        <v>22</v>
      </c>
      <c r="H343" t="s">
        <v>1339</v>
      </c>
      <c r="I343" t="s">
        <v>1340</v>
      </c>
      <c r="J343">
        <v>4</v>
      </c>
      <c r="K343" t="s">
        <v>25</v>
      </c>
      <c r="L343" t="s">
        <v>667</v>
      </c>
      <c r="M343" t="s">
        <v>372</v>
      </c>
      <c r="N343" t="s">
        <v>493</v>
      </c>
      <c r="O343" t="s">
        <v>77</v>
      </c>
      <c r="P343" t="s">
        <v>29</v>
      </c>
      <c r="Q343" t="s">
        <v>30</v>
      </c>
    </row>
    <row r="344" spans="1:17" x14ac:dyDescent="0.25">
      <c r="A344" t="s">
        <v>1341</v>
      </c>
      <c r="B344">
        <v>126972</v>
      </c>
      <c r="C344" t="s">
        <v>622</v>
      </c>
      <c r="D344" t="s">
        <v>19</v>
      </c>
      <c r="E344" t="s">
        <v>62</v>
      </c>
      <c r="F344" t="s">
        <v>21</v>
      </c>
      <c r="G344" t="s">
        <v>22</v>
      </c>
      <c r="H344" t="s">
        <v>1342</v>
      </c>
      <c r="I344" t="s">
        <v>1343</v>
      </c>
      <c r="J344">
        <v>4</v>
      </c>
      <c r="K344" t="s">
        <v>25</v>
      </c>
      <c r="L344" t="s">
        <v>661</v>
      </c>
      <c r="M344" t="s">
        <v>662</v>
      </c>
      <c r="N344" t="s">
        <v>493</v>
      </c>
      <c r="O344" t="s">
        <v>356</v>
      </c>
      <c r="P344" t="s">
        <v>29</v>
      </c>
      <c r="Q344" t="s">
        <v>30</v>
      </c>
    </row>
    <row r="345" spans="1:17" x14ac:dyDescent="0.25">
      <c r="A345" t="s">
        <v>1344</v>
      </c>
      <c r="B345">
        <v>126980</v>
      </c>
      <c r="C345" t="s">
        <v>296</v>
      </c>
      <c r="D345" t="s">
        <v>32</v>
      </c>
      <c r="E345" t="s">
        <v>33</v>
      </c>
      <c r="F345" t="s">
        <v>123</v>
      </c>
      <c r="G345" t="s">
        <v>22</v>
      </c>
      <c r="H345" t="s">
        <v>1345</v>
      </c>
      <c r="I345" t="s">
        <v>1346</v>
      </c>
      <c r="J345">
        <v>4</v>
      </c>
      <c r="K345" t="s">
        <v>25</v>
      </c>
      <c r="L345" t="s">
        <v>77</v>
      </c>
      <c r="M345" t="s">
        <v>504</v>
      </c>
      <c r="N345" t="s">
        <v>493</v>
      </c>
      <c r="O345" t="s">
        <v>548</v>
      </c>
      <c r="P345" t="s">
        <v>29</v>
      </c>
      <c r="Q345" t="s">
        <v>30</v>
      </c>
    </row>
    <row r="346" spans="1:17" x14ac:dyDescent="0.25">
      <c r="A346" t="s">
        <v>1347</v>
      </c>
      <c r="B346">
        <v>127043</v>
      </c>
      <c r="C346" t="s">
        <v>622</v>
      </c>
      <c r="D346" t="s">
        <v>19</v>
      </c>
      <c r="E346" t="s">
        <v>62</v>
      </c>
      <c r="F346" t="s">
        <v>21</v>
      </c>
      <c r="G346" t="s">
        <v>22</v>
      </c>
      <c r="H346" t="s">
        <v>1348</v>
      </c>
      <c r="I346" t="s">
        <v>1349</v>
      </c>
      <c r="J346">
        <v>4</v>
      </c>
      <c r="K346" t="s">
        <v>211</v>
      </c>
      <c r="L346" t="s">
        <v>356</v>
      </c>
      <c r="M346" t="s">
        <v>225</v>
      </c>
      <c r="N346" t="s">
        <v>493</v>
      </c>
      <c r="O346" t="s">
        <v>356</v>
      </c>
      <c r="P346" t="s">
        <v>29</v>
      </c>
      <c r="Q346" t="s">
        <v>30</v>
      </c>
    </row>
    <row r="347" spans="1:17" x14ac:dyDescent="0.25">
      <c r="A347" t="s">
        <v>1350</v>
      </c>
      <c r="B347">
        <v>127041</v>
      </c>
      <c r="C347" t="s">
        <v>622</v>
      </c>
      <c r="D347" t="s">
        <v>19</v>
      </c>
      <c r="E347" t="s">
        <v>62</v>
      </c>
      <c r="F347" t="s">
        <v>21</v>
      </c>
      <c r="G347" t="s">
        <v>22</v>
      </c>
      <c r="H347" t="s">
        <v>1351</v>
      </c>
      <c r="I347" t="s">
        <v>1352</v>
      </c>
      <c r="J347">
        <v>4</v>
      </c>
      <c r="K347" t="s">
        <v>211</v>
      </c>
      <c r="L347" t="s">
        <v>356</v>
      </c>
      <c r="M347" t="s">
        <v>225</v>
      </c>
      <c r="N347" t="s">
        <v>493</v>
      </c>
      <c r="O347" t="s">
        <v>356</v>
      </c>
      <c r="P347" t="s">
        <v>29</v>
      </c>
      <c r="Q347" t="s">
        <v>30</v>
      </c>
    </row>
    <row r="348" spans="1:17" x14ac:dyDescent="0.25">
      <c r="A348" t="s">
        <v>1353</v>
      </c>
      <c r="B348">
        <v>127118</v>
      </c>
      <c r="C348" t="s">
        <v>215</v>
      </c>
      <c r="D348" t="s">
        <v>32</v>
      </c>
      <c r="E348" t="s">
        <v>62</v>
      </c>
      <c r="F348" t="s">
        <v>40</v>
      </c>
      <c r="G348" t="s">
        <v>22</v>
      </c>
      <c r="H348" t="s">
        <v>1354</v>
      </c>
      <c r="I348" t="s">
        <v>1355</v>
      </c>
      <c r="J348">
        <v>4</v>
      </c>
      <c r="K348" t="s">
        <v>25</v>
      </c>
      <c r="L348" t="s">
        <v>199</v>
      </c>
      <c r="M348" t="s">
        <v>89</v>
      </c>
      <c r="N348" t="s">
        <v>493</v>
      </c>
      <c r="O348" t="s">
        <v>620</v>
      </c>
      <c r="P348" t="s">
        <v>29</v>
      </c>
      <c r="Q348" t="s">
        <v>30</v>
      </c>
    </row>
    <row r="349" spans="1:17" x14ac:dyDescent="0.25">
      <c r="A349" t="s">
        <v>1356</v>
      </c>
      <c r="B349">
        <v>127122</v>
      </c>
      <c r="C349" t="s">
        <v>61</v>
      </c>
      <c r="D349" t="s">
        <v>19</v>
      </c>
      <c r="E349" t="s">
        <v>130</v>
      </c>
      <c r="F349" t="s">
        <v>428</v>
      </c>
      <c r="G349" t="s">
        <v>22</v>
      </c>
      <c r="H349" t="s">
        <v>1357</v>
      </c>
      <c r="I349" t="s">
        <v>1358</v>
      </c>
      <c r="J349">
        <v>4</v>
      </c>
      <c r="K349" t="s">
        <v>25</v>
      </c>
      <c r="L349" t="s">
        <v>604</v>
      </c>
      <c r="M349" t="s">
        <v>1170</v>
      </c>
      <c r="N349" t="s">
        <v>493</v>
      </c>
      <c r="O349" t="s">
        <v>77</v>
      </c>
      <c r="P349" t="s">
        <v>29</v>
      </c>
      <c r="Q349" t="s">
        <v>30</v>
      </c>
    </row>
    <row r="350" spans="1:17" x14ac:dyDescent="0.25">
      <c r="A350" t="s">
        <v>1359</v>
      </c>
      <c r="B350">
        <v>127120</v>
      </c>
      <c r="C350" t="s">
        <v>138</v>
      </c>
      <c r="D350" t="s">
        <v>19</v>
      </c>
      <c r="E350" t="s">
        <v>130</v>
      </c>
      <c r="F350" t="s">
        <v>428</v>
      </c>
      <c r="G350" t="s">
        <v>22</v>
      </c>
      <c r="H350" t="s">
        <v>1360</v>
      </c>
      <c r="I350" t="s">
        <v>1361</v>
      </c>
      <c r="J350">
        <v>4</v>
      </c>
      <c r="K350" t="s">
        <v>25</v>
      </c>
      <c r="L350" t="s">
        <v>604</v>
      </c>
      <c r="M350" t="s">
        <v>644</v>
      </c>
      <c r="N350" t="s">
        <v>493</v>
      </c>
      <c r="O350" t="s">
        <v>77</v>
      </c>
      <c r="P350" t="s">
        <v>29</v>
      </c>
      <c r="Q350" t="s">
        <v>30</v>
      </c>
    </row>
    <row r="351" spans="1:17" x14ac:dyDescent="0.25">
      <c r="A351" t="s">
        <v>1362</v>
      </c>
      <c r="B351">
        <v>127139</v>
      </c>
      <c r="C351" t="s">
        <v>18</v>
      </c>
      <c r="D351" t="s">
        <v>19</v>
      </c>
      <c r="E351" t="s">
        <v>33</v>
      </c>
      <c r="F351" t="s">
        <v>109</v>
      </c>
      <c r="G351" t="s">
        <v>22</v>
      </c>
      <c r="H351" t="s">
        <v>1363</v>
      </c>
      <c r="I351" t="s">
        <v>1364</v>
      </c>
      <c r="J351">
        <v>4</v>
      </c>
      <c r="K351" t="s">
        <v>112</v>
      </c>
      <c r="L351" t="s">
        <v>761</v>
      </c>
      <c r="M351" t="s">
        <v>811</v>
      </c>
      <c r="N351" t="s">
        <v>493</v>
      </c>
      <c r="O351" t="s">
        <v>157</v>
      </c>
      <c r="P351" t="s">
        <v>29</v>
      </c>
      <c r="Q351" t="s">
        <v>30</v>
      </c>
    </row>
    <row r="352" spans="1:17" x14ac:dyDescent="0.25">
      <c r="A352" t="s">
        <v>1365</v>
      </c>
      <c r="B352">
        <v>127193</v>
      </c>
      <c r="C352" t="s">
        <v>142</v>
      </c>
      <c r="D352" t="s">
        <v>32</v>
      </c>
      <c r="E352" t="s">
        <v>62</v>
      </c>
      <c r="F352" t="s">
        <v>40</v>
      </c>
      <c r="G352" t="s">
        <v>22</v>
      </c>
      <c r="H352" t="s">
        <v>1366</v>
      </c>
      <c r="I352" t="s">
        <v>1367</v>
      </c>
      <c r="J352">
        <v>4</v>
      </c>
      <c r="K352" t="s">
        <v>25</v>
      </c>
      <c r="L352" t="s">
        <v>290</v>
      </c>
      <c r="M352" t="s">
        <v>89</v>
      </c>
      <c r="N352" t="s">
        <v>493</v>
      </c>
      <c r="O352" t="s">
        <v>199</v>
      </c>
      <c r="P352" t="s">
        <v>29</v>
      </c>
      <c r="Q352" t="s">
        <v>30</v>
      </c>
    </row>
    <row r="353" spans="1:17" x14ac:dyDescent="0.25">
      <c r="A353" t="s">
        <v>1368</v>
      </c>
      <c r="B353">
        <v>127211</v>
      </c>
      <c r="C353" t="s">
        <v>18</v>
      </c>
      <c r="D353" t="s">
        <v>19</v>
      </c>
      <c r="E353" t="s">
        <v>33</v>
      </c>
      <c r="F353" t="s">
        <v>109</v>
      </c>
      <c r="G353" t="s">
        <v>22</v>
      </c>
      <c r="H353" t="s">
        <v>1369</v>
      </c>
      <c r="I353" t="s">
        <v>1370</v>
      </c>
      <c r="J353">
        <v>4</v>
      </c>
      <c r="K353" t="s">
        <v>25</v>
      </c>
      <c r="L353" t="s">
        <v>37</v>
      </c>
      <c r="M353" t="s">
        <v>708</v>
      </c>
      <c r="N353" t="s">
        <v>493</v>
      </c>
      <c r="O353" t="s">
        <v>661</v>
      </c>
      <c r="P353" t="s">
        <v>29</v>
      </c>
      <c r="Q353" t="s">
        <v>30</v>
      </c>
    </row>
    <row r="354" spans="1:17" x14ac:dyDescent="0.25">
      <c r="A354" t="s">
        <v>1371</v>
      </c>
      <c r="B354">
        <v>127209</v>
      </c>
      <c r="C354" t="s">
        <v>285</v>
      </c>
      <c r="D354" t="s">
        <v>32</v>
      </c>
      <c r="E354" t="s">
        <v>33</v>
      </c>
      <c r="F354" t="s">
        <v>123</v>
      </c>
      <c r="G354" t="s">
        <v>216</v>
      </c>
      <c r="H354" t="s">
        <v>1372</v>
      </c>
      <c r="I354" t="s">
        <v>1373</v>
      </c>
      <c r="J354">
        <v>4</v>
      </c>
      <c r="K354" t="s">
        <v>25</v>
      </c>
      <c r="L354" t="s">
        <v>548</v>
      </c>
      <c r="M354" t="s">
        <v>605</v>
      </c>
      <c r="N354" t="s">
        <v>493</v>
      </c>
      <c r="O354" t="s">
        <v>199</v>
      </c>
      <c r="P354" t="s">
        <v>29</v>
      </c>
      <c r="Q354" t="s">
        <v>30</v>
      </c>
    </row>
    <row r="355" spans="1:17" x14ac:dyDescent="0.25">
      <c r="A355" t="s">
        <v>1374</v>
      </c>
      <c r="B355">
        <v>127256</v>
      </c>
      <c r="C355" t="s">
        <v>18</v>
      </c>
      <c r="D355" t="s">
        <v>19</v>
      </c>
      <c r="E355" t="s">
        <v>33</v>
      </c>
      <c r="F355" t="s">
        <v>109</v>
      </c>
      <c r="G355" t="s">
        <v>394</v>
      </c>
      <c r="H355" t="s">
        <v>1375</v>
      </c>
      <c r="I355" t="s">
        <v>1376</v>
      </c>
      <c r="J355">
        <v>4</v>
      </c>
      <c r="K355" t="s">
        <v>25</v>
      </c>
      <c r="L355" t="s">
        <v>191</v>
      </c>
      <c r="M355" t="s">
        <v>708</v>
      </c>
      <c r="N355" t="s">
        <v>45</v>
      </c>
      <c r="O355" t="s">
        <v>661</v>
      </c>
      <c r="P355" t="s">
        <v>29</v>
      </c>
      <c r="Q355" t="s">
        <v>30</v>
      </c>
    </row>
    <row r="356" spans="1:17" x14ac:dyDescent="0.25">
      <c r="A356" t="s">
        <v>1377</v>
      </c>
      <c r="B356">
        <v>20482</v>
      </c>
      <c r="C356" t="s">
        <v>1378</v>
      </c>
      <c r="D356" t="s">
        <v>19</v>
      </c>
      <c r="E356" t="s">
        <v>33</v>
      </c>
      <c r="F356" t="s">
        <v>685</v>
      </c>
      <c r="G356" t="s">
        <v>394</v>
      </c>
      <c r="H356" t="s">
        <v>1379</v>
      </c>
      <c r="I356" t="s">
        <v>1380</v>
      </c>
      <c r="J356">
        <v>4</v>
      </c>
      <c r="K356" t="s">
        <v>397</v>
      </c>
      <c r="L356" t="s">
        <v>761</v>
      </c>
      <c r="M356" t="s">
        <v>644</v>
      </c>
      <c r="N356" t="s">
        <v>45</v>
      </c>
      <c r="O356" t="s">
        <v>213</v>
      </c>
      <c r="P356" t="s">
        <v>29</v>
      </c>
      <c r="Q356" t="s">
        <v>30</v>
      </c>
    </row>
    <row r="357" spans="1:17" x14ac:dyDescent="0.25">
      <c r="A357" t="s">
        <v>1381</v>
      </c>
      <c r="B357">
        <v>7288</v>
      </c>
      <c r="C357" t="s">
        <v>39</v>
      </c>
      <c r="D357" t="s">
        <v>32</v>
      </c>
      <c r="E357" t="s">
        <v>754</v>
      </c>
      <c r="F357" t="s">
        <v>123</v>
      </c>
      <c r="G357" t="s">
        <v>394</v>
      </c>
      <c r="H357" t="s">
        <v>1382</v>
      </c>
      <c r="I357" t="s">
        <v>1383</v>
      </c>
      <c r="J357">
        <v>4</v>
      </c>
      <c r="K357" t="s">
        <v>25</v>
      </c>
      <c r="L357" t="s">
        <v>1384</v>
      </c>
      <c r="M357" t="s">
        <v>133</v>
      </c>
      <c r="N357" t="s">
        <v>45</v>
      </c>
      <c r="O357" t="s">
        <v>548</v>
      </c>
      <c r="P357" t="s">
        <v>29</v>
      </c>
      <c r="Q357" t="s">
        <v>30</v>
      </c>
    </row>
    <row r="358" spans="1:17" x14ac:dyDescent="0.25">
      <c r="A358" t="s">
        <v>1385</v>
      </c>
      <c r="B358">
        <v>76104</v>
      </c>
      <c r="C358" t="s">
        <v>108</v>
      </c>
      <c r="D358" t="s">
        <v>32</v>
      </c>
      <c r="E358" t="s">
        <v>227</v>
      </c>
      <c r="F358" t="s">
        <v>109</v>
      </c>
      <c r="G358" t="s">
        <v>22</v>
      </c>
      <c r="H358" t="s">
        <v>1386</v>
      </c>
      <c r="I358" t="s">
        <v>1387</v>
      </c>
      <c r="J358">
        <v>4</v>
      </c>
      <c r="K358" t="s">
        <v>25</v>
      </c>
      <c r="L358" t="s">
        <v>761</v>
      </c>
      <c r="M358" t="s">
        <v>472</v>
      </c>
      <c r="N358" t="s">
        <v>45</v>
      </c>
      <c r="O358" t="s">
        <v>661</v>
      </c>
      <c r="P358" t="s">
        <v>29</v>
      </c>
      <c r="Q358" t="s">
        <v>30</v>
      </c>
    </row>
    <row r="359" spans="1:17" x14ac:dyDescent="0.25">
      <c r="A359" t="s">
        <v>1388</v>
      </c>
      <c r="B359">
        <v>127437</v>
      </c>
      <c r="C359" t="s">
        <v>68</v>
      </c>
      <c r="D359" t="s">
        <v>32</v>
      </c>
      <c r="E359" t="s">
        <v>130</v>
      </c>
      <c r="F359" t="s">
        <v>40</v>
      </c>
      <c r="G359" t="s">
        <v>22</v>
      </c>
      <c r="H359" t="s">
        <v>1389</v>
      </c>
      <c r="I359" t="s">
        <v>1390</v>
      </c>
      <c r="J359">
        <v>4</v>
      </c>
      <c r="K359" t="s">
        <v>25</v>
      </c>
      <c r="L359" t="s">
        <v>620</v>
      </c>
      <c r="M359" t="s">
        <v>89</v>
      </c>
      <c r="N359" t="s">
        <v>45</v>
      </c>
      <c r="O359" t="s">
        <v>620</v>
      </c>
      <c r="P359" t="s">
        <v>29</v>
      </c>
      <c r="Q359" t="s">
        <v>30</v>
      </c>
    </row>
    <row r="360" spans="1:17" x14ac:dyDescent="0.25">
      <c r="A360" t="s">
        <v>1391</v>
      </c>
      <c r="B360">
        <v>127569</v>
      </c>
      <c r="C360" t="s">
        <v>622</v>
      </c>
      <c r="D360" t="s">
        <v>19</v>
      </c>
      <c r="E360" t="s">
        <v>33</v>
      </c>
      <c r="F360" t="s">
        <v>21</v>
      </c>
      <c r="G360" t="s">
        <v>22</v>
      </c>
      <c r="H360" t="s">
        <v>1392</v>
      </c>
      <c r="I360" t="s">
        <v>1393</v>
      </c>
      <c r="J360">
        <v>4</v>
      </c>
      <c r="K360" t="s">
        <v>25</v>
      </c>
      <c r="L360" t="s">
        <v>661</v>
      </c>
      <c r="M360" t="s">
        <v>368</v>
      </c>
      <c r="N360" t="s">
        <v>28</v>
      </c>
      <c r="O360" t="s">
        <v>356</v>
      </c>
      <c r="P360" t="s">
        <v>29</v>
      </c>
      <c r="Q360" t="s">
        <v>30</v>
      </c>
    </row>
    <row r="361" spans="1:17" x14ac:dyDescent="0.25">
      <c r="A361" t="s">
        <v>1394</v>
      </c>
      <c r="B361">
        <v>127570</v>
      </c>
      <c r="C361" t="s">
        <v>622</v>
      </c>
      <c r="D361" t="s">
        <v>32</v>
      </c>
      <c r="E361" t="s">
        <v>33</v>
      </c>
      <c r="F361" t="s">
        <v>21</v>
      </c>
      <c r="G361" t="s">
        <v>22</v>
      </c>
      <c r="H361" t="s">
        <v>1395</v>
      </c>
      <c r="I361" t="s">
        <v>1396</v>
      </c>
      <c r="J361">
        <v>4</v>
      </c>
      <c r="K361" t="s">
        <v>25</v>
      </c>
      <c r="L361" t="s">
        <v>661</v>
      </c>
      <c r="M361" t="s">
        <v>368</v>
      </c>
      <c r="N361" t="s">
        <v>28</v>
      </c>
      <c r="O361" t="s">
        <v>356</v>
      </c>
      <c r="P361" t="s">
        <v>29</v>
      </c>
      <c r="Q361" t="s">
        <v>30</v>
      </c>
    </row>
    <row r="362" spans="1:17" x14ac:dyDescent="0.25">
      <c r="A362" t="s">
        <v>1397</v>
      </c>
      <c r="B362">
        <v>127687</v>
      </c>
      <c r="C362" t="s">
        <v>215</v>
      </c>
      <c r="D362" t="s">
        <v>32</v>
      </c>
      <c r="E362" t="s">
        <v>33</v>
      </c>
      <c r="F362" t="s">
        <v>40</v>
      </c>
      <c r="G362" t="s">
        <v>394</v>
      </c>
      <c r="H362" t="s">
        <v>1398</v>
      </c>
      <c r="I362" t="s">
        <v>1399</v>
      </c>
      <c r="J362">
        <v>4</v>
      </c>
      <c r="K362" t="s">
        <v>25</v>
      </c>
      <c r="L362" t="s">
        <v>199</v>
      </c>
      <c r="M362" t="s">
        <v>89</v>
      </c>
      <c r="N362" t="s">
        <v>493</v>
      </c>
      <c r="O362" t="s">
        <v>46</v>
      </c>
      <c r="P362" t="s">
        <v>29</v>
      </c>
      <c r="Q362" t="s">
        <v>30</v>
      </c>
    </row>
    <row r="363" spans="1:17" x14ac:dyDescent="0.25">
      <c r="A363" t="s">
        <v>1400</v>
      </c>
      <c r="B363">
        <v>127656</v>
      </c>
      <c r="C363" t="s">
        <v>670</v>
      </c>
      <c r="D363" t="s">
        <v>19</v>
      </c>
      <c r="E363" t="s">
        <v>33</v>
      </c>
      <c r="F363" t="s">
        <v>428</v>
      </c>
      <c r="G363" t="s">
        <v>22</v>
      </c>
      <c r="H363" t="s">
        <v>1401</v>
      </c>
      <c r="I363" t="s">
        <v>1402</v>
      </c>
      <c r="J363">
        <v>4</v>
      </c>
      <c r="K363" t="s">
        <v>25</v>
      </c>
      <c r="L363" t="s">
        <v>77</v>
      </c>
      <c r="M363" t="s">
        <v>586</v>
      </c>
      <c r="N363" t="s">
        <v>493</v>
      </c>
      <c r="O363" t="s">
        <v>77</v>
      </c>
      <c r="P363" t="s">
        <v>29</v>
      </c>
      <c r="Q363" t="s">
        <v>30</v>
      </c>
    </row>
    <row r="364" spans="1:17" x14ac:dyDescent="0.25">
      <c r="A364" t="s">
        <v>1403</v>
      </c>
      <c r="B364">
        <v>127735</v>
      </c>
      <c r="C364" t="s">
        <v>1100</v>
      </c>
      <c r="D364" t="s">
        <v>32</v>
      </c>
      <c r="E364" t="s">
        <v>62</v>
      </c>
      <c r="F364" t="s">
        <v>700</v>
      </c>
      <c r="G364" t="s">
        <v>22</v>
      </c>
      <c r="H364" t="s">
        <v>1404</v>
      </c>
      <c r="I364" t="s">
        <v>1405</v>
      </c>
      <c r="J364">
        <v>4</v>
      </c>
      <c r="K364" t="s">
        <v>25</v>
      </c>
      <c r="L364" t="s">
        <v>213</v>
      </c>
      <c r="M364" t="s">
        <v>1017</v>
      </c>
      <c r="N364" t="s">
        <v>45</v>
      </c>
      <c r="O364" t="s">
        <v>591</v>
      </c>
      <c r="P364" t="s">
        <v>29</v>
      </c>
      <c r="Q364" t="s">
        <v>30</v>
      </c>
    </row>
    <row r="365" spans="1:17" x14ac:dyDescent="0.25">
      <c r="A365" t="s">
        <v>1406</v>
      </c>
      <c r="B365">
        <v>127760</v>
      </c>
      <c r="C365" t="s">
        <v>281</v>
      </c>
      <c r="D365" t="s">
        <v>32</v>
      </c>
      <c r="E365" t="s">
        <v>33</v>
      </c>
      <c r="F365" t="s">
        <v>123</v>
      </c>
      <c r="G365" t="s">
        <v>22</v>
      </c>
      <c r="H365" t="s">
        <v>1407</v>
      </c>
      <c r="I365" t="s">
        <v>1408</v>
      </c>
      <c r="J365">
        <v>4</v>
      </c>
      <c r="K365" t="s">
        <v>25</v>
      </c>
      <c r="L365" t="s">
        <v>213</v>
      </c>
      <c r="M365" t="s">
        <v>1103</v>
      </c>
      <c r="N365" t="s">
        <v>45</v>
      </c>
      <c r="O365" t="s">
        <v>290</v>
      </c>
      <c r="P365" t="s">
        <v>29</v>
      </c>
      <c r="Q365" t="s">
        <v>30</v>
      </c>
    </row>
    <row r="366" spans="1:17" x14ac:dyDescent="0.25">
      <c r="A366" t="s">
        <v>1409</v>
      </c>
      <c r="B366">
        <v>127810</v>
      </c>
      <c r="C366" t="s">
        <v>622</v>
      </c>
      <c r="D366" t="s">
        <v>32</v>
      </c>
      <c r="E366" t="s">
        <v>20</v>
      </c>
      <c r="F366" t="s">
        <v>21</v>
      </c>
      <c r="G366" t="s">
        <v>22</v>
      </c>
      <c r="H366" t="s">
        <v>1410</v>
      </c>
      <c r="I366" t="s">
        <v>1411</v>
      </c>
      <c r="J366">
        <v>4</v>
      </c>
      <c r="K366" t="s">
        <v>112</v>
      </c>
      <c r="L366" t="s">
        <v>661</v>
      </c>
      <c r="M366" t="s">
        <v>308</v>
      </c>
      <c r="N366" t="s">
        <v>45</v>
      </c>
      <c r="O366" t="s">
        <v>323</v>
      </c>
      <c r="P366" t="s">
        <v>29</v>
      </c>
      <c r="Q366" t="s">
        <v>30</v>
      </c>
    </row>
    <row r="367" spans="1:17" x14ac:dyDescent="0.25">
      <c r="A367" t="s">
        <v>1412</v>
      </c>
      <c r="B367">
        <v>127955</v>
      </c>
      <c r="C367" t="s">
        <v>646</v>
      </c>
      <c r="D367" t="s">
        <v>19</v>
      </c>
      <c r="E367" t="s">
        <v>33</v>
      </c>
      <c r="F367" t="s">
        <v>109</v>
      </c>
      <c r="G367" t="s">
        <v>22</v>
      </c>
      <c r="H367" t="s">
        <v>1413</v>
      </c>
      <c r="I367" t="s">
        <v>1414</v>
      </c>
      <c r="J367">
        <v>4</v>
      </c>
      <c r="K367" t="s">
        <v>25</v>
      </c>
      <c r="L367" t="s">
        <v>612</v>
      </c>
      <c r="M367" t="s">
        <v>170</v>
      </c>
      <c r="N367" t="s">
        <v>493</v>
      </c>
      <c r="O367" t="s">
        <v>157</v>
      </c>
      <c r="P367" t="s">
        <v>29</v>
      </c>
      <c r="Q367" t="s">
        <v>30</v>
      </c>
    </row>
    <row r="368" spans="1:17" x14ac:dyDescent="0.25">
      <c r="A368" t="s">
        <v>1415</v>
      </c>
      <c r="B368">
        <v>127981</v>
      </c>
      <c r="C368" t="s">
        <v>622</v>
      </c>
      <c r="D368" t="s">
        <v>19</v>
      </c>
      <c r="E368" t="s">
        <v>33</v>
      </c>
      <c r="F368" t="s">
        <v>109</v>
      </c>
      <c r="G368" t="s">
        <v>22</v>
      </c>
      <c r="H368" t="s">
        <v>1416</v>
      </c>
      <c r="I368" t="s">
        <v>1417</v>
      </c>
      <c r="J368">
        <v>4</v>
      </c>
      <c r="K368" t="s">
        <v>211</v>
      </c>
      <c r="L368" t="s">
        <v>290</v>
      </c>
      <c r="M368" t="s">
        <v>89</v>
      </c>
      <c r="N368" t="s">
        <v>493</v>
      </c>
      <c r="O368" t="s">
        <v>1337</v>
      </c>
      <c r="P368" t="s">
        <v>29</v>
      </c>
      <c r="Q368" t="s">
        <v>30</v>
      </c>
    </row>
    <row r="369" spans="1:17" x14ac:dyDescent="0.25">
      <c r="A369" t="s">
        <v>1418</v>
      </c>
      <c r="B369">
        <v>21507</v>
      </c>
      <c r="C369" t="s">
        <v>315</v>
      </c>
      <c r="D369" t="s">
        <v>32</v>
      </c>
      <c r="E369" t="s">
        <v>227</v>
      </c>
      <c r="F369" t="s">
        <v>40</v>
      </c>
      <c r="G369" t="s">
        <v>22</v>
      </c>
      <c r="H369" t="s">
        <v>1419</v>
      </c>
      <c r="I369" t="s">
        <v>1420</v>
      </c>
      <c r="J369">
        <v>4</v>
      </c>
      <c r="K369" t="s">
        <v>25</v>
      </c>
      <c r="L369" t="s">
        <v>620</v>
      </c>
      <c r="M369" t="s">
        <v>958</v>
      </c>
      <c r="N369" t="s">
        <v>493</v>
      </c>
      <c r="O369" t="s">
        <v>46</v>
      </c>
      <c r="P369" t="s">
        <v>29</v>
      </c>
      <c r="Q369" t="s">
        <v>30</v>
      </c>
    </row>
    <row r="370" spans="1:17" x14ac:dyDescent="0.25">
      <c r="A370" t="s">
        <v>1421</v>
      </c>
      <c r="B370">
        <v>128044</v>
      </c>
      <c r="C370" t="s">
        <v>80</v>
      </c>
      <c r="D370" t="s">
        <v>32</v>
      </c>
      <c r="E370" t="s">
        <v>33</v>
      </c>
      <c r="F370" t="s">
        <v>40</v>
      </c>
      <c r="G370" t="s">
        <v>22</v>
      </c>
      <c r="H370" t="s">
        <v>1422</v>
      </c>
      <c r="I370" t="s">
        <v>1423</v>
      </c>
      <c r="J370">
        <v>4</v>
      </c>
      <c r="K370" t="s">
        <v>25</v>
      </c>
      <c r="L370" t="s">
        <v>290</v>
      </c>
      <c r="M370" t="s">
        <v>89</v>
      </c>
      <c r="N370" t="s">
        <v>493</v>
      </c>
      <c r="O370" t="s">
        <v>46</v>
      </c>
      <c r="P370" t="s">
        <v>29</v>
      </c>
      <c r="Q370" t="s">
        <v>30</v>
      </c>
    </row>
    <row r="371" spans="1:17" x14ac:dyDescent="0.25">
      <c r="A371" t="s">
        <v>1424</v>
      </c>
      <c r="B371">
        <v>128056</v>
      </c>
      <c r="C371" t="s">
        <v>622</v>
      </c>
      <c r="D371" t="s">
        <v>19</v>
      </c>
      <c r="E371" t="s">
        <v>33</v>
      </c>
      <c r="F371" t="s">
        <v>21</v>
      </c>
      <c r="G371" t="s">
        <v>22</v>
      </c>
      <c r="H371" t="s">
        <v>1425</v>
      </c>
      <c r="I371" t="s">
        <v>1426</v>
      </c>
      <c r="J371">
        <v>4</v>
      </c>
      <c r="K371" t="s">
        <v>25</v>
      </c>
      <c r="L371" t="s">
        <v>356</v>
      </c>
      <c r="M371" t="s">
        <v>387</v>
      </c>
      <c r="N371" t="s">
        <v>45</v>
      </c>
      <c r="O371" t="s">
        <v>323</v>
      </c>
      <c r="P371" t="s">
        <v>29</v>
      </c>
      <c r="Q371" t="s">
        <v>30</v>
      </c>
    </row>
    <row r="372" spans="1:17" x14ac:dyDescent="0.25">
      <c r="A372" t="s">
        <v>1427</v>
      </c>
      <c r="B372">
        <v>45072</v>
      </c>
      <c r="C372" t="s">
        <v>285</v>
      </c>
      <c r="D372" t="s">
        <v>19</v>
      </c>
      <c r="E372" t="s">
        <v>227</v>
      </c>
      <c r="F372" t="s">
        <v>685</v>
      </c>
      <c r="G372" t="s">
        <v>394</v>
      </c>
      <c r="H372" t="s">
        <v>1428</v>
      </c>
      <c r="I372" t="s">
        <v>1429</v>
      </c>
      <c r="J372">
        <v>4</v>
      </c>
      <c r="K372" t="s">
        <v>25</v>
      </c>
      <c r="L372" t="s">
        <v>213</v>
      </c>
      <c r="M372" t="s">
        <v>766</v>
      </c>
      <c r="N372" t="s">
        <v>28</v>
      </c>
      <c r="O372" t="s">
        <v>620</v>
      </c>
      <c r="P372" t="s">
        <v>29</v>
      </c>
      <c r="Q372" t="s">
        <v>30</v>
      </c>
    </row>
    <row r="373" spans="1:17" x14ac:dyDescent="0.25">
      <c r="A373" t="s">
        <v>1430</v>
      </c>
      <c r="B373">
        <v>128293</v>
      </c>
      <c r="C373" t="s">
        <v>622</v>
      </c>
      <c r="D373" t="s">
        <v>19</v>
      </c>
      <c r="E373" t="s">
        <v>33</v>
      </c>
      <c r="F373" t="s">
        <v>21</v>
      </c>
      <c r="G373" t="s">
        <v>22</v>
      </c>
      <c r="H373" t="s">
        <v>1431</v>
      </c>
      <c r="I373" t="s">
        <v>1432</v>
      </c>
      <c r="J373">
        <v>4</v>
      </c>
      <c r="K373" t="s">
        <v>25</v>
      </c>
      <c r="L373" t="s">
        <v>661</v>
      </c>
      <c r="M373" t="s">
        <v>346</v>
      </c>
      <c r="N373" t="s">
        <v>45</v>
      </c>
      <c r="O373" t="s">
        <v>77</v>
      </c>
      <c r="P373" t="s">
        <v>29</v>
      </c>
      <c r="Q373" t="s">
        <v>30</v>
      </c>
    </row>
    <row r="374" spans="1:17" x14ac:dyDescent="0.25">
      <c r="A374" t="s">
        <v>1433</v>
      </c>
      <c r="B374">
        <v>77394</v>
      </c>
      <c r="C374" t="s">
        <v>454</v>
      </c>
      <c r="D374" t="s">
        <v>19</v>
      </c>
      <c r="E374" t="s">
        <v>260</v>
      </c>
      <c r="F374" t="s">
        <v>109</v>
      </c>
      <c r="G374" t="s">
        <v>394</v>
      </c>
      <c r="H374" t="s">
        <v>1434</v>
      </c>
      <c r="I374" t="s">
        <v>1435</v>
      </c>
      <c r="J374">
        <v>4</v>
      </c>
      <c r="K374" t="s">
        <v>25</v>
      </c>
      <c r="L374" t="s">
        <v>575</v>
      </c>
      <c r="M374" t="s">
        <v>708</v>
      </c>
      <c r="N374" t="s">
        <v>28</v>
      </c>
      <c r="O374" t="s">
        <v>290</v>
      </c>
      <c r="P374" t="s">
        <v>29</v>
      </c>
      <c r="Q374" t="s">
        <v>30</v>
      </c>
    </row>
    <row r="375" spans="1:17" x14ac:dyDescent="0.25">
      <c r="A375" t="s">
        <v>1436</v>
      </c>
      <c r="B375">
        <v>128339</v>
      </c>
      <c r="C375" t="s">
        <v>816</v>
      </c>
      <c r="D375" t="s">
        <v>19</v>
      </c>
      <c r="E375" t="s">
        <v>130</v>
      </c>
      <c r="F375" t="s">
        <v>484</v>
      </c>
      <c r="G375" t="s">
        <v>22</v>
      </c>
      <c r="H375" t="s">
        <v>1437</v>
      </c>
      <c r="I375" t="s">
        <v>1438</v>
      </c>
      <c r="J375">
        <v>4</v>
      </c>
      <c r="K375" t="s">
        <v>25</v>
      </c>
      <c r="L375" t="s">
        <v>243</v>
      </c>
      <c r="M375" t="s">
        <v>1439</v>
      </c>
      <c r="N375" t="s">
        <v>28</v>
      </c>
      <c r="O375" t="s">
        <v>145</v>
      </c>
      <c r="P375" t="s">
        <v>29</v>
      </c>
      <c r="Q375" t="s">
        <v>30</v>
      </c>
    </row>
    <row r="376" spans="1:17" x14ac:dyDescent="0.25">
      <c r="A376" t="s">
        <v>1440</v>
      </c>
      <c r="B376">
        <v>128443</v>
      </c>
      <c r="C376" t="s">
        <v>400</v>
      </c>
      <c r="D376" t="s">
        <v>32</v>
      </c>
      <c r="E376" t="s">
        <v>33</v>
      </c>
      <c r="F376" t="s">
        <v>40</v>
      </c>
      <c r="G376" t="s">
        <v>22</v>
      </c>
      <c r="H376" t="s">
        <v>1441</v>
      </c>
      <c r="I376" t="s">
        <v>1442</v>
      </c>
      <c r="J376">
        <v>4</v>
      </c>
      <c r="K376" t="s">
        <v>25</v>
      </c>
      <c r="L376" t="s">
        <v>46</v>
      </c>
      <c r="M376" t="s">
        <v>44</v>
      </c>
      <c r="N376" t="s">
        <v>493</v>
      </c>
      <c r="O376" t="s">
        <v>290</v>
      </c>
      <c r="P376" t="s">
        <v>29</v>
      </c>
      <c r="Q376" t="s">
        <v>30</v>
      </c>
    </row>
    <row r="377" spans="1:17" x14ac:dyDescent="0.25">
      <c r="A377" t="s">
        <v>1443</v>
      </c>
      <c r="B377">
        <v>126670</v>
      </c>
      <c r="C377" t="s">
        <v>622</v>
      </c>
      <c r="D377" t="s">
        <v>32</v>
      </c>
      <c r="E377" t="s">
        <v>260</v>
      </c>
      <c r="F377" t="s">
        <v>21</v>
      </c>
      <c r="G377" t="s">
        <v>22</v>
      </c>
      <c r="H377" t="s">
        <v>1444</v>
      </c>
      <c r="I377" t="s">
        <v>1445</v>
      </c>
      <c r="J377">
        <v>4</v>
      </c>
      <c r="K377" t="s">
        <v>25</v>
      </c>
      <c r="L377" t="s">
        <v>661</v>
      </c>
      <c r="M377" t="s">
        <v>423</v>
      </c>
      <c r="N377" t="s">
        <v>493</v>
      </c>
      <c r="O377" t="s">
        <v>77</v>
      </c>
      <c r="P377" t="s">
        <v>29</v>
      </c>
      <c r="Q377" t="s">
        <v>30</v>
      </c>
    </row>
    <row r="378" spans="1:17" x14ac:dyDescent="0.25">
      <c r="A378" t="s">
        <v>1446</v>
      </c>
      <c r="B378">
        <v>128378</v>
      </c>
      <c r="C378" t="s">
        <v>554</v>
      </c>
      <c r="D378" t="s">
        <v>19</v>
      </c>
      <c r="E378" t="s">
        <v>33</v>
      </c>
      <c r="F378" t="s">
        <v>484</v>
      </c>
      <c r="G378" t="s">
        <v>22</v>
      </c>
      <c r="H378" t="s">
        <v>1447</v>
      </c>
      <c r="I378" t="s">
        <v>1448</v>
      </c>
      <c r="J378">
        <v>4</v>
      </c>
      <c r="K378" t="s">
        <v>211</v>
      </c>
      <c r="L378" t="s">
        <v>213</v>
      </c>
      <c r="M378" t="s">
        <v>487</v>
      </c>
      <c r="N378" t="s">
        <v>493</v>
      </c>
      <c r="O378" t="s">
        <v>620</v>
      </c>
      <c r="P378" t="s">
        <v>29</v>
      </c>
      <c r="Q378" t="s">
        <v>30</v>
      </c>
    </row>
    <row r="379" spans="1:17" x14ac:dyDescent="0.25">
      <c r="A379" t="s">
        <v>1449</v>
      </c>
      <c r="B379">
        <v>128278</v>
      </c>
      <c r="C379" t="s">
        <v>361</v>
      </c>
      <c r="D379" t="s">
        <v>32</v>
      </c>
      <c r="E379" t="s">
        <v>33</v>
      </c>
      <c r="F379" t="s">
        <v>123</v>
      </c>
      <c r="G379" t="s">
        <v>1062</v>
      </c>
      <c r="H379" t="s">
        <v>1450</v>
      </c>
      <c r="I379" t="s">
        <v>1451</v>
      </c>
      <c r="J379">
        <v>4</v>
      </c>
      <c r="K379" t="s">
        <v>25</v>
      </c>
      <c r="L379" t="s">
        <v>243</v>
      </c>
      <c r="M379" t="s">
        <v>127</v>
      </c>
      <c r="N379" t="s">
        <v>493</v>
      </c>
      <c r="O379" t="s">
        <v>591</v>
      </c>
      <c r="P379" t="s">
        <v>29</v>
      </c>
      <c r="Q379" t="s">
        <v>30</v>
      </c>
    </row>
    <row r="380" spans="1:17" x14ac:dyDescent="0.25">
      <c r="A380" t="s">
        <v>1452</v>
      </c>
      <c r="B380">
        <v>128452</v>
      </c>
      <c r="C380" t="s">
        <v>622</v>
      </c>
      <c r="D380" t="s">
        <v>19</v>
      </c>
      <c r="E380" t="s">
        <v>33</v>
      </c>
      <c r="F380" t="s">
        <v>21</v>
      </c>
      <c r="G380" t="s">
        <v>22</v>
      </c>
      <c r="H380" t="s">
        <v>1453</v>
      </c>
      <c r="I380" t="s">
        <v>1454</v>
      </c>
      <c r="J380">
        <v>4</v>
      </c>
      <c r="K380" t="s">
        <v>25</v>
      </c>
      <c r="L380" t="s">
        <v>661</v>
      </c>
      <c r="M380" t="s">
        <v>351</v>
      </c>
      <c r="N380" t="s">
        <v>493</v>
      </c>
      <c r="O380" t="s">
        <v>77</v>
      </c>
      <c r="P380" t="s">
        <v>29</v>
      </c>
      <c r="Q380" t="s">
        <v>30</v>
      </c>
    </row>
    <row r="381" spans="1:17" x14ac:dyDescent="0.25">
      <c r="A381" t="s">
        <v>1455</v>
      </c>
      <c r="B381">
        <v>128295</v>
      </c>
      <c r="C381" t="s">
        <v>122</v>
      </c>
      <c r="D381" t="s">
        <v>32</v>
      </c>
      <c r="E381" t="s">
        <v>33</v>
      </c>
      <c r="F381" t="s">
        <v>40</v>
      </c>
      <c r="G381" t="s">
        <v>22</v>
      </c>
      <c r="H381" t="s">
        <v>1456</v>
      </c>
      <c r="I381" t="s">
        <v>1457</v>
      </c>
      <c r="J381">
        <v>4</v>
      </c>
      <c r="K381" t="s">
        <v>25</v>
      </c>
      <c r="L381" t="s">
        <v>290</v>
      </c>
      <c r="M381" t="s">
        <v>106</v>
      </c>
      <c r="N381" t="s">
        <v>493</v>
      </c>
      <c r="O381" t="s">
        <v>683</v>
      </c>
      <c r="P381" t="s">
        <v>29</v>
      </c>
      <c r="Q381" t="s">
        <v>30</v>
      </c>
    </row>
    <row r="382" spans="1:17" x14ac:dyDescent="0.25">
      <c r="A382" t="s">
        <v>1458</v>
      </c>
      <c r="B382">
        <v>128477</v>
      </c>
      <c r="C382" t="s">
        <v>622</v>
      </c>
      <c r="D382" t="s">
        <v>19</v>
      </c>
      <c r="E382" t="s">
        <v>33</v>
      </c>
      <c r="F382" t="s">
        <v>21</v>
      </c>
      <c r="G382" t="s">
        <v>22</v>
      </c>
      <c r="H382" t="s">
        <v>1459</v>
      </c>
      <c r="I382" t="s">
        <v>1460</v>
      </c>
      <c r="J382">
        <v>4</v>
      </c>
      <c r="K382" t="s">
        <v>25</v>
      </c>
      <c r="L382" t="s">
        <v>323</v>
      </c>
      <c r="M382" t="s">
        <v>225</v>
      </c>
      <c r="N382" t="s">
        <v>493</v>
      </c>
      <c r="O382" t="s">
        <v>77</v>
      </c>
      <c r="P382" t="s">
        <v>29</v>
      </c>
      <c r="Q382" t="s">
        <v>30</v>
      </c>
    </row>
    <row r="383" spans="1:17" x14ac:dyDescent="0.25">
      <c r="A383" t="s">
        <v>1461</v>
      </c>
      <c r="B383">
        <v>128503</v>
      </c>
      <c r="C383" t="s">
        <v>622</v>
      </c>
      <c r="D383" t="s">
        <v>32</v>
      </c>
      <c r="E383" t="s">
        <v>33</v>
      </c>
      <c r="F383" t="s">
        <v>21</v>
      </c>
      <c r="G383" t="s">
        <v>22</v>
      </c>
      <c r="H383" t="s">
        <v>1462</v>
      </c>
      <c r="I383" t="s">
        <v>1463</v>
      </c>
      <c r="J383">
        <v>4</v>
      </c>
      <c r="K383" t="s">
        <v>25</v>
      </c>
      <c r="L383" t="s">
        <v>323</v>
      </c>
      <c r="M383" t="s">
        <v>225</v>
      </c>
      <c r="N383" t="s">
        <v>493</v>
      </c>
      <c r="O383" t="s">
        <v>77</v>
      </c>
      <c r="P383" t="s">
        <v>29</v>
      </c>
      <c r="Q383" t="s">
        <v>30</v>
      </c>
    </row>
    <row r="384" spans="1:17" x14ac:dyDescent="0.25">
      <c r="A384" t="s">
        <v>1464</v>
      </c>
      <c r="B384">
        <v>13901</v>
      </c>
      <c r="C384" t="s">
        <v>74</v>
      </c>
      <c r="D384" t="s">
        <v>19</v>
      </c>
      <c r="E384" t="s">
        <v>754</v>
      </c>
      <c r="F384" t="s">
        <v>685</v>
      </c>
      <c r="G384" t="s">
        <v>394</v>
      </c>
      <c r="H384" t="s">
        <v>1465</v>
      </c>
      <c r="I384" t="s">
        <v>1466</v>
      </c>
      <c r="J384">
        <v>4</v>
      </c>
      <c r="K384" t="s">
        <v>25</v>
      </c>
      <c r="L384" t="s">
        <v>683</v>
      </c>
      <c r="M384" t="s">
        <v>1132</v>
      </c>
      <c r="N384" t="s">
        <v>493</v>
      </c>
      <c r="O384" t="s">
        <v>620</v>
      </c>
      <c r="P384" t="s">
        <v>29</v>
      </c>
      <c r="Q384" t="s">
        <v>30</v>
      </c>
    </row>
    <row r="385" spans="1:17" x14ac:dyDescent="0.25">
      <c r="A385" t="s">
        <v>1467</v>
      </c>
      <c r="B385">
        <v>128551</v>
      </c>
      <c r="C385" t="s">
        <v>108</v>
      </c>
      <c r="D385" t="s">
        <v>32</v>
      </c>
      <c r="E385" t="s">
        <v>20</v>
      </c>
      <c r="F385" t="s">
        <v>109</v>
      </c>
      <c r="G385" t="s">
        <v>22</v>
      </c>
      <c r="H385" t="s">
        <v>1468</v>
      </c>
      <c r="I385" t="s">
        <v>1469</v>
      </c>
      <c r="J385">
        <v>4</v>
      </c>
      <c r="K385" t="s">
        <v>25</v>
      </c>
      <c r="L385" t="s">
        <v>213</v>
      </c>
      <c r="M385" t="s">
        <v>178</v>
      </c>
      <c r="N385" t="s">
        <v>493</v>
      </c>
      <c r="O385" t="s">
        <v>290</v>
      </c>
      <c r="P385" t="s">
        <v>29</v>
      </c>
      <c r="Q385" t="s">
        <v>30</v>
      </c>
    </row>
    <row r="386" spans="1:17" x14ac:dyDescent="0.25">
      <c r="A386" t="s">
        <v>1470</v>
      </c>
      <c r="B386">
        <v>33736</v>
      </c>
      <c r="C386" t="s">
        <v>281</v>
      </c>
      <c r="D386" t="s">
        <v>32</v>
      </c>
      <c r="E386" t="s">
        <v>33</v>
      </c>
      <c r="F386" t="s">
        <v>40</v>
      </c>
      <c r="G386" t="s">
        <v>22</v>
      </c>
      <c r="H386" t="s">
        <v>1471</v>
      </c>
      <c r="I386" t="s">
        <v>1472</v>
      </c>
      <c r="J386">
        <v>4</v>
      </c>
      <c r="K386" t="s">
        <v>112</v>
      </c>
      <c r="L386" t="s">
        <v>590</v>
      </c>
      <c r="M386" t="s">
        <v>106</v>
      </c>
      <c r="N386" t="s">
        <v>493</v>
      </c>
      <c r="O386" t="s">
        <v>612</v>
      </c>
      <c r="P386" t="s">
        <v>29</v>
      </c>
      <c r="Q386" t="s">
        <v>30</v>
      </c>
    </row>
    <row r="387" spans="1:17" x14ac:dyDescent="0.25">
      <c r="A387" t="s">
        <v>1473</v>
      </c>
      <c r="B387">
        <v>96467</v>
      </c>
      <c r="C387" t="s">
        <v>108</v>
      </c>
      <c r="D387" t="s">
        <v>19</v>
      </c>
      <c r="E387" t="s">
        <v>33</v>
      </c>
      <c r="F387" t="s">
        <v>109</v>
      </c>
      <c r="G387" t="s">
        <v>394</v>
      </c>
      <c r="H387" t="s">
        <v>1474</v>
      </c>
      <c r="I387" t="s">
        <v>1475</v>
      </c>
      <c r="J387">
        <v>4</v>
      </c>
      <c r="K387" t="s">
        <v>25</v>
      </c>
      <c r="L387" t="s">
        <v>230</v>
      </c>
      <c r="M387" t="s">
        <v>372</v>
      </c>
      <c r="N387" t="s">
        <v>28</v>
      </c>
      <c r="O387" t="s">
        <v>290</v>
      </c>
      <c r="P387" t="s">
        <v>29</v>
      </c>
      <c r="Q387" t="s">
        <v>30</v>
      </c>
    </row>
    <row r="388" spans="1:17" x14ac:dyDescent="0.25">
      <c r="A388" t="s">
        <v>1476</v>
      </c>
      <c r="B388">
        <v>128676</v>
      </c>
      <c r="C388" t="s">
        <v>80</v>
      </c>
      <c r="D388" t="s">
        <v>32</v>
      </c>
      <c r="E388" t="s">
        <v>62</v>
      </c>
      <c r="F388" t="s">
        <v>40</v>
      </c>
      <c r="G388" t="s">
        <v>22</v>
      </c>
      <c r="H388" t="s">
        <v>1477</v>
      </c>
      <c r="I388" t="s">
        <v>1478</v>
      </c>
      <c r="J388">
        <v>4</v>
      </c>
      <c r="K388" t="s">
        <v>25</v>
      </c>
      <c r="L388" t="s">
        <v>612</v>
      </c>
      <c r="M388" t="s">
        <v>590</v>
      </c>
      <c r="N388" t="s">
        <v>493</v>
      </c>
      <c r="O388" t="s">
        <v>1337</v>
      </c>
      <c r="P388" t="s">
        <v>29</v>
      </c>
      <c r="Q388" t="s">
        <v>30</v>
      </c>
    </row>
    <row r="389" spans="1:17" x14ac:dyDescent="0.25">
      <c r="A389" t="s">
        <v>1479</v>
      </c>
      <c r="B389">
        <v>33310</v>
      </c>
      <c r="C389" t="s">
        <v>61</v>
      </c>
      <c r="D389" t="s">
        <v>32</v>
      </c>
      <c r="E389" t="s">
        <v>227</v>
      </c>
      <c r="F389" t="s">
        <v>40</v>
      </c>
      <c r="G389" t="s">
        <v>22</v>
      </c>
      <c r="H389" t="s">
        <v>1480</v>
      </c>
      <c r="I389" t="s">
        <v>1481</v>
      </c>
      <c r="J389">
        <v>4</v>
      </c>
      <c r="K389" t="s">
        <v>25</v>
      </c>
      <c r="L389" t="s">
        <v>199</v>
      </c>
      <c r="M389" t="s">
        <v>89</v>
      </c>
      <c r="N389" t="s">
        <v>493</v>
      </c>
      <c r="O389" t="s">
        <v>683</v>
      </c>
      <c r="P389" t="s">
        <v>29</v>
      </c>
      <c r="Q389" t="s">
        <v>30</v>
      </c>
    </row>
    <row r="390" spans="1:17" x14ac:dyDescent="0.25">
      <c r="A390" t="s">
        <v>1482</v>
      </c>
      <c r="B390">
        <v>128103</v>
      </c>
      <c r="C390" t="s">
        <v>601</v>
      </c>
      <c r="D390" t="s">
        <v>19</v>
      </c>
      <c r="E390" t="s">
        <v>33</v>
      </c>
      <c r="F390" t="s">
        <v>428</v>
      </c>
      <c r="G390" t="s">
        <v>22</v>
      </c>
      <c r="H390" t="s">
        <v>1483</v>
      </c>
      <c r="I390" t="s">
        <v>1484</v>
      </c>
      <c r="J390">
        <v>4</v>
      </c>
      <c r="K390" t="s">
        <v>25</v>
      </c>
      <c r="L390" t="s">
        <v>667</v>
      </c>
      <c r="M390" t="s">
        <v>971</v>
      </c>
      <c r="N390" t="s">
        <v>493</v>
      </c>
      <c r="O390" t="s">
        <v>548</v>
      </c>
      <c r="P390" t="s">
        <v>29</v>
      </c>
      <c r="Q390" t="s">
        <v>30</v>
      </c>
    </row>
    <row r="391" spans="1:17" x14ac:dyDescent="0.25">
      <c r="A391" t="s">
        <v>1485</v>
      </c>
      <c r="B391">
        <v>128736</v>
      </c>
      <c r="C391" t="s">
        <v>778</v>
      </c>
      <c r="D391" t="s">
        <v>32</v>
      </c>
      <c r="E391" t="s">
        <v>62</v>
      </c>
      <c r="F391" t="s">
        <v>700</v>
      </c>
      <c r="G391" t="s">
        <v>394</v>
      </c>
      <c r="H391" t="s">
        <v>1486</v>
      </c>
      <c r="I391" t="s">
        <v>1487</v>
      </c>
      <c r="J391">
        <v>4</v>
      </c>
      <c r="K391" t="s">
        <v>25</v>
      </c>
      <c r="L391" t="s">
        <v>661</v>
      </c>
      <c r="M391" t="s">
        <v>1132</v>
      </c>
      <c r="N391" t="s">
        <v>493</v>
      </c>
      <c r="O391" t="s">
        <v>761</v>
      </c>
      <c r="P391" t="s">
        <v>29</v>
      </c>
      <c r="Q391" t="s">
        <v>30</v>
      </c>
    </row>
    <row r="392" spans="1:17" x14ac:dyDescent="0.25">
      <c r="A392" t="s">
        <v>1488</v>
      </c>
      <c r="B392">
        <v>128834</v>
      </c>
      <c r="C392" t="s">
        <v>622</v>
      </c>
      <c r="D392" t="s">
        <v>19</v>
      </c>
      <c r="E392" t="s">
        <v>62</v>
      </c>
      <c r="F392" t="s">
        <v>21</v>
      </c>
      <c r="G392" t="s">
        <v>22</v>
      </c>
      <c r="H392" t="s">
        <v>1489</v>
      </c>
      <c r="I392" t="s">
        <v>1490</v>
      </c>
      <c r="J392">
        <v>4</v>
      </c>
      <c r="K392" t="s">
        <v>25</v>
      </c>
      <c r="L392" t="s">
        <v>77</v>
      </c>
      <c r="M392" t="s">
        <v>734</v>
      </c>
      <c r="N392" t="s">
        <v>45</v>
      </c>
      <c r="O392" t="s">
        <v>77</v>
      </c>
      <c r="P392" t="s">
        <v>29</v>
      </c>
      <c r="Q392" t="s">
        <v>30</v>
      </c>
    </row>
    <row r="393" spans="1:17" x14ac:dyDescent="0.25">
      <c r="A393" t="s">
        <v>1491</v>
      </c>
      <c r="B393">
        <v>128832</v>
      </c>
      <c r="C393" t="s">
        <v>622</v>
      </c>
      <c r="D393" t="s">
        <v>19</v>
      </c>
      <c r="E393" t="s">
        <v>62</v>
      </c>
      <c r="F393" t="s">
        <v>21</v>
      </c>
      <c r="G393" t="s">
        <v>22</v>
      </c>
      <c r="H393" t="s">
        <v>1492</v>
      </c>
      <c r="I393" t="s">
        <v>1493</v>
      </c>
      <c r="J393">
        <v>4</v>
      </c>
      <c r="K393" t="s">
        <v>25</v>
      </c>
      <c r="L393" t="s">
        <v>77</v>
      </c>
      <c r="M393" t="s">
        <v>734</v>
      </c>
      <c r="N393" t="s">
        <v>45</v>
      </c>
      <c r="O393" t="s">
        <v>77</v>
      </c>
      <c r="P393" t="s">
        <v>29</v>
      </c>
      <c r="Q393" t="s">
        <v>30</v>
      </c>
    </row>
    <row r="394" spans="1:17" x14ac:dyDescent="0.25">
      <c r="A394" t="s">
        <v>1494</v>
      </c>
      <c r="B394">
        <v>128806</v>
      </c>
      <c r="C394" t="s">
        <v>122</v>
      </c>
      <c r="D394" t="s">
        <v>19</v>
      </c>
      <c r="E394" t="s">
        <v>33</v>
      </c>
      <c r="F394" t="s">
        <v>484</v>
      </c>
      <c r="G394" t="s">
        <v>22</v>
      </c>
      <c r="H394" t="s">
        <v>1495</v>
      </c>
      <c r="I394" t="s">
        <v>1496</v>
      </c>
      <c r="J394">
        <v>4</v>
      </c>
      <c r="K394" t="s">
        <v>25</v>
      </c>
      <c r="L394" t="s">
        <v>213</v>
      </c>
      <c r="M394" t="s">
        <v>1497</v>
      </c>
      <c r="N394" t="s">
        <v>45</v>
      </c>
      <c r="O394" t="s">
        <v>620</v>
      </c>
      <c r="P394" t="s">
        <v>29</v>
      </c>
      <c r="Q394" t="s">
        <v>30</v>
      </c>
    </row>
    <row r="395" spans="1:17" x14ac:dyDescent="0.25">
      <c r="A395" t="s">
        <v>1498</v>
      </c>
      <c r="B395">
        <v>115416</v>
      </c>
      <c r="C395" t="s">
        <v>343</v>
      </c>
      <c r="D395" t="s">
        <v>32</v>
      </c>
      <c r="E395" t="s">
        <v>33</v>
      </c>
      <c r="F395" t="s">
        <v>109</v>
      </c>
      <c r="G395" t="s">
        <v>22</v>
      </c>
      <c r="H395" t="s">
        <v>1499</v>
      </c>
      <c r="I395" t="s">
        <v>1500</v>
      </c>
      <c r="J395">
        <v>4</v>
      </c>
      <c r="K395" t="s">
        <v>25</v>
      </c>
      <c r="L395" t="s">
        <v>323</v>
      </c>
      <c r="M395" t="s">
        <v>372</v>
      </c>
      <c r="N395" t="s">
        <v>45</v>
      </c>
      <c r="O395" t="s">
        <v>290</v>
      </c>
      <c r="P395" t="s">
        <v>29</v>
      </c>
      <c r="Q395" t="s">
        <v>30</v>
      </c>
    </row>
    <row r="396" spans="1:17" x14ac:dyDescent="0.25">
      <c r="A396" t="s">
        <v>1501</v>
      </c>
      <c r="B396">
        <v>128951</v>
      </c>
      <c r="C396" t="s">
        <v>147</v>
      </c>
      <c r="D396" t="s">
        <v>19</v>
      </c>
      <c r="E396" t="s">
        <v>130</v>
      </c>
      <c r="F396" t="s">
        <v>484</v>
      </c>
      <c r="G396" t="s">
        <v>22</v>
      </c>
      <c r="H396" t="s">
        <v>1502</v>
      </c>
      <c r="I396" t="s">
        <v>1503</v>
      </c>
      <c r="J396">
        <v>4</v>
      </c>
      <c r="K396" t="s">
        <v>25</v>
      </c>
      <c r="L396" t="s">
        <v>356</v>
      </c>
      <c r="M396" t="s">
        <v>652</v>
      </c>
      <c r="N396" t="s">
        <v>493</v>
      </c>
      <c r="O396" t="s">
        <v>620</v>
      </c>
      <c r="P396" t="s">
        <v>29</v>
      </c>
      <c r="Q396" t="s">
        <v>30</v>
      </c>
    </row>
    <row r="397" spans="1:17" x14ac:dyDescent="0.25">
      <c r="A397" t="s">
        <v>1504</v>
      </c>
      <c r="B397">
        <v>128967</v>
      </c>
      <c r="C397" t="s">
        <v>68</v>
      </c>
      <c r="D397" t="s">
        <v>32</v>
      </c>
      <c r="E397" t="s">
        <v>260</v>
      </c>
      <c r="F397" t="s">
        <v>40</v>
      </c>
      <c r="G397" t="s">
        <v>22</v>
      </c>
      <c r="H397" t="s">
        <v>1505</v>
      </c>
      <c r="I397" t="s">
        <v>1506</v>
      </c>
      <c r="J397">
        <v>4</v>
      </c>
      <c r="K397" t="s">
        <v>25</v>
      </c>
      <c r="L397" t="s">
        <v>46</v>
      </c>
      <c r="M397" t="s">
        <v>71</v>
      </c>
      <c r="N397" t="s">
        <v>493</v>
      </c>
      <c r="O397" t="s">
        <v>590</v>
      </c>
      <c r="P397" t="s">
        <v>29</v>
      </c>
      <c r="Q397" t="s">
        <v>30</v>
      </c>
    </row>
    <row r="398" spans="1:17" x14ac:dyDescent="0.25">
      <c r="A398" t="s">
        <v>1507</v>
      </c>
      <c r="B398">
        <v>129067</v>
      </c>
      <c r="C398" t="s">
        <v>138</v>
      </c>
      <c r="D398" t="s">
        <v>32</v>
      </c>
      <c r="E398" t="s">
        <v>260</v>
      </c>
      <c r="F398" t="s">
        <v>40</v>
      </c>
      <c r="G398" t="s">
        <v>22</v>
      </c>
      <c r="H398" t="s">
        <v>1508</v>
      </c>
      <c r="I398" t="s">
        <v>1509</v>
      </c>
      <c r="J398">
        <v>4</v>
      </c>
      <c r="K398" t="s">
        <v>25</v>
      </c>
      <c r="L398" t="s">
        <v>199</v>
      </c>
      <c r="M398" t="s">
        <v>89</v>
      </c>
      <c r="N398" t="s">
        <v>493</v>
      </c>
      <c r="O398" t="s">
        <v>46</v>
      </c>
      <c r="P398" t="s">
        <v>29</v>
      </c>
      <c r="Q398" t="s">
        <v>30</v>
      </c>
    </row>
    <row r="399" spans="1:17" x14ac:dyDescent="0.25">
      <c r="A399" t="s">
        <v>1510</v>
      </c>
      <c r="B399">
        <v>128989</v>
      </c>
      <c r="C399" t="s">
        <v>74</v>
      </c>
      <c r="D399" t="s">
        <v>32</v>
      </c>
      <c r="E399" t="s">
        <v>62</v>
      </c>
      <c r="F399" t="s">
        <v>123</v>
      </c>
      <c r="G399" t="s">
        <v>22</v>
      </c>
      <c r="H399" t="s">
        <v>1511</v>
      </c>
      <c r="I399" t="s">
        <v>1512</v>
      </c>
      <c r="J399">
        <v>4</v>
      </c>
      <c r="K399" t="s">
        <v>25</v>
      </c>
      <c r="L399" t="s">
        <v>1281</v>
      </c>
      <c r="M399" t="s">
        <v>751</v>
      </c>
      <c r="N399" t="s">
        <v>493</v>
      </c>
      <c r="O399" t="s">
        <v>612</v>
      </c>
      <c r="P399" t="s">
        <v>29</v>
      </c>
      <c r="Q399" t="s">
        <v>30</v>
      </c>
    </row>
    <row r="400" spans="1:17" x14ac:dyDescent="0.25">
      <c r="A400" t="s">
        <v>1513</v>
      </c>
      <c r="B400">
        <v>129089</v>
      </c>
      <c r="C400" t="s">
        <v>39</v>
      </c>
      <c r="D400" t="s">
        <v>32</v>
      </c>
      <c r="E400" t="s">
        <v>33</v>
      </c>
      <c r="F400" t="s">
        <v>40</v>
      </c>
      <c r="G400" t="s">
        <v>22</v>
      </c>
      <c r="H400" t="s">
        <v>1514</v>
      </c>
      <c r="I400" t="s">
        <v>1515</v>
      </c>
      <c r="J400">
        <v>4</v>
      </c>
      <c r="K400" t="s">
        <v>25</v>
      </c>
      <c r="L400" t="s">
        <v>1337</v>
      </c>
      <c r="M400" t="s">
        <v>89</v>
      </c>
      <c r="N400" t="s">
        <v>493</v>
      </c>
      <c r="O400" t="s">
        <v>612</v>
      </c>
      <c r="P400" t="s">
        <v>29</v>
      </c>
      <c r="Q400" t="s">
        <v>30</v>
      </c>
    </row>
    <row r="401" spans="1:17" x14ac:dyDescent="0.25">
      <c r="A401" t="s">
        <v>1516</v>
      </c>
      <c r="B401">
        <v>129095</v>
      </c>
      <c r="C401" t="s">
        <v>208</v>
      </c>
      <c r="D401" t="s">
        <v>32</v>
      </c>
      <c r="E401" t="s">
        <v>20</v>
      </c>
      <c r="F401" t="s">
        <v>123</v>
      </c>
      <c r="G401" t="s">
        <v>22</v>
      </c>
      <c r="H401" t="s">
        <v>1517</v>
      </c>
      <c r="I401" t="s">
        <v>1518</v>
      </c>
      <c r="J401">
        <v>4</v>
      </c>
      <c r="K401" t="s">
        <v>112</v>
      </c>
      <c r="L401" t="s">
        <v>213</v>
      </c>
      <c r="M401" t="s">
        <v>929</v>
      </c>
      <c r="N401" t="s">
        <v>493</v>
      </c>
      <c r="O401" t="s">
        <v>199</v>
      </c>
      <c r="P401" t="s">
        <v>29</v>
      </c>
      <c r="Q401" t="s">
        <v>30</v>
      </c>
    </row>
    <row r="402" spans="1:17" x14ac:dyDescent="0.25">
      <c r="A402" t="s">
        <v>1519</v>
      </c>
      <c r="B402">
        <v>129168</v>
      </c>
      <c r="C402" t="s">
        <v>348</v>
      </c>
      <c r="D402" t="s">
        <v>19</v>
      </c>
      <c r="E402" t="s">
        <v>33</v>
      </c>
      <c r="F402" t="s">
        <v>109</v>
      </c>
      <c r="G402" t="s">
        <v>22</v>
      </c>
      <c r="H402" t="s">
        <v>1520</v>
      </c>
      <c r="I402" t="s">
        <v>1521</v>
      </c>
      <c r="J402">
        <v>4</v>
      </c>
      <c r="K402" t="s">
        <v>25</v>
      </c>
      <c r="L402" t="s">
        <v>191</v>
      </c>
      <c r="M402" t="s">
        <v>536</v>
      </c>
      <c r="N402" t="s">
        <v>493</v>
      </c>
      <c r="O402" t="s">
        <v>290</v>
      </c>
      <c r="P402" t="s">
        <v>29</v>
      </c>
      <c r="Q402" t="s">
        <v>30</v>
      </c>
    </row>
    <row r="403" spans="1:17" x14ac:dyDescent="0.25">
      <c r="A403" t="s">
        <v>1522</v>
      </c>
      <c r="B403">
        <v>129198</v>
      </c>
      <c r="C403" t="s">
        <v>142</v>
      </c>
      <c r="D403" t="s">
        <v>32</v>
      </c>
      <c r="E403" t="s">
        <v>33</v>
      </c>
      <c r="F403" t="s">
        <v>40</v>
      </c>
      <c r="G403" t="s">
        <v>22</v>
      </c>
      <c r="H403" t="s">
        <v>1523</v>
      </c>
      <c r="I403" t="s">
        <v>1524</v>
      </c>
      <c r="J403">
        <v>4</v>
      </c>
      <c r="K403" t="s">
        <v>25</v>
      </c>
      <c r="L403" t="s">
        <v>590</v>
      </c>
      <c r="M403" t="s">
        <v>590</v>
      </c>
      <c r="N403" t="s">
        <v>493</v>
      </c>
      <c r="O403" t="s">
        <v>612</v>
      </c>
      <c r="P403" t="s">
        <v>29</v>
      </c>
      <c r="Q403" t="s">
        <v>30</v>
      </c>
    </row>
    <row r="404" spans="1:17" x14ac:dyDescent="0.25">
      <c r="A404" t="s">
        <v>1525</v>
      </c>
      <c r="B404">
        <v>129204</v>
      </c>
      <c r="C404" t="s">
        <v>315</v>
      </c>
      <c r="D404" t="s">
        <v>32</v>
      </c>
      <c r="E404" t="s">
        <v>33</v>
      </c>
      <c r="F404" t="s">
        <v>40</v>
      </c>
      <c r="G404" t="s">
        <v>292</v>
      </c>
      <c r="H404" t="s">
        <v>1526</v>
      </c>
      <c r="I404" t="s">
        <v>1527</v>
      </c>
      <c r="J404">
        <v>4</v>
      </c>
      <c r="K404" t="s">
        <v>25</v>
      </c>
      <c r="L404" t="s">
        <v>612</v>
      </c>
      <c r="M404" t="s">
        <v>1528</v>
      </c>
      <c r="N404" t="s">
        <v>493</v>
      </c>
      <c r="O404" t="s">
        <v>46</v>
      </c>
      <c r="P404" t="s">
        <v>29</v>
      </c>
      <c r="Q404" t="s">
        <v>30</v>
      </c>
    </row>
    <row r="405" spans="1:17" x14ac:dyDescent="0.25">
      <c r="A405" t="s">
        <v>1529</v>
      </c>
      <c r="B405">
        <v>129216</v>
      </c>
      <c r="C405" t="s">
        <v>1530</v>
      </c>
      <c r="D405" t="s">
        <v>32</v>
      </c>
      <c r="E405" t="s">
        <v>33</v>
      </c>
      <c r="F405" t="s">
        <v>700</v>
      </c>
      <c r="G405" t="s">
        <v>22</v>
      </c>
      <c r="H405" t="s">
        <v>1531</v>
      </c>
      <c r="I405" t="s">
        <v>1532</v>
      </c>
      <c r="J405">
        <v>4</v>
      </c>
      <c r="K405" t="s">
        <v>112</v>
      </c>
      <c r="L405" t="s">
        <v>356</v>
      </c>
      <c r="M405" t="s">
        <v>331</v>
      </c>
      <c r="N405" t="s">
        <v>493</v>
      </c>
      <c r="O405" t="s">
        <v>761</v>
      </c>
      <c r="P405" t="s">
        <v>29</v>
      </c>
      <c r="Q405" t="s">
        <v>30</v>
      </c>
    </row>
    <row r="406" spans="1:17" x14ac:dyDescent="0.25">
      <c r="A406" t="s">
        <v>1533</v>
      </c>
      <c r="B406">
        <v>129290</v>
      </c>
      <c r="C406" t="s">
        <v>1378</v>
      </c>
      <c r="D406" t="s">
        <v>19</v>
      </c>
      <c r="E406" t="s">
        <v>260</v>
      </c>
      <c r="F406" t="s">
        <v>484</v>
      </c>
      <c r="G406" t="s">
        <v>22</v>
      </c>
      <c r="H406" t="s">
        <v>1534</v>
      </c>
      <c r="I406" t="s">
        <v>1535</v>
      </c>
      <c r="J406">
        <v>4</v>
      </c>
      <c r="K406" t="s">
        <v>211</v>
      </c>
      <c r="L406" t="s">
        <v>356</v>
      </c>
      <c r="M406" t="s">
        <v>967</v>
      </c>
      <c r="N406" t="s">
        <v>493</v>
      </c>
      <c r="O406" t="s">
        <v>761</v>
      </c>
      <c r="P406" t="s">
        <v>29</v>
      </c>
      <c r="Q406" t="s">
        <v>30</v>
      </c>
    </row>
    <row r="407" spans="1:17" x14ac:dyDescent="0.25">
      <c r="A407" t="s">
        <v>1536</v>
      </c>
      <c r="B407">
        <v>129311</v>
      </c>
      <c r="C407" t="s">
        <v>530</v>
      </c>
      <c r="D407" t="s">
        <v>32</v>
      </c>
      <c r="E407" t="s">
        <v>20</v>
      </c>
      <c r="F407" t="s">
        <v>700</v>
      </c>
      <c r="G407" t="s">
        <v>22</v>
      </c>
      <c r="H407" t="s">
        <v>1537</v>
      </c>
      <c r="I407" t="s">
        <v>1538</v>
      </c>
      <c r="J407">
        <v>4</v>
      </c>
      <c r="K407" t="s">
        <v>112</v>
      </c>
      <c r="L407" t="s">
        <v>37</v>
      </c>
      <c r="M407" t="s">
        <v>331</v>
      </c>
      <c r="N407" t="s">
        <v>493</v>
      </c>
      <c r="O407" t="s">
        <v>761</v>
      </c>
      <c r="P407" t="s">
        <v>29</v>
      </c>
      <c r="Q407" t="s">
        <v>30</v>
      </c>
    </row>
    <row r="408" spans="1:17" x14ac:dyDescent="0.25">
      <c r="A408" t="s">
        <v>1539</v>
      </c>
      <c r="B408">
        <v>129300</v>
      </c>
      <c r="C408" t="s">
        <v>601</v>
      </c>
      <c r="D408" t="s">
        <v>32</v>
      </c>
      <c r="E408" t="s">
        <v>62</v>
      </c>
      <c r="F408" t="s">
        <v>40</v>
      </c>
      <c r="G408" t="s">
        <v>22</v>
      </c>
      <c r="H408" t="s">
        <v>1540</v>
      </c>
      <c r="I408" t="s">
        <v>1541</v>
      </c>
      <c r="J408">
        <v>4</v>
      </c>
      <c r="K408" t="s">
        <v>25</v>
      </c>
      <c r="L408" t="s">
        <v>590</v>
      </c>
      <c r="M408" t="s">
        <v>1528</v>
      </c>
      <c r="N408" t="s">
        <v>493</v>
      </c>
      <c r="O408" t="s">
        <v>46</v>
      </c>
      <c r="P408" t="s">
        <v>29</v>
      </c>
      <c r="Q408" t="s">
        <v>30</v>
      </c>
    </row>
    <row r="409" spans="1:17" x14ac:dyDescent="0.25">
      <c r="A409" t="s">
        <v>1542</v>
      </c>
      <c r="B409">
        <v>129442</v>
      </c>
      <c r="C409" t="s">
        <v>788</v>
      </c>
      <c r="D409" t="s">
        <v>19</v>
      </c>
      <c r="E409" t="s">
        <v>260</v>
      </c>
      <c r="F409" t="s">
        <v>484</v>
      </c>
      <c r="G409" t="s">
        <v>22</v>
      </c>
      <c r="H409" t="s">
        <v>1543</v>
      </c>
      <c r="I409" t="s">
        <v>1544</v>
      </c>
      <c r="J409">
        <v>4</v>
      </c>
      <c r="K409" t="s">
        <v>25</v>
      </c>
      <c r="L409" t="s">
        <v>126</v>
      </c>
      <c r="M409" t="s">
        <v>652</v>
      </c>
      <c r="N409" t="s">
        <v>45</v>
      </c>
      <c r="O409" t="s">
        <v>620</v>
      </c>
      <c r="P409" t="s">
        <v>29</v>
      </c>
      <c r="Q409" t="s">
        <v>30</v>
      </c>
    </row>
    <row r="410" spans="1:17" x14ac:dyDescent="0.25">
      <c r="A410" t="s">
        <v>1545</v>
      </c>
      <c r="B410">
        <v>129440</v>
      </c>
      <c r="C410" t="s">
        <v>454</v>
      </c>
      <c r="D410" t="s">
        <v>19</v>
      </c>
      <c r="E410" t="s">
        <v>20</v>
      </c>
      <c r="F410" t="s">
        <v>109</v>
      </c>
      <c r="G410" t="s">
        <v>22</v>
      </c>
      <c r="H410" t="s">
        <v>1546</v>
      </c>
      <c r="I410" t="s">
        <v>1547</v>
      </c>
      <c r="J410">
        <v>4</v>
      </c>
      <c r="K410" t="s">
        <v>25</v>
      </c>
      <c r="L410" t="s">
        <v>126</v>
      </c>
      <c r="M410" t="s">
        <v>178</v>
      </c>
      <c r="N410" t="s">
        <v>45</v>
      </c>
      <c r="O410" t="s">
        <v>290</v>
      </c>
      <c r="P410" t="s">
        <v>29</v>
      </c>
      <c r="Q410" t="s">
        <v>30</v>
      </c>
    </row>
    <row r="411" spans="1:17" x14ac:dyDescent="0.25">
      <c r="A411" t="s">
        <v>1548</v>
      </c>
      <c r="B411">
        <v>129449</v>
      </c>
      <c r="C411" t="s">
        <v>1172</v>
      </c>
      <c r="D411" t="s">
        <v>32</v>
      </c>
      <c r="E411" t="s">
        <v>33</v>
      </c>
      <c r="F411" t="s">
        <v>21</v>
      </c>
      <c r="G411" t="s">
        <v>22</v>
      </c>
      <c r="H411" t="s">
        <v>1549</v>
      </c>
      <c r="I411" t="s">
        <v>1550</v>
      </c>
      <c r="J411">
        <v>4</v>
      </c>
      <c r="K411" t="s">
        <v>25</v>
      </c>
      <c r="L411" t="s">
        <v>290</v>
      </c>
      <c r="M411" t="s">
        <v>225</v>
      </c>
      <c r="N411" t="s">
        <v>45</v>
      </c>
      <c r="O411" t="s">
        <v>77</v>
      </c>
      <c r="P411" t="s">
        <v>29</v>
      </c>
      <c r="Q411" t="s">
        <v>30</v>
      </c>
    </row>
    <row r="412" spans="1:17" x14ac:dyDescent="0.25">
      <c r="A412" t="s">
        <v>1551</v>
      </c>
      <c r="B412">
        <v>102525</v>
      </c>
      <c r="C412" t="s">
        <v>296</v>
      </c>
      <c r="D412" t="s">
        <v>32</v>
      </c>
      <c r="E412" t="s">
        <v>33</v>
      </c>
      <c r="F412" t="s">
        <v>685</v>
      </c>
      <c r="G412" t="s">
        <v>394</v>
      </c>
      <c r="H412" t="s">
        <v>1552</v>
      </c>
      <c r="I412" t="s">
        <v>1553</v>
      </c>
      <c r="J412">
        <v>4</v>
      </c>
      <c r="K412" t="s">
        <v>25</v>
      </c>
      <c r="L412" t="s">
        <v>1554</v>
      </c>
      <c r="M412" t="s">
        <v>398</v>
      </c>
      <c r="N412" t="s">
        <v>45</v>
      </c>
      <c r="O412" t="s">
        <v>145</v>
      </c>
      <c r="P412" t="s">
        <v>29</v>
      </c>
      <c r="Q412" t="s">
        <v>30</v>
      </c>
    </row>
    <row r="413" spans="1:17" x14ac:dyDescent="0.25">
      <c r="A413" t="s">
        <v>1555</v>
      </c>
      <c r="B413">
        <v>129009</v>
      </c>
      <c r="C413" t="s">
        <v>1556</v>
      </c>
      <c r="D413" t="s">
        <v>32</v>
      </c>
      <c r="E413" t="s">
        <v>33</v>
      </c>
      <c r="F413" t="s">
        <v>685</v>
      </c>
      <c r="G413" t="s">
        <v>394</v>
      </c>
      <c r="H413" t="s">
        <v>1557</v>
      </c>
      <c r="I413" t="s">
        <v>1558</v>
      </c>
      <c r="J413">
        <v>4</v>
      </c>
      <c r="K413" t="s">
        <v>25</v>
      </c>
      <c r="L413" t="s">
        <v>548</v>
      </c>
      <c r="M413" t="s">
        <v>1013</v>
      </c>
      <c r="N413" t="s">
        <v>493</v>
      </c>
      <c r="O413" t="s">
        <v>1559</v>
      </c>
      <c r="P413" t="s">
        <v>29</v>
      </c>
      <c r="Q413" t="s">
        <v>30</v>
      </c>
    </row>
    <row r="414" spans="1:17" x14ac:dyDescent="0.25">
      <c r="A414" t="s">
        <v>1560</v>
      </c>
      <c r="B414">
        <v>129496</v>
      </c>
      <c r="C414" t="s">
        <v>142</v>
      </c>
      <c r="D414" t="s">
        <v>32</v>
      </c>
      <c r="E414" t="s">
        <v>33</v>
      </c>
      <c r="F414" t="s">
        <v>40</v>
      </c>
      <c r="G414" t="s">
        <v>22</v>
      </c>
      <c r="H414" t="s">
        <v>1561</v>
      </c>
      <c r="I414" t="s">
        <v>1562</v>
      </c>
      <c r="J414">
        <v>4</v>
      </c>
      <c r="K414" t="s">
        <v>25</v>
      </c>
      <c r="L414" t="s">
        <v>590</v>
      </c>
      <c r="M414" t="s">
        <v>71</v>
      </c>
      <c r="N414" t="s">
        <v>493</v>
      </c>
      <c r="O414" t="s">
        <v>590</v>
      </c>
      <c r="P414" t="s">
        <v>29</v>
      </c>
      <c r="Q414" t="s">
        <v>30</v>
      </c>
    </row>
    <row r="415" spans="1:17" x14ac:dyDescent="0.25">
      <c r="A415" t="s">
        <v>1563</v>
      </c>
      <c r="B415">
        <v>129511</v>
      </c>
      <c r="C415" t="s">
        <v>301</v>
      </c>
      <c r="D415" t="s">
        <v>32</v>
      </c>
      <c r="E415" t="s">
        <v>33</v>
      </c>
      <c r="F415" t="s">
        <v>40</v>
      </c>
      <c r="G415" t="s">
        <v>22</v>
      </c>
      <c r="H415" t="s">
        <v>1564</v>
      </c>
      <c r="I415" t="s">
        <v>1565</v>
      </c>
      <c r="J415">
        <v>4</v>
      </c>
      <c r="K415" t="s">
        <v>25</v>
      </c>
      <c r="L415" t="s">
        <v>444</v>
      </c>
      <c r="M415" t="s">
        <v>71</v>
      </c>
      <c r="N415" t="s">
        <v>493</v>
      </c>
      <c r="O415" t="s">
        <v>683</v>
      </c>
      <c r="P415" t="s">
        <v>29</v>
      </c>
      <c r="Q415" t="s">
        <v>30</v>
      </c>
    </row>
    <row r="416" spans="1:17" x14ac:dyDescent="0.25">
      <c r="A416" t="s">
        <v>1566</v>
      </c>
      <c r="B416">
        <v>129533</v>
      </c>
      <c r="C416" t="s">
        <v>634</v>
      </c>
      <c r="D416" t="s">
        <v>32</v>
      </c>
      <c r="E416" t="s">
        <v>33</v>
      </c>
      <c r="F416" t="s">
        <v>109</v>
      </c>
      <c r="G416" t="s">
        <v>22</v>
      </c>
      <c r="H416" t="s">
        <v>1567</v>
      </c>
      <c r="I416" t="s">
        <v>1568</v>
      </c>
      <c r="J416">
        <v>4</v>
      </c>
      <c r="K416" t="s">
        <v>211</v>
      </c>
      <c r="L416" t="s">
        <v>37</v>
      </c>
      <c r="M416" t="s">
        <v>708</v>
      </c>
      <c r="N416" t="s">
        <v>45</v>
      </c>
      <c r="O416" t="s">
        <v>591</v>
      </c>
      <c r="P416" t="s">
        <v>29</v>
      </c>
      <c r="Q416" t="s">
        <v>30</v>
      </c>
    </row>
    <row r="417" spans="1:17" x14ac:dyDescent="0.25">
      <c r="A417" t="s">
        <v>1569</v>
      </c>
      <c r="B417">
        <v>129560</v>
      </c>
      <c r="C417" t="s">
        <v>151</v>
      </c>
      <c r="D417" t="s">
        <v>32</v>
      </c>
      <c r="E417" t="s">
        <v>33</v>
      </c>
      <c r="F417" t="s">
        <v>40</v>
      </c>
      <c r="G417" t="s">
        <v>22</v>
      </c>
      <c r="H417" t="s">
        <v>1570</v>
      </c>
      <c r="I417" t="s">
        <v>1571</v>
      </c>
      <c r="J417">
        <v>4</v>
      </c>
      <c r="K417" t="s">
        <v>25</v>
      </c>
      <c r="L417" t="s">
        <v>612</v>
      </c>
      <c r="M417" t="s">
        <v>71</v>
      </c>
      <c r="N417" t="s">
        <v>45</v>
      </c>
      <c r="O417" t="s">
        <v>590</v>
      </c>
      <c r="P417" t="s">
        <v>29</v>
      </c>
      <c r="Q417" t="s">
        <v>30</v>
      </c>
    </row>
    <row r="418" spans="1:17" x14ac:dyDescent="0.25">
      <c r="A418" t="s">
        <v>1572</v>
      </c>
      <c r="B418">
        <v>37569</v>
      </c>
      <c r="C418" t="s">
        <v>630</v>
      </c>
      <c r="D418" t="s">
        <v>32</v>
      </c>
      <c r="E418" t="s">
        <v>227</v>
      </c>
      <c r="F418" t="s">
        <v>40</v>
      </c>
      <c r="G418" t="s">
        <v>22</v>
      </c>
      <c r="H418" t="s">
        <v>1573</v>
      </c>
      <c r="I418" t="s">
        <v>1574</v>
      </c>
      <c r="J418">
        <v>4</v>
      </c>
      <c r="K418" t="s">
        <v>25</v>
      </c>
      <c r="L418" t="s">
        <v>46</v>
      </c>
      <c r="M418" t="s">
        <v>590</v>
      </c>
      <c r="N418" t="s">
        <v>45</v>
      </c>
      <c r="O418" t="s">
        <v>46</v>
      </c>
      <c r="P418" t="s">
        <v>29</v>
      </c>
      <c r="Q418" t="s">
        <v>30</v>
      </c>
    </row>
    <row r="419" spans="1:17" x14ac:dyDescent="0.25">
      <c r="A419" t="s">
        <v>1575</v>
      </c>
      <c r="B419">
        <v>126721</v>
      </c>
      <c r="C419" t="s">
        <v>622</v>
      </c>
      <c r="D419" t="s">
        <v>19</v>
      </c>
      <c r="E419" t="s">
        <v>33</v>
      </c>
      <c r="F419" t="s">
        <v>21</v>
      </c>
      <c r="G419" t="s">
        <v>22</v>
      </c>
      <c r="H419" t="s">
        <v>1576</v>
      </c>
      <c r="I419" t="s">
        <v>1577</v>
      </c>
      <c r="J419">
        <v>3</v>
      </c>
      <c r="K419" t="s">
        <v>25</v>
      </c>
      <c r="L419" t="s">
        <v>661</v>
      </c>
      <c r="M419" t="s">
        <v>225</v>
      </c>
      <c r="N419" t="s">
        <v>45</v>
      </c>
      <c r="O419" t="s">
        <v>356</v>
      </c>
      <c r="P419" t="s">
        <v>29</v>
      </c>
      <c r="Q419" t="s">
        <v>30</v>
      </c>
    </row>
    <row r="420" spans="1:17" x14ac:dyDescent="0.25">
      <c r="A420" t="s">
        <v>1578</v>
      </c>
      <c r="B420">
        <v>106425</v>
      </c>
      <c r="C420" t="s">
        <v>361</v>
      </c>
      <c r="D420" t="s">
        <v>32</v>
      </c>
      <c r="E420" t="s">
        <v>33</v>
      </c>
      <c r="F420" t="s">
        <v>40</v>
      </c>
      <c r="G420" t="s">
        <v>22</v>
      </c>
      <c r="H420" t="s">
        <v>1579</v>
      </c>
      <c r="I420" t="s">
        <v>1580</v>
      </c>
      <c r="J420">
        <v>3</v>
      </c>
      <c r="K420" t="s">
        <v>25</v>
      </c>
      <c r="L420" t="s">
        <v>290</v>
      </c>
      <c r="M420" t="s">
        <v>89</v>
      </c>
      <c r="N420" t="s">
        <v>45</v>
      </c>
      <c r="O420" t="s">
        <v>290</v>
      </c>
      <c r="P420" t="s">
        <v>29</v>
      </c>
      <c r="Q420" t="s">
        <v>30</v>
      </c>
    </row>
    <row r="421" spans="1:17" x14ac:dyDescent="0.25">
      <c r="A421" t="s">
        <v>1581</v>
      </c>
      <c r="B421">
        <v>126577</v>
      </c>
      <c r="C421" t="s">
        <v>122</v>
      </c>
      <c r="D421" t="s">
        <v>32</v>
      </c>
      <c r="E421" t="s">
        <v>33</v>
      </c>
      <c r="F421" t="s">
        <v>700</v>
      </c>
      <c r="G421" t="s">
        <v>22</v>
      </c>
      <c r="H421" t="s">
        <v>1582</v>
      </c>
      <c r="I421" t="s">
        <v>1583</v>
      </c>
      <c r="J421">
        <v>3</v>
      </c>
      <c r="K421" t="s">
        <v>211</v>
      </c>
      <c r="L421" t="s">
        <v>548</v>
      </c>
      <c r="M421" t="s">
        <v>807</v>
      </c>
      <c r="N421" t="s">
        <v>45</v>
      </c>
      <c r="O421" t="s">
        <v>591</v>
      </c>
      <c r="P421" t="s">
        <v>29</v>
      </c>
      <c r="Q421" t="s">
        <v>30</v>
      </c>
    </row>
    <row r="422" spans="1:17" x14ac:dyDescent="0.25">
      <c r="A422" t="s">
        <v>1584</v>
      </c>
      <c r="B422">
        <v>126808</v>
      </c>
      <c r="C422" t="s">
        <v>622</v>
      </c>
      <c r="D422" t="s">
        <v>19</v>
      </c>
      <c r="E422" t="s">
        <v>33</v>
      </c>
      <c r="F422" t="s">
        <v>21</v>
      </c>
      <c r="G422" t="s">
        <v>22</v>
      </c>
      <c r="H422" t="s">
        <v>1585</v>
      </c>
      <c r="I422" t="s">
        <v>1586</v>
      </c>
      <c r="J422">
        <v>3</v>
      </c>
      <c r="K422" t="s">
        <v>25</v>
      </c>
      <c r="L422" t="s">
        <v>356</v>
      </c>
      <c r="M422" t="s">
        <v>734</v>
      </c>
      <c r="N422" t="s">
        <v>45</v>
      </c>
      <c r="O422" t="s">
        <v>356</v>
      </c>
      <c r="P422" t="s">
        <v>29</v>
      </c>
      <c r="Q422" t="s">
        <v>30</v>
      </c>
    </row>
    <row r="423" spans="1:17" x14ac:dyDescent="0.25">
      <c r="A423" t="s">
        <v>1587</v>
      </c>
      <c r="B423">
        <v>95938</v>
      </c>
      <c r="C423" t="s">
        <v>361</v>
      </c>
      <c r="D423" t="s">
        <v>32</v>
      </c>
      <c r="E423" t="s">
        <v>33</v>
      </c>
      <c r="F423" t="s">
        <v>40</v>
      </c>
      <c r="G423" t="s">
        <v>394</v>
      </c>
      <c r="H423" t="s">
        <v>1588</v>
      </c>
      <c r="I423" t="s">
        <v>1589</v>
      </c>
      <c r="J423">
        <v>3</v>
      </c>
      <c r="K423" t="s">
        <v>25</v>
      </c>
      <c r="L423" t="s">
        <v>199</v>
      </c>
      <c r="M423" t="s">
        <v>89</v>
      </c>
      <c r="N423" t="s">
        <v>45</v>
      </c>
      <c r="O423" t="s">
        <v>620</v>
      </c>
      <c r="P423" t="s">
        <v>29</v>
      </c>
      <c r="Q423" t="s">
        <v>30</v>
      </c>
    </row>
    <row r="424" spans="1:17" x14ac:dyDescent="0.25">
      <c r="A424" t="s">
        <v>1590</v>
      </c>
      <c r="B424">
        <v>55384</v>
      </c>
      <c r="C424" t="s">
        <v>61</v>
      </c>
      <c r="D424" t="s">
        <v>32</v>
      </c>
      <c r="E424" t="s">
        <v>33</v>
      </c>
      <c r="F424" t="s">
        <v>393</v>
      </c>
      <c r="G424" t="s">
        <v>22</v>
      </c>
      <c r="H424" t="s">
        <v>1591</v>
      </c>
      <c r="I424" t="s">
        <v>1592</v>
      </c>
      <c r="J424">
        <v>3</v>
      </c>
      <c r="K424" t="s">
        <v>25</v>
      </c>
      <c r="L424" t="s">
        <v>590</v>
      </c>
      <c r="M424" t="s">
        <v>1593</v>
      </c>
      <c r="N424" t="s">
        <v>493</v>
      </c>
      <c r="O424" t="s">
        <v>683</v>
      </c>
      <c r="P424" t="s">
        <v>29</v>
      </c>
      <c r="Q424" t="s">
        <v>30</v>
      </c>
    </row>
    <row r="425" spans="1:17" x14ac:dyDescent="0.25">
      <c r="A425" t="s">
        <v>1594</v>
      </c>
      <c r="B425">
        <v>127009</v>
      </c>
      <c r="C425" t="s">
        <v>188</v>
      </c>
      <c r="D425" t="s">
        <v>32</v>
      </c>
      <c r="E425" t="s">
        <v>62</v>
      </c>
      <c r="F425" t="s">
        <v>40</v>
      </c>
      <c r="G425" t="s">
        <v>22</v>
      </c>
      <c r="H425" t="s">
        <v>1595</v>
      </c>
      <c r="I425" t="s">
        <v>1596</v>
      </c>
      <c r="J425">
        <v>3</v>
      </c>
      <c r="K425" t="s">
        <v>25</v>
      </c>
      <c r="L425" t="s">
        <v>290</v>
      </c>
      <c r="M425" t="s">
        <v>89</v>
      </c>
      <c r="N425" t="s">
        <v>493</v>
      </c>
      <c r="O425" t="s">
        <v>620</v>
      </c>
      <c r="P425" t="s">
        <v>29</v>
      </c>
      <c r="Q425" t="s">
        <v>30</v>
      </c>
    </row>
    <row r="426" spans="1:17" x14ac:dyDescent="0.25">
      <c r="A426" t="s">
        <v>1597</v>
      </c>
      <c r="B426">
        <v>127016</v>
      </c>
      <c r="C426" t="s">
        <v>758</v>
      </c>
      <c r="D426" t="s">
        <v>19</v>
      </c>
      <c r="E426" t="s">
        <v>20</v>
      </c>
      <c r="F426" t="s">
        <v>428</v>
      </c>
      <c r="G426" t="s">
        <v>22</v>
      </c>
      <c r="H426" t="s">
        <v>1598</v>
      </c>
      <c r="I426" t="s">
        <v>1599</v>
      </c>
      <c r="J426">
        <v>3</v>
      </c>
      <c r="K426" t="s">
        <v>211</v>
      </c>
      <c r="L426" t="s">
        <v>37</v>
      </c>
      <c r="M426" t="s">
        <v>439</v>
      </c>
      <c r="N426" t="s">
        <v>493</v>
      </c>
      <c r="O426" t="s">
        <v>752</v>
      </c>
      <c r="P426" t="s">
        <v>29</v>
      </c>
      <c r="Q426" t="s">
        <v>30</v>
      </c>
    </row>
    <row r="427" spans="1:17" x14ac:dyDescent="0.25">
      <c r="A427" t="s">
        <v>1600</v>
      </c>
      <c r="B427">
        <v>112535</v>
      </c>
      <c r="C427" t="s">
        <v>758</v>
      </c>
      <c r="D427" t="s">
        <v>32</v>
      </c>
      <c r="E427" t="s">
        <v>62</v>
      </c>
      <c r="F427" t="s">
        <v>700</v>
      </c>
      <c r="G427" t="s">
        <v>394</v>
      </c>
      <c r="H427" t="s">
        <v>1601</v>
      </c>
      <c r="I427" t="s">
        <v>1602</v>
      </c>
      <c r="J427">
        <v>3</v>
      </c>
      <c r="K427" t="s">
        <v>25</v>
      </c>
      <c r="L427" t="s">
        <v>590</v>
      </c>
      <c r="M427" t="s">
        <v>1132</v>
      </c>
      <c r="N427" t="s">
        <v>493</v>
      </c>
      <c r="O427" t="s">
        <v>591</v>
      </c>
      <c r="P427" t="s">
        <v>29</v>
      </c>
      <c r="Q427" t="s">
        <v>30</v>
      </c>
    </row>
    <row r="428" spans="1:17" x14ac:dyDescent="0.25">
      <c r="A428" t="s">
        <v>1603</v>
      </c>
      <c r="B428">
        <v>127099</v>
      </c>
      <c r="C428" t="s">
        <v>622</v>
      </c>
      <c r="D428" t="s">
        <v>19</v>
      </c>
      <c r="E428" t="s">
        <v>33</v>
      </c>
      <c r="F428" t="s">
        <v>21</v>
      </c>
      <c r="G428" t="s">
        <v>22</v>
      </c>
      <c r="H428" t="s">
        <v>1604</v>
      </c>
      <c r="I428" t="s">
        <v>1605</v>
      </c>
      <c r="J428">
        <v>3</v>
      </c>
      <c r="K428" t="s">
        <v>211</v>
      </c>
      <c r="L428" t="s">
        <v>356</v>
      </c>
      <c r="M428" t="s">
        <v>528</v>
      </c>
      <c r="N428" t="s">
        <v>493</v>
      </c>
      <c r="O428" t="s">
        <v>356</v>
      </c>
      <c r="P428" t="s">
        <v>29</v>
      </c>
      <c r="Q428" t="s">
        <v>30</v>
      </c>
    </row>
    <row r="429" spans="1:17" x14ac:dyDescent="0.25">
      <c r="A429" t="s">
        <v>1606</v>
      </c>
      <c r="B429">
        <v>127121</v>
      </c>
      <c r="C429" t="s">
        <v>108</v>
      </c>
      <c r="D429" t="s">
        <v>32</v>
      </c>
      <c r="E429" t="s">
        <v>130</v>
      </c>
      <c r="F429" t="s">
        <v>109</v>
      </c>
      <c r="G429" t="s">
        <v>22</v>
      </c>
      <c r="H429" t="s">
        <v>1607</v>
      </c>
      <c r="I429" t="s">
        <v>1608</v>
      </c>
      <c r="J429">
        <v>3</v>
      </c>
      <c r="K429" t="s">
        <v>25</v>
      </c>
      <c r="L429" t="s">
        <v>761</v>
      </c>
      <c r="M429" t="s">
        <v>811</v>
      </c>
      <c r="N429" t="s">
        <v>493</v>
      </c>
      <c r="O429" t="s">
        <v>77</v>
      </c>
      <c r="P429" t="s">
        <v>29</v>
      </c>
      <c r="Q429" t="s">
        <v>30</v>
      </c>
    </row>
    <row r="430" spans="1:17" x14ac:dyDescent="0.25">
      <c r="A430" t="s">
        <v>1609</v>
      </c>
      <c r="B430">
        <v>127128</v>
      </c>
      <c r="C430" t="s">
        <v>634</v>
      </c>
      <c r="D430" t="s">
        <v>19</v>
      </c>
      <c r="E430" t="s">
        <v>62</v>
      </c>
      <c r="F430" t="s">
        <v>21</v>
      </c>
      <c r="G430" t="s">
        <v>22</v>
      </c>
      <c r="H430" t="s">
        <v>1610</v>
      </c>
      <c r="I430" t="s">
        <v>1611</v>
      </c>
      <c r="J430">
        <v>3</v>
      </c>
      <c r="K430" t="s">
        <v>211</v>
      </c>
      <c r="L430" t="s">
        <v>356</v>
      </c>
      <c r="M430" t="s">
        <v>308</v>
      </c>
      <c r="N430" t="s">
        <v>493</v>
      </c>
      <c r="O430" t="s">
        <v>356</v>
      </c>
      <c r="P430" t="s">
        <v>29</v>
      </c>
      <c r="Q430" t="s">
        <v>30</v>
      </c>
    </row>
    <row r="431" spans="1:17" x14ac:dyDescent="0.25">
      <c r="A431" t="s">
        <v>1612</v>
      </c>
      <c r="B431">
        <v>127153</v>
      </c>
      <c r="C431" t="s">
        <v>86</v>
      </c>
      <c r="D431" t="s">
        <v>32</v>
      </c>
      <c r="E431" t="s">
        <v>33</v>
      </c>
      <c r="F431" t="s">
        <v>123</v>
      </c>
      <c r="G431" t="s">
        <v>22</v>
      </c>
      <c r="H431" t="s">
        <v>1613</v>
      </c>
      <c r="I431" t="s">
        <v>1614</v>
      </c>
      <c r="J431">
        <v>3</v>
      </c>
      <c r="K431" t="s">
        <v>25</v>
      </c>
      <c r="L431" t="s">
        <v>213</v>
      </c>
      <c r="M431" t="s">
        <v>751</v>
      </c>
      <c r="N431" t="s">
        <v>493</v>
      </c>
      <c r="O431" t="s">
        <v>1337</v>
      </c>
      <c r="P431" t="s">
        <v>29</v>
      </c>
      <c r="Q431" t="s">
        <v>30</v>
      </c>
    </row>
    <row r="432" spans="1:17" x14ac:dyDescent="0.25">
      <c r="A432" t="s">
        <v>1615</v>
      </c>
      <c r="B432">
        <v>123681</v>
      </c>
      <c r="C432" t="s">
        <v>614</v>
      </c>
      <c r="D432" t="s">
        <v>19</v>
      </c>
      <c r="E432" t="s">
        <v>62</v>
      </c>
      <c r="F432" t="s">
        <v>484</v>
      </c>
      <c r="G432" t="s">
        <v>22</v>
      </c>
      <c r="H432" t="s">
        <v>1616</v>
      </c>
      <c r="I432" t="s">
        <v>1617</v>
      </c>
      <c r="J432">
        <v>3</v>
      </c>
      <c r="K432" t="s">
        <v>211</v>
      </c>
      <c r="L432" t="s">
        <v>213</v>
      </c>
      <c r="M432" t="s">
        <v>967</v>
      </c>
      <c r="N432" t="s">
        <v>493</v>
      </c>
      <c r="O432" t="s">
        <v>145</v>
      </c>
      <c r="P432" t="s">
        <v>29</v>
      </c>
      <c r="Q432" t="s">
        <v>30</v>
      </c>
    </row>
    <row r="433" spans="1:17" x14ac:dyDescent="0.25">
      <c r="A433" t="s">
        <v>1618</v>
      </c>
      <c r="B433">
        <v>125133</v>
      </c>
      <c r="C433" t="s">
        <v>86</v>
      </c>
      <c r="D433" t="s">
        <v>19</v>
      </c>
      <c r="E433" t="s">
        <v>62</v>
      </c>
      <c r="F433" t="s">
        <v>685</v>
      </c>
      <c r="G433" t="s">
        <v>394</v>
      </c>
      <c r="H433" t="s">
        <v>1619</v>
      </c>
      <c r="I433" t="s">
        <v>1620</v>
      </c>
      <c r="J433">
        <v>3</v>
      </c>
      <c r="K433" t="s">
        <v>25</v>
      </c>
      <c r="L433" t="s">
        <v>52</v>
      </c>
      <c r="M433" t="s">
        <v>586</v>
      </c>
      <c r="N433" t="s">
        <v>493</v>
      </c>
      <c r="O433" t="s">
        <v>77</v>
      </c>
      <c r="P433" t="s">
        <v>29</v>
      </c>
      <c r="Q433" t="s">
        <v>30</v>
      </c>
    </row>
    <row r="434" spans="1:17" x14ac:dyDescent="0.25">
      <c r="A434" t="s">
        <v>1621</v>
      </c>
      <c r="B434">
        <v>127204</v>
      </c>
      <c r="C434" t="s">
        <v>142</v>
      </c>
      <c r="D434" t="s">
        <v>32</v>
      </c>
      <c r="E434" t="s">
        <v>33</v>
      </c>
      <c r="F434" t="s">
        <v>40</v>
      </c>
      <c r="G434" t="s">
        <v>22</v>
      </c>
      <c r="H434" t="s">
        <v>1622</v>
      </c>
      <c r="I434" t="s">
        <v>1623</v>
      </c>
      <c r="J434">
        <v>3</v>
      </c>
      <c r="K434" t="s">
        <v>25</v>
      </c>
      <c r="L434" t="s">
        <v>290</v>
      </c>
      <c r="M434" t="s">
        <v>1047</v>
      </c>
      <c r="N434" t="s">
        <v>493</v>
      </c>
      <c r="O434" t="s">
        <v>290</v>
      </c>
      <c r="P434" t="s">
        <v>29</v>
      </c>
      <c r="Q434" t="s">
        <v>30</v>
      </c>
    </row>
    <row r="435" spans="1:17" x14ac:dyDescent="0.25">
      <c r="A435" t="s">
        <v>1624</v>
      </c>
      <c r="B435">
        <v>127186</v>
      </c>
      <c r="C435" t="s">
        <v>147</v>
      </c>
      <c r="D435" t="s">
        <v>19</v>
      </c>
      <c r="E435" t="s">
        <v>62</v>
      </c>
      <c r="F435" t="s">
        <v>428</v>
      </c>
      <c r="G435" t="s">
        <v>22</v>
      </c>
      <c r="H435" t="s">
        <v>1625</v>
      </c>
      <c r="I435" t="s">
        <v>1626</v>
      </c>
      <c r="J435">
        <v>3</v>
      </c>
      <c r="K435" t="s">
        <v>25</v>
      </c>
      <c r="L435" t="s">
        <v>612</v>
      </c>
      <c r="M435" t="s">
        <v>586</v>
      </c>
      <c r="N435" t="s">
        <v>493</v>
      </c>
      <c r="O435" t="s">
        <v>77</v>
      </c>
      <c r="P435" t="s">
        <v>29</v>
      </c>
      <c r="Q435" t="s">
        <v>30</v>
      </c>
    </row>
    <row r="436" spans="1:17" x14ac:dyDescent="0.25">
      <c r="A436" t="s">
        <v>1627</v>
      </c>
      <c r="B436">
        <v>127198</v>
      </c>
      <c r="C436" t="s">
        <v>252</v>
      </c>
      <c r="D436" t="s">
        <v>32</v>
      </c>
      <c r="E436" t="s">
        <v>33</v>
      </c>
      <c r="F436" t="s">
        <v>109</v>
      </c>
      <c r="G436" t="s">
        <v>22</v>
      </c>
      <c r="H436" t="s">
        <v>1628</v>
      </c>
      <c r="I436" t="s">
        <v>1629</v>
      </c>
      <c r="J436">
        <v>3</v>
      </c>
      <c r="K436" t="s">
        <v>25</v>
      </c>
      <c r="L436" t="s">
        <v>612</v>
      </c>
      <c r="M436" t="s">
        <v>536</v>
      </c>
      <c r="N436" t="s">
        <v>493</v>
      </c>
      <c r="O436" t="s">
        <v>661</v>
      </c>
      <c r="P436" t="s">
        <v>29</v>
      </c>
      <c r="Q436" t="s">
        <v>30</v>
      </c>
    </row>
    <row r="437" spans="1:17" x14ac:dyDescent="0.25">
      <c r="A437" t="s">
        <v>1630</v>
      </c>
      <c r="B437">
        <v>46877</v>
      </c>
      <c r="C437" t="s">
        <v>1197</v>
      </c>
      <c r="D437" t="s">
        <v>19</v>
      </c>
      <c r="E437" t="s">
        <v>227</v>
      </c>
      <c r="F437" t="s">
        <v>393</v>
      </c>
      <c r="G437" t="s">
        <v>394</v>
      </c>
      <c r="H437" t="s">
        <v>1631</v>
      </c>
      <c r="I437" t="s">
        <v>1632</v>
      </c>
      <c r="J437">
        <v>3</v>
      </c>
      <c r="K437" t="s">
        <v>25</v>
      </c>
      <c r="L437" t="s">
        <v>590</v>
      </c>
      <c r="M437" t="s">
        <v>767</v>
      </c>
      <c r="N437" t="s">
        <v>493</v>
      </c>
      <c r="O437" t="s">
        <v>77</v>
      </c>
      <c r="P437" t="s">
        <v>29</v>
      </c>
      <c r="Q437" t="s">
        <v>30</v>
      </c>
    </row>
    <row r="438" spans="1:17" x14ac:dyDescent="0.25">
      <c r="A438" t="s">
        <v>1633</v>
      </c>
      <c r="B438">
        <v>127010</v>
      </c>
      <c r="C438" t="s">
        <v>622</v>
      </c>
      <c r="D438" t="s">
        <v>19</v>
      </c>
      <c r="E438" t="s">
        <v>33</v>
      </c>
      <c r="F438" t="s">
        <v>21</v>
      </c>
      <c r="G438" t="s">
        <v>22</v>
      </c>
      <c r="H438" t="s">
        <v>1634</v>
      </c>
      <c r="I438" t="s">
        <v>1635</v>
      </c>
      <c r="J438">
        <v>3</v>
      </c>
      <c r="K438" t="s">
        <v>25</v>
      </c>
      <c r="L438" t="s">
        <v>356</v>
      </c>
      <c r="M438" t="s">
        <v>351</v>
      </c>
      <c r="N438" t="s">
        <v>493</v>
      </c>
      <c r="O438" t="s">
        <v>356</v>
      </c>
      <c r="P438" t="s">
        <v>29</v>
      </c>
      <c r="Q438" t="s">
        <v>30</v>
      </c>
    </row>
    <row r="439" spans="1:17" x14ac:dyDescent="0.25">
      <c r="A439" t="s">
        <v>1636</v>
      </c>
      <c r="B439">
        <v>127254</v>
      </c>
      <c r="C439" t="s">
        <v>622</v>
      </c>
      <c r="D439" t="s">
        <v>19</v>
      </c>
      <c r="E439" t="s">
        <v>62</v>
      </c>
      <c r="F439" t="s">
        <v>21</v>
      </c>
      <c r="G439" t="s">
        <v>22</v>
      </c>
      <c r="H439" t="s">
        <v>1637</v>
      </c>
      <c r="I439" t="s">
        <v>1638</v>
      </c>
      <c r="J439">
        <v>3</v>
      </c>
      <c r="K439" t="s">
        <v>397</v>
      </c>
      <c r="L439" t="s">
        <v>661</v>
      </c>
      <c r="M439" t="s">
        <v>628</v>
      </c>
      <c r="N439" t="s">
        <v>493</v>
      </c>
      <c r="O439" t="s">
        <v>1639</v>
      </c>
      <c r="P439" t="s">
        <v>29</v>
      </c>
      <c r="Q439" t="s">
        <v>30</v>
      </c>
    </row>
    <row r="440" spans="1:17" x14ac:dyDescent="0.25">
      <c r="A440" t="s">
        <v>1640</v>
      </c>
      <c r="B440">
        <v>74245</v>
      </c>
      <c r="C440" t="s">
        <v>361</v>
      </c>
      <c r="D440" t="s">
        <v>32</v>
      </c>
      <c r="E440" t="s">
        <v>227</v>
      </c>
      <c r="F440" t="s">
        <v>40</v>
      </c>
      <c r="G440" t="s">
        <v>22</v>
      </c>
      <c r="H440" t="s">
        <v>1641</v>
      </c>
      <c r="I440" t="s">
        <v>1642</v>
      </c>
      <c r="J440">
        <v>3</v>
      </c>
      <c r="K440" t="s">
        <v>25</v>
      </c>
      <c r="L440" t="s">
        <v>199</v>
      </c>
      <c r="M440" t="s">
        <v>89</v>
      </c>
      <c r="N440" t="s">
        <v>45</v>
      </c>
      <c r="O440" t="s">
        <v>620</v>
      </c>
      <c r="P440" t="s">
        <v>29</v>
      </c>
      <c r="Q440" t="s">
        <v>30</v>
      </c>
    </row>
    <row r="441" spans="1:17" x14ac:dyDescent="0.25">
      <c r="A441" t="s">
        <v>1643</v>
      </c>
      <c r="B441">
        <v>112411</v>
      </c>
      <c r="C441" t="s">
        <v>201</v>
      </c>
      <c r="D441" t="s">
        <v>32</v>
      </c>
      <c r="E441" t="s">
        <v>260</v>
      </c>
      <c r="F441" t="s">
        <v>685</v>
      </c>
      <c r="G441" t="s">
        <v>394</v>
      </c>
      <c r="H441" t="s">
        <v>1644</v>
      </c>
      <c r="I441" t="s">
        <v>1645</v>
      </c>
      <c r="J441">
        <v>3</v>
      </c>
      <c r="K441" t="s">
        <v>397</v>
      </c>
      <c r="L441" t="s">
        <v>761</v>
      </c>
      <c r="M441" t="s">
        <v>1646</v>
      </c>
      <c r="N441" t="s">
        <v>493</v>
      </c>
      <c r="O441" t="s">
        <v>1141</v>
      </c>
      <c r="P441" t="s">
        <v>29</v>
      </c>
      <c r="Q441" t="s">
        <v>30</v>
      </c>
    </row>
    <row r="442" spans="1:17" x14ac:dyDescent="0.25">
      <c r="A442" t="s">
        <v>1647</v>
      </c>
      <c r="B442">
        <v>127379</v>
      </c>
      <c r="C442" t="s">
        <v>142</v>
      </c>
      <c r="D442" t="s">
        <v>19</v>
      </c>
      <c r="E442" t="s">
        <v>62</v>
      </c>
      <c r="F442" t="s">
        <v>428</v>
      </c>
      <c r="G442" t="s">
        <v>22</v>
      </c>
      <c r="H442" t="s">
        <v>1648</v>
      </c>
      <c r="I442" t="s">
        <v>1649</v>
      </c>
      <c r="J442">
        <v>3</v>
      </c>
      <c r="K442" t="s">
        <v>25</v>
      </c>
      <c r="L442" t="s">
        <v>761</v>
      </c>
      <c r="M442" t="s">
        <v>439</v>
      </c>
      <c r="N442" t="s">
        <v>45</v>
      </c>
      <c r="O442" t="s">
        <v>548</v>
      </c>
      <c r="P442" t="s">
        <v>29</v>
      </c>
      <c r="Q442" t="s">
        <v>30</v>
      </c>
    </row>
    <row r="443" spans="1:17" x14ac:dyDescent="0.25">
      <c r="A443" t="s">
        <v>1650</v>
      </c>
      <c r="B443">
        <v>127397</v>
      </c>
      <c r="C443" t="s">
        <v>392</v>
      </c>
      <c r="D443" t="s">
        <v>19</v>
      </c>
      <c r="E443" t="s">
        <v>260</v>
      </c>
      <c r="F443" t="s">
        <v>202</v>
      </c>
      <c r="G443" t="s">
        <v>22</v>
      </c>
      <c r="H443" t="s">
        <v>1651</v>
      </c>
      <c r="I443" t="s">
        <v>1652</v>
      </c>
      <c r="J443">
        <v>3</v>
      </c>
      <c r="K443" t="s">
        <v>25</v>
      </c>
      <c r="L443" t="s">
        <v>761</v>
      </c>
      <c r="M443" t="s">
        <v>695</v>
      </c>
      <c r="N443" t="s">
        <v>45</v>
      </c>
      <c r="O443" t="s">
        <v>683</v>
      </c>
      <c r="P443" t="s">
        <v>29</v>
      </c>
      <c r="Q443" t="s">
        <v>30</v>
      </c>
    </row>
    <row r="444" spans="1:17" x14ac:dyDescent="0.25">
      <c r="A444" t="s">
        <v>1653</v>
      </c>
      <c r="B444">
        <v>127414</v>
      </c>
      <c r="C444" t="s">
        <v>175</v>
      </c>
      <c r="D444" t="s">
        <v>32</v>
      </c>
      <c r="E444" t="s">
        <v>62</v>
      </c>
      <c r="F444" t="s">
        <v>109</v>
      </c>
      <c r="G444" t="s">
        <v>22</v>
      </c>
      <c r="H444" t="s">
        <v>1654</v>
      </c>
      <c r="I444" t="s">
        <v>1655</v>
      </c>
      <c r="J444">
        <v>3</v>
      </c>
      <c r="K444" t="s">
        <v>25</v>
      </c>
      <c r="L444" t="s">
        <v>590</v>
      </c>
      <c r="M444" t="s">
        <v>472</v>
      </c>
      <c r="N444" t="s">
        <v>45</v>
      </c>
      <c r="O444" t="s">
        <v>661</v>
      </c>
      <c r="P444" t="s">
        <v>29</v>
      </c>
      <c r="Q444" t="s">
        <v>30</v>
      </c>
    </row>
    <row r="445" spans="1:17" x14ac:dyDescent="0.25">
      <c r="A445" t="s">
        <v>1656</v>
      </c>
      <c r="B445">
        <v>127483</v>
      </c>
      <c r="C445" t="s">
        <v>147</v>
      </c>
      <c r="D445" t="s">
        <v>32</v>
      </c>
      <c r="E445" t="s">
        <v>33</v>
      </c>
      <c r="F445" t="s">
        <v>123</v>
      </c>
      <c r="G445" t="s">
        <v>22</v>
      </c>
      <c r="H445" t="s">
        <v>1657</v>
      </c>
      <c r="I445" t="s">
        <v>1658</v>
      </c>
      <c r="J445">
        <v>3</v>
      </c>
      <c r="K445" t="s">
        <v>25</v>
      </c>
      <c r="L445" t="s">
        <v>590</v>
      </c>
      <c r="M445" t="s">
        <v>133</v>
      </c>
      <c r="N445" t="s">
        <v>45</v>
      </c>
      <c r="O445" t="s">
        <v>620</v>
      </c>
      <c r="P445" t="s">
        <v>29</v>
      </c>
      <c r="Q445" t="s">
        <v>30</v>
      </c>
    </row>
    <row r="446" spans="1:17" x14ac:dyDescent="0.25">
      <c r="A446" t="s">
        <v>1659</v>
      </c>
      <c r="B446">
        <v>127565</v>
      </c>
      <c r="C446" t="s">
        <v>61</v>
      </c>
      <c r="D446" t="s">
        <v>32</v>
      </c>
      <c r="E446" t="s">
        <v>33</v>
      </c>
      <c r="F446" t="s">
        <v>40</v>
      </c>
      <c r="G446" t="s">
        <v>22</v>
      </c>
      <c r="H446" t="s">
        <v>1660</v>
      </c>
      <c r="I446" t="s">
        <v>1661</v>
      </c>
      <c r="J446">
        <v>3</v>
      </c>
      <c r="K446" t="s">
        <v>25</v>
      </c>
      <c r="L446" t="s">
        <v>199</v>
      </c>
      <c r="M446" t="s">
        <v>89</v>
      </c>
      <c r="N446" t="s">
        <v>28</v>
      </c>
      <c r="O446" t="s">
        <v>444</v>
      </c>
      <c r="P446" t="s">
        <v>29</v>
      </c>
      <c r="Q446" t="s">
        <v>30</v>
      </c>
    </row>
    <row r="447" spans="1:17" x14ac:dyDescent="0.25">
      <c r="A447" t="s">
        <v>1662</v>
      </c>
      <c r="B447">
        <v>126925</v>
      </c>
      <c r="C447" t="s">
        <v>903</v>
      </c>
      <c r="D447" t="s">
        <v>19</v>
      </c>
      <c r="E447" t="s">
        <v>130</v>
      </c>
      <c r="F447" t="s">
        <v>109</v>
      </c>
      <c r="G447" t="s">
        <v>22</v>
      </c>
      <c r="H447" t="s">
        <v>1663</v>
      </c>
      <c r="I447" t="s">
        <v>1664</v>
      </c>
      <c r="J447">
        <v>3</v>
      </c>
      <c r="K447" t="s">
        <v>25</v>
      </c>
      <c r="L447" t="s">
        <v>213</v>
      </c>
      <c r="M447" t="s">
        <v>1665</v>
      </c>
      <c r="N447" t="s">
        <v>28</v>
      </c>
      <c r="O447" t="s">
        <v>77</v>
      </c>
      <c r="P447" t="s">
        <v>29</v>
      </c>
      <c r="Q447" t="s">
        <v>30</v>
      </c>
    </row>
    <row r="448" spans="1:17" x14ac:dyDescent="0.25">
      <c r="A448" t="s">
        <v>1666</v>
      </c>
      <c r="B448">
        <v>30963</v>
      </c>
      <c r="C448" t="s">
        <v>147</v>
      </c>
      <c r="D448" t="s">
        <v>32</v>
      </c>
      <c r="E448" t="s">
        <v>33</v>
      </c>
      <c r="F448" t="s">
        <v>40</v>
      </c>
      <c r="G448" t="s">
        <v>701</v>
      </c>
      <c r="H448" t="s">
        <v>1667</v>
      </c>
      <c r="I448" t="s">
        <v>1668</v>
      </c>
      <c r="J448">
        <v>3</v>
      </c>
      <c r="K448" t="s">
        <v>25</v>
      </c>
      <c r="L448" t="s">
        <v>199</v>
      </c>
      <c r="M448" t="s">
        <v>89</v>
      </c>
      <c r="N448" t="s">
        <v>28</v>
      </c>
      <c r="O448" t="s">
        <v>444</v>
      </c>
      <c r="P448" t="s">
        <v>29</v>
      </c>
      <c r="Q448" t="s">
        <v>30</v>
      </c>
    </row>
    <row r="449" spans="1:17" x14ac:dyDescent="0.25">
      <c r="A449" t="s">
        <v>1669</v>
      </c>
      <c r="B449">
        <v>6737</v>
      </c>
      <c r="C449" t="s">
        <v>851</v>
      </c>
      <c r="D449" t="s">
        <v>32</v>
      </c>
      <c r="E449" t="s">
        <v>754</v>
      </c>
      <c r="F449" t="s">
        <v>700</v>
      </c>
      <c r="G449" t="s">
        <v>22</v>
      </c>
      <c r="H449" t="s">
        <v>1670</v>
      </c>
      <c r="I449" t="s">
        <v>1671</v>
      </c>
      <c r="J449">
        <v>3</v>
      </c>
      <c r="K449" t="s">
        <v>25</v>
      </c>
      <c r="L449" t="s">
        <v>604</v>
      </c>
      <c r="M449" t="s">
        <v>1672</v>
      </c>
      <c r="N449" t="s">
        <v>28</v>
      </c>
      <c r="O449" t="s">
        <v>591</v>
      </c>
      <c r="P449" t="s">
        <v>29</v>
      </c>
      <c r="Q449" t="s">
        <v>30</v>
      </c>
    </row>
    <row r="450" spans="1:17" x14ac:dyDescent="0.25">
      <c r="A450" t="s">
        <v>1673</v>
      </c>
      <c r="B450">
        <v>127782</v>
      </c>
      <c r="C450" t="s">
        <v>188</v>
      </c>
      <c r="D450" t="s">
        <v>32</v>
      </c>
      <c r="E450" t="s">
        <v>33</v>
      </c>
      <c r="F450" t="s">
        <v>40</v>
      </c>
      <c r="G450" t="s">
        <v>22</v>
      </c>
      <c r="H450" t="s">
        <v>1674</v>
      </c>
      <c r="I450" t="s">
        <v>1675</v>
      </c>
      <c r="J450">
        <v>3</v>
      </c>
      <c r="K450" t="s">
        <v>25</v>
      </c>
      <c r="L450" t="s">
        <v>290</v>
      </c>
      <c r="M450" t="s">
        <v>89</v>
      </c>
      <c r="N450" t="s">
        <v>28</v>
      </c>
      <c r="O450" t="s">
        <v>444</v>
      </c>
      <c r="P450" t="s">
        <v>29</v>
      </c>
      <c r="Q450" t="s">
        <v>30</v>
      </c>
    </row>
    <row r="451" spans="1:17" x14ac:dyDescent="0.25">
      <c r="A451" t="s">
        <v>1676</v>
      </c>
      <c r="B451">
        <v>127941</v>
      </c>
      <c r="C451" t="s">
        <v>450</v>
      </c>
      <c r="D451" t="s">
        <v>32</v>
      </c>
      <c r="E451" t="s">
        <v>20</v>
      </c>
      <c r="F451" t="s">
        <v>700</v>
      </c>
      <c r="G451" t="s">
        <v>22</v>
      </c>
      <c r="H451" t="s">
        <v>1677</v>
      </c>
      <c r="I451" t="s">
        <v>1678</v>
      </c>
      <c r="J451">
        <v>3</v>
      </c>
      <c r="K451" t="s">
        <v>25</v>
      </c>
      <c r="L451" t="s">
        <v>37</v>
      </c>
      <c r="M451" t="s">
        <v>1132</v>
      </c>
      <c r="N451" t="s">
        <v>45</v>
      </c>
      <c r="O451" t="s">
        <v>591</v>
      </c>
      <c r="P451" t="s">
        <v>29</v>
      </c>
      <c r="Q451" t="s">
        <v>30</v>
      </c>
    </row>
    <row r="452" spans="1:17" x14ac:dyDescent="0.25">
      <c r="A452" t="s">
        <v>1679</v>
      </c>
      <c r="B452">
        <v>127937</v>
      </c>
      <c r="C452" t="s">
        <v>91</v>
      </c>
      <c r="D452" t="s">
        <v>19</v>
      </c>
      <c r="E452" t="s">
        <v>62</v>
      </c>
      <c r="F452" t="s">
        <v>109</v>
      </c>
      <c r="G452" t="s">
        <v>22</v>
      </c>
      <c r="H452" t="s">
        <v>1680</v>
      </c>
      <c r="I452" t="s">
        <v>1681</v>
      </c>
      <c r="J452">
        <v>3</v>
      </c>
      <c r="K452" t="s">
        <v>112</v>
      </c>
      <c r="L452" t="s">
        <v>548</v>
      </c>
      <c r="M452" t="s">
        <v>536</v>
      </c>
      <c r="N452" t="s">
        <v>45</v>
      </c>
      <c r="O452" t="s">
        <v>661</v>
      </c>
      <c r="P452" t="s">
        <v>29</v>
      </c>
      <c r="Q452" t="s">
        <v>30</v>
      </c>
    </row>
    <row r="453" spans="1:17" x14ac:dyDescent="0.25">
      <c r="A453" t="s">
        <v>1682</v>
      </c>
      <c r="B453">
        <v>127946</v>
      </c>
      <c r="C453" t="s">
        <v>622</v>
      </c>
      <c r="D453" t="s">
        <v>32</v>
      </c>
      <c r="E453" t="s">
        <v>62</v>
      </c>
      <c r="F453" t="s">
        <v>21</v>
      </c>
      <c r="G453" t="s">
        <v>22</v>
      </c>
      <c r="H453" t="s">
        <v>1683</v>
      </c>
      <c r="I453" t="s">
        <v>1684</v>
      </c>
      <c r="J453">
        <v>3</v>
      </c>
      <c r="K453" t="s">
        <v>211</v>
      </c>
      <c r="L453" t="s">
        <v>356</v>
      </c>
      <c r="M453" t="s">
        <v>308</v>
      </c>
      <c r="N453" t="s">
        <v>45</v>
      </c>
      <c r="O453" t="s">
        <v>661</v>
      </c>
      <c r="P453" t="s">
        <v>29</v>
      </c>
      <c r="Q453" t="s">
        <v>30</v>
      </c>
    </row>
    <row r="454" spans="1:17" x14ac:dyDescent="0.25">
      <c r="A454" t="s">
        <v>1685</v>
      </c>
      <c r="B454">
        <v>127940</v>
      </c>
      <c r="C454" t="s">
        <v>450</v>
      </c>
      <c r="D454" t="s">
        <v>32</v>
      </c>
      <c r="E454" t="s">
        <v>260</v>
      </c>
      <c r="F454" t="s">
        <v>123</v>
      </c>
      <c r="G454" t="s">
        <v>22</v>
      </c>
      <c r="H454" t="s">
        <v>1686</v>
      </c>
      <c r="I454" t="s">
        <v>1687</v>
      </c>
      <c r="J454">
        <v>3</v>
      </c>
      <c r="K454" t="s">
        <v>397</v>
      </c>
      <c r="L454" t="s">
        <v>548</v>
      </c>
      <c r="M454" t="s">
        <v>929</v>
      </c>
      <c r="N454" t="s">
        <v>45</v>
      </c>
      <c r="O454" t="s">
        <v>77</v>
      </c>
      <c r="P454" t="s">
        <v>29</v>
      </c>
      <c r="Q454" t="s">
        <v>30</v>
      </c>
    </row>
    <row r="455" spans="1:17" x14ac:dyDescent="0.25">
      <c r="A455" t="s">
        <v>1688</v>
      </c>
      <c r="B455">
        <v>127948</v>
      </c>
      <c r="C455" t="s">
        <v>441</v>
      </c>
      <c r="D455" t="s">
        <v>32</v>
      </c>
      <c r="E455" t="s">
        <v>62</v>
      </c>
      <c r="F455" t="s">
        <v>123</v>
      </c>
      <c r="G455" t="s">
        <v>22</v>
      </c>
      <c r="H455" t="s">
        <v>1689</v>
      </c>
      <c r="I455" t="s">
        <v>1690</v>
      </c>
      <c r="J455">
        <v>3</v>
      </c>
      <c r="K455" t="s">
        <v>25</v>
      </c>
      <c r="L455" t="s">
        <v>77</v>
      </c>
      <c r="M455" t="s">
        <v>929</v>
      </c>
      <c r="N455" t="s">
        <v>45</v>
      </c>
      <c r="O455" t="s">
        <v>77</v>
      </c>
      <c r="P455" t="s">
        <v>29</v>
      </c>
      <c r="Q455" t="s">
        <v>30</v>
      </c>
    </row>
    <row r="456" spans="1:17" x14ac:dyDescent="0.25">
      <c r="A456" t="s">
        <v>1691</v>
      </c>
      <c r="B456">
        <v>127962</v>
      </c>
      <c r="C456" t="s">
        <v>215</v>
      </c>
      <c r="D456" t="s">
        <v>32</v>
      </c>
      <c r="E456" t="s">
        <v>33</v>
      </c>
      <c r="F456" t="s">
        <v>40</v>
      </c>
      <c r="G456" t="s">
        <v>22</v>
      </c>
      <c r="H456" t="s">
        <v>1692</v>
      </c>
      <c r="I456" t="s">
        <v>1693</v>
      </c>
      <c r="J456">
        <v>3</v>
      </c>
      <c r="K456" t="s">
        <v>25</v>
      </c>
      <c r="L456" t="s">
        <v>290</v>
      </c>
      <c r="M456" t="s">
        <v>89</v>
      </c>
      <c r="N456" t="s">
        <v>45</v>
      </c>
      <c r="O456" t="s">
        <v>290</v>
      </c>
      <c r="P456" t="s">
        <v>29</v>
      </c>
      <c r="Q456" t="s">
        <v>30</v>
      </c>
    </row>
    <row r="457" spans="1:17" x14ac:dyDescent="0.25">
      <c r="A457" t="s">
        <v>1694</v>
      </c>
      <c r="B457">
        <v>127969</v>
      </c>
      <c r="C457" t="s">
        <v>122</v>
      </c>
      <c r="D457" t="s">
        <v>32</v>
      </c>
      <c r="E457" t="s">
        <v>20</v>
      </c>
      <c r="F457" t="s">
        <v>123</v>
      </c>
      <c r="G457" t="s">
        <v>22</v>
      </c>
      <c r="H457" t="s">
        <v>1695</v>
      </c>
      <c r="I457" t="s">
        <v>1696</v>
      </c>
      <c r="J457">
        <v>3</v>
      </c>
      <c r="K457" t="s">
        <v>397</v>
      </c>
      <c r="L457" t="s">
        <v>590</v>
      </c>
      <c r="M457" t="s">
        <v>605</v>
      </c>
      <c r="N457" t="s">
        <v>45</v>
      </c>
      <c r="O457" t="s">
        <v>77</v>
      </c>
      <c r="P457" t="s">
        <v>29</v>
      </c>
      <c r="Q457" t="s">
        <v>30</v>
      </c>
    </row>
    <row r="458" spans="1:17" x14ac:dyDescent="0.25">
      <c r="A458" t="s">
        <v>1697</v>
      </c>
      <c r="B458">
        <v>128017</v>
      </c>
      <c r="C458" t="s">
        <v>622</v>
      </c>
      <c r="D458" t="s">
        <v>32</v>
      </c>
      <c r="E458" t="s">
        <v>33</v>
      </c>
      <c r="F458" t="s">
        <v>21</v>
      </c>
      <c r="G458" t="s">
        <v>22</v>
      </c>
      <c r="H458" t="s">
        <v>1698</v>
      </c>
      <c r="I458" t="s">
        <v>1699</v>
      </c>
      <c r="J458">
        <v>3</v>
      </c>
      <c r="K458" t="s">
        <v>211</v>
      </c>
      <c r="L458" t="s">
        <v>661</v>
      </c>
      <c r="M458" t="s">
        <v>423</v>
      </c>
      <c r="N458" t="s">
        <v>493</v>
      </c>
      <c r="O458" t="s">
        <v>323</v>
      </c>
      <c r="P458" t="s">
        <v>29</v>
      </c>
      <c r="Q458" t="s">
        <v>30</v>
      </c>
    </row>
    <row r="459" spans="1:17" x14ac:dyDescent="0.25">
      <c r="A459" t="s">
        <v>1700</v>
      </c>
      <c r="B459">
        <v>128040</v>
      </c>
      <c r="C459" t="s">
        <v>622</v>
      </c>
      <c r="D459" t="s">
        <v>19</v>
      </c>
      <c r="E459" t="s">
        <v>33</v>
      </c>
      <c r="F459" t="s">
        <v>21</v>
      </c>
      <c r="G459" t="s">
        <v>22</v>
      </c>
      <c r="H459" t="s">
        <v>1701</v>
      </c>
      <c r="I459" t="s">
        <v>1702</v>
      </c>
      <c r="J459">
        <v>3</v>
      </c>
      <c r="K459" t="s">
        <v>25</v>
      </c>
      <c r="L459" t="s">
        <v>356</v>
      </c>
      <c r="M459" t="s">
        <v>308</v>
      </c>
      <c r="N459" t="s">
        <v>493</v>
      </c>
      <c r="O459" t="s">
        <v>661</v>
      </c>
      <c r="P459" t="s">
        <v>29</v>
      </c>
      <c r="Q459" t="s">
        <v>30</v>
      </c>
    </row>
    <row r="460" spans="1:17" x14ac:dyDescent="0.25">
      <c r="A460" t="s">
        <v>1703</v>
      </c>
      <c r="B460">
        <v>90987</v>
      </c>
      <c r="C460" t="s">
        <v>175</v>
      </c>
      <c r="D460" t="s">
        <v>32</v>
      </c>
      <c r="E460" t="s">
        <v>33</v>
      </c>
      <c r="F460" t="s">
        <v>109</v>
      </c>
      <c r="G460" t="s">
        <v>292</v>
      </c>
      <c r="H460" t="s">
        <v>1704</v>
      </c>
      <c r="I460" t="s">
        <v>1705</v>
      </c>
      <c r="J460">
        <v>3</v>
      </c>
      <c r="K460" t="s">
        <v>25</v>
      </c>
      <c r="L460" t="s">
        <v>761</v>
      </c>
      <c r="M460" t="s">
        <v>962</v>
      </c>
      <c r="N460" t="s">
        <v>493</v>
      </c>
      <c r="O460" t="s">
        <v>191</v>
      </c>
      <c r="P460" t="s">
        <v>29</v>
      </c>
      <c r="Q460" t="s">
        <v>30</v>
      </c>
    </row>
    <row r="461" spans="1:17" x14ac:dyDescent="0.25">
      <c r="A461" t="s">
        <v>1706</v>
      </c>
      <c r="B461">
        <v>108462</v>
      </c>
      <c r="C461" t="s">
        <v>221</v>
      </c>
      <c r="D461" t="s">
        <v>19</v>
      </c>
      <c r="E461" t="s">
        <v>33</v>
      </c>
      <c r="F461" t="s">
        <v>109</v>
      </c>
      <c r="G461" t="s">
        <v>22</v>
      </c>
      <c r="H461" t="s">
        <v>1707</v>
      </c>
      <c r="I461" t="s">
        <v>1708</v>
      </c>
      <c r="J461">
        <v>3</v>
      </c>
      <c r="K461" t="s">
        <v>25</v>
      </c>
      <c r="L461" t="s">
        <v>612</v>
      </c>
      <c r="M461" t="s">
        <v>906</v>
      </c>
      <c r="N461" t="s">
        <v>493</v>
      </c>
      <c r="O461" t="s">
        <v>661</v>
      </c>
      <c r="P461" t="s">
        <v>29</v>
      </c>
      <c r="Q461" t="s">
        <v>30</v>
      </c>
    </row>
    <row r="462" spans="1:17" x14ac:dyDescent="0.25">
      <c r="A462" t="s">
        <v>1709</v>
      </c>
      <c r="B462">
        <v>34800</v>
      </c>
      <c r="C462" t="s">
        <v>68</v>
      </c>
      <c r="D462" t="s">
        <v>32</v>
      </c>
      <c r="E462" t="s">
        <v>227</v>
      </c>
      <c r="F462" t="s">
        <v>40</v>
      </c>
      <c r="G462" t="s">
        <v>22</v>
      </c>
      <c r="H462" t="s">
        <v>1710</v>
      </c>
      <c r="I462" t="s">
        <v>1711</v>
      </c>
      <c r="J462">
        <v>3</v>
      </c>
      <c r="K462" t="s">
        <v>25</v>
      </c>
      <c r="L462" t="s">
        <v>105</v>
      </c>
      <c r="M462" t="s">
        <v>89</v>
      </c>
      <c r="N462" t="s">
        <v>493</v>
      </c>
      <c r="O462" t="s">
        <v>46</v>
      </c>
      <c r="P462" t="s">
        <v>29</v>
      </c>
      <c r="Q462" t="s">
        <v>30</v>
      </c>
    </row>
    <row r="463" spans="1:17" x14ac:dyDescent="0.25">
      <c r="A463" t="s">
        <v>1712</v>
      </c>
      <c r="B463">
        <v>116553</v>
      </c>
      <c r="C463" t="s">
        <v>108</v>
      </c>
      <c r="D463" t="s">
        <v>19</v>
      </c>
      <c r="E463" t="s">
        <v>20</v>
      </c>
      <c r="F463" t="s">
        <v>109</v>
      </c>
      <c r="G463" t="s">
        <v>22</v>
      </c>
      <c r="H463" t="s">
        <v>1713</v>
      </c>
      <c r="I463" t="s">
        <v>1714</v>
      </c>
      <c r="J463">
        <v>3</v>
      </c>
      <c r="K463" t="s">
        <v>25</v>
      </c>
      <c r="L463" t="s">
        <v>213</v>
      </c>
      <c r="M463" t="s">
        <v>708</v>
      </c>
      <c r="N463" t="s">
        <v>493</v>
      </c>
      <c r="O463" t="s">
        <v>77</v>
      </c>
      <c r="P463" t="s">
        <v>29</v>
      </c>
      <c r="Q463" t="s">
        <v>30</v>
      </c>
    </row>
    <row r="464" spans="1:17" x14ac:dyDescent="0.25">
      <c r="A464" t="s">
        <v>1715</v>
      </c>
      <c r="B464">
        <v>19065</v>
      </c>
      <c r="C464" t="s">
        <v>208</v>
      </c>
      <c r="D464" t="s">
        <v>19</v>
      </c>
      <c r="E464" t="s">
        <v>227</v>
      </c>
      <c r="F464" t="s">
        <v>484</v>
      </c>
      <c r="G464" t="s">
        <v>22</v>
      </c>
      <c r="H464" t="s">
        <v>1716</v>
      </c>
      <c r="I464" t="s">
        <v>1717</v>
      </c>
      <c r="J464">
        <v>3</v>
      </c>
      <c r="K464" t="s">
        <v>25</v>
      </c>
      <c r="L464" t="s">
        <v>567</v>
      </c>
      <c r="M464" t="s">
        <v>967</v>
      </c>
      <c r="N464" t="s">
        <v>45</v>
      </c>
      <c r="O464" t="s">
        <v>145</v>
      </c>
      <c r="P464" t="s">
        <v>29</v>
      </c>
      <c r="Q464" t="s">
        <v>30</v>
      </c>
    </row>
    <row r="465" spans="1:17" x14ac:dyDescent="0.25">
      <c r="A465" t="s">
        <v>1718</v>
      </c>
      <c r="B465">
        <v>128154</v>
      </c>
      <c r="C465" t="s">
        <v>622</v>
      </c>
      <c r="D465" t="s">
        <v>19</v>
      </c>
      <c r="E465" t="s">
        <v>33</v>
      </c>
      <c r="F465" t="s">
        <v>21</v>
      </c>
      <c r="G465" t="s">
        <v>22</v>
      </c>
      <c r="H465" t="s">
        <v>1719</v>
      </c>
      <c r="I465" t="s">
        <v>1720</v>
      </c>
      <c r="J465">
        <v>3</v>
      </c>
      <c r="K465" t="s">
        <v>25</v>
      </c>
      <c r="L465" t="s">
        <v>661</v>
      </c>
      <c r="M465" t="s">
        <v>734</v>
      </c>
      <c r="N465" t="s">
        <v>45</v>
      </c>
      <c r="O465" t="s">
        <v>356</v>
      </c>
      <c r="P465" t="s">
        <v>29</v>
      </c>
      <c r="Q465" t="s">
        <v>30</v>
      </c>
    </row>
    <row r="466" spans="1:17" x14ac:dyDescent="0.25">
      <c r="A466" t="s">
        <v>1721</v>
      </c>
      <c r="B466">
        <v>128306</v>
      </c>
      <c r="C466" t="s">
        <v>646</v>
      </c>
      <c r="D466" t="s">
        <v>32</v>
      </c>
      <c r="E466" t="s">
        <v>62</v>
      </c>
      <c r="F466" t="s">
        <v>109</v>
      </c>
      <c r="G466" t="s">
        <v>22</v>
      </c>
      <c r="H466" t="s">
        <v>1722</v>
      </c>
      <c r="I466" t="s">
        <v>1723</v>
      </c>
      <c r="J466">
        <v>3</v>
      </c>
      <c r="K466" t="s">
        <v>25</v>
      </c>
      <c r="L466" t="s">
        <v>213</v>
      </c>
      <c r="M466" t="s">
        <v>708</v>
      </c>
      <c r="N466" t="s">
        <v>45</v>
      </c>
      <c r="O466" t="s">
        <v>591</v>
      </c>
      <c r="P466" t="s">
        <v>29</v>
      </c>
      <c r="Q466" t="s">
        <v>30</v>
      </c>
    </row>
    <row r="467" spans="1:17" x14ac:dyDescent="0.25">
      <c r="A467" t="s">
        <v>1724</v>
      </c>
      <c r="B467">
        <v>128451</v>
      </c>
      <c r="C467" t="s">
        <v>80</v>
      </c>
      <c r="D467" t="s">
        <v>32</v>
      </c>
      <c r="E467" t="s">
        <v>33</v>
      </c>
      <c r="F467" t="s">
        <v>40</v>
      </c>
      <c r="G467" t="s">
        <v>22</v>
      </c>
      <c r="H467" t="s">
        <v>1725</v>
      </c>
      <c r="I467" t="s">
        <v>1726</v>
      </c>
      <c r="J467">
        <v>3</v>
      </c>
      <c r="K467" t="s">
        <v>25</v>
      </c>
      <c r="L467" t="s">
        <v>620</v>
      </c>
      <c r="M467" t="s">
        <v>106</v>
      </c>
      <c r="N467" t="s">
        <v>45</v>
      </c>
      <c r="O467" t="s">
        <v>612</v>
      </c>
      <c r="P467" t="s">
        <v>29</v>
      </c>
      <c r="Q467" t="s">
        <v>30</v>
      </c>
    </row>
    <row r="468" spans="1:17" x14ac:dyDescent="0.25">
      <c r="A468" t="s">
        <v>1727</v>
      </c>
      <c r="B468">
        <v>128470</v>
      </c>
      <c r="C468" t="s">
        <v>296</v>
      </c>
      <c r="D468" t="s">
        <v>32</v>
      </c>
      <c r="E468" t="s">
        <v>260</v>
      </c>
      <c r="F468" t="s">
        <v>40</v>
      </c>
      <c r="G468" t="s">
        <v>22</v>
      </c>
      <c r="H468" t="s">
        <v>1728</v>
      </c>
      <c r="I468" t="s">
        <v>1729</v>
      </c>
      <c r="J468">
        <v>3</v>
      </c>
      <c r="K468" t="s">
        <v>25</v>
      </c>
      <c r="L468" t="s">
        <v>620</v>
      </c>
      <c r="M468" t="s">
        <v>89</v>
      </c>
      <c r="N468" t="s">
        <v>28</v>
      </c>
      <c r="O468" t="s">
        <v>46</v>
      </c>
      <c r="P468" t="s">
        <v>29</v>
      </c>
      <c r="Q468" t="s">
        <v>30</v>
      </c>
    </row>
    <row r="469" spans="1:17" x14ac:dyDescent="0.25">
      <c r="A469" t="s">
        <v>1730</v>
      </c>
      <c r="B469">
        <v>128509</v>
      </c>
      <c r="C469" t="s">
        <v>922</v>
      </c>
      <c r="D469" t="s">
        <v>19</v>
      </c>
      <c r="E469" t="s">
        <v>130</v>
      </c>
      <c r="F469" t="s">
        <v>484</v>
      </c>
      <c r="G469" t="s">
        <v>22</v>
      </c>
      <c r="H469" t="s">
        <v>1731</v>
      </c>
      <c r="I469" t="s">
        <v>1732</v>
      </c>
      <c r="J469">
        <v>3</v>
      </c>
      <c r="K469" t="s">
        <v>211</v>
      </c>
      <c r="L469" t="s">
        <v>213</v>
      </c>
      <c r="M469" t="s">
        <v>544</v>
      </c>
      <c r="N469" t="s">
        <v>493</v>
      </c>
      <c r="O469" t="s">
        <v>145</v>
      </c>
      <c r="P469" t="s">
        <v>29</v>
      </c>
      <c r="Q469" t="s">
        <v>30</v>
      </c>
    </row>
    <row r="470" spans="1:17" x14ac:dyDescent="0.25">
      <c r="A470" t="s">
        <v>1733</v>
      </c>
      <c r="B470">
        <v>128565</v>
      </c>
      <c r="C470" t="s">
        <v>622</v>
      </c>
      <c r="D470" t="s">
        <v>32</v>
      </c>
      <c r="E470" t="s">
        <v>33</v>
      </c>
      <c r="F470" t="s">
        <v>21</v>
      </c>
      <c r="G470" t="s">
        <v>22</v>
      </c>
      <c r="H470" t="s">
        <v>1734</v>
      </c>
      <c r="I470" t="s">
        <v>1735</v>
      </c>
      <c r="J470">
        <v>3</v>
      </c>
      <c r="K470" t="s">
        <v>25</v>
      </c>
      <c r="L470" t="s">
        <v>661</v>
      </c>
      <c r="M470" t="s">
        <v>368</v>
      </c>
      <c r="N470" t="s">
        <v>493</v>
      </c>
      <c r="O470" t="s">
        <v>77</v>
      </c>
      <c r="P470" t="s">
        <v>29</v>
      </c>
      <c r="Q470" t="s">
        <v>30</v>
      </c>
    </row>
    <row r="471" spans="1:17" x14ac:dyDescent="0.25">
      <c r="A471" t="s">
        <v>1736</v>
      </c>
      <c r="B471">
        <v>128576</v>
      </c>
      <c r="C471" t="s">
        <v>215</v>
      </c>
      <c r="D471" t="s">
        <v>32</v>
      </c>
      <c r="E471" t="s">
        <v>33</v>
      </c>
      <c r="F471" t="s">
        <v>40</v>
      </c>
      <c r="G471" t="s">
        <v>22</v>
      </c>
      <c r="H471" t="s">
        <v>1737</v>
      </c>
      <c r="I471" t="s">
        <v>1738</v>
      </c>
      <c r="J471">
        <v>3</v>
      </c>
      <c r="K471" t="s">
        <v>25</v>
      </c>
      <c r="L471" t="s">
        <v>590</v>
      </c>
      <c r="M471" t="s">
        <v>590</v>
      </c>
      <c r="N471" t="s">
        <v>493</v>
      </c>
      <c r="O471" t="s">
        <v>683</v>
      </c>
      <c r="P471" t="s">
        <v>29</v>
      </c>
      <c r="Q471" t="s">
        <v>30</v>
      </c>
    </row>
    <row r="472" spans="1:17" x14ac:dyDescent="0.25">
      <c r="A472" t="s">
        <v>1739</v>
      </c>
      <c r="B472">
        <v>3264</v>
      </c>
      <c r="C472" t="s">
        <v>577</v>
      </c>
      <c r="D472" t="s">
        <v>19</v>
      </c>
      <c r="E472" t="s">
        <v>754</v>
      </c>
      <c r="F472" t="s">
        <v>484</v>
      </c>
      <c r="G472" t="s">
        <v>22</v>
      </c>
      <c r="H472" t="s">
        <v>1740</v>
      </c>
      <c r="I472" t="s">
        <v>1741</v>
      </c>
      <c r="J472">
        <v>3</v>
      </c>
      <c r="K472" t="s">
        <v>25</v>
      </c>
      <c r="L472" t="s">
        <v>213</v>
      </c>
      <c r="M472" t="s">
        <v>487</v>
      </c>
      <c r="N472" t="s">
        <v>28</v>
      </c>
      <c r="O472" t="s">
        <v>145</v>
      </c>
      <c r="P472" t="s">
        <v>29</v>
      </c>
      <c r="Q472" t="s">
        <v>30</v>
      </c>
    </row>
    <row r="473" spans="1:17" x14ac:dyDescent="0.25">
      <c r="A473" t="s">
        <v>1742</v>
      </c>
      <c r="B473">
        <v>125686</v>
      </c>
      <c r="C473" t="s">
        <v>450</v>
      </c>
      <c r="D473" t="s">
        <v>19</v>
      </c>
      <c r="E473" t="s">
        <v>20</v>
      </c>
      <c r="F473" t="s">
        <v>428</v>
      </c>
      <c r="G473" t="s">
        <v>22</v>
      </c>
      <c r="H473" t="s">
        <v>1743</v>
      </c>
      <c r="I473" t="s">
        <v>1744</v>
      </c>
      <c r="J473">
        <v>3</v>
      </c>
      <c r="K473" t="s">
        <v>25</v>
      </c>
      <c r="L473" t="s">
        <v>1745</v>
      </c>
      <c r="M473" t="s">
        <v>971</v>
      </c>
      <c r="N473" t="s">
        <v>493</v>
      </c>
      <c r="O473" t="s">
        <v>591</v>
      </c>
      <c r="P473" t="s">
        <v>29</v>
      </c>
      <c r="Q473" t="s">
        <v>30</v>
      </c>
    </row>
    <row r="474" spans="1:17" x14ac:dyDescent="0.25">
      <c r="A474" t="s">
        <v>1746</v>
      </c>
      <c r="B474">
        <v>128733</v>
      </c>
      <c r="C474" t="s">
        <v>454</v>
      </c>
      <c r="D474" t="s">
        <v>19</v>
      </c>
      <c r="E474" t="s">
        <v>260</v>
      </c>
      <c r="F474" t="s">
        <v>109</v>
      </c>
      <c r="G474" t="s">
        <v>22</v>
      </c>
      <c r="H474" t="s">
        <v>1747</v>
      </c>
      <c r="I474" t="s">
        <v>1748</v>
      </c>
      <c r="J474">
        <v>3</v>
      </c>
      <c r="K474" t="s">
        <v>25</v>
      </c>
      <c r="L474" t="s">
        <v>548</v>
      </c>
      <c r="M474" t="s">
        <v>962</v>
      </c>
      <c r="N474" t="s">
        <v>493</v>
      </c>
      <c r="O474" t="s">
        <v>290</v>
      </c>
      <c r="P474" t="s">
        <v>29</v>
      </c>
      <c r="Q474" t="s">
        <v>30</v>
      </c>
    </row>
    <row r="475" spans="1:17" x14ac:dyDescent="0.25">
      <c r="A475" t="s">
        <v>1749</v>
      </c>
      <c r="B475">
        <v>128732</v>
      </c>
      <c r="C475" t="s">
        <v>142</v>
      </c>
      <c r="D475" t="s">
        <v>32</v>
      </c>
      <c r="E475" t="s">
        <v>33</v>
      </c>
      <c r="F475" t="s">
        <v>123</v>
      </c>
      <c r="G475" t="s">
        <v>22</v>
      </c>
      <c r="H475" t="s">
        <v>1750</v>
      </c>
      <c r="I475" t="s">
        <v>1751</v>
      </c>
      <c r="J475">
        <v>3</v>
      </c>
      <c r="K475" t="s">
        <v>25</v>
      </c>
      <c r="L475" t="s">
        <v>548</v>
      </c>
      <c r="M475" t="s">
        <v>605</v>
      </c>
      <c r="N475" t="s">
        <v>493</v>
      </c>
      <c r="O475" t="s">
        <v>590</v>
      </c>
      <c r="P475" t="s">
        <v>29</v>
      </c>
      <c r="Q475" t="s">
        <v>30</v>
      </c>
    </row>
    <row r="476" spans="1:17" x14ac:dyDescent="0.25">
      <c r="A476" t="s">
        <v>1752</v>
      </c>
      <c r="B476">
        <v>128747</v>
      </c>
      <c r="C476" t="s">
        <v>221</v>
      </c>
      <c r="D476" t="s">
        <v>19</v>
      </c>
      <c r="E476" t="s">
        <v>33</v>
      </c>
      <c r="F476" t="s">
        <v>109</v>
      </c>
      <c r="G476" t="s">
        <v>22</v>
      </c>
      <c r="H476" t="s">
        <v>1753</v>
      </c>
      <c r="I476" t="s">
        <v>1754</v>
      </c>
      <c r="J476">
        <v>3</v>
      </c>
      <c r="K476" t="s">
        <v>112</v>
      </c>
      <c r="L476" t="s">
        <v>604</v>
      </c>
      <c r="M476" t="s">
        <v>962</v>
      </c>
      <c r="N476" t="s">
        <v>493</v>
      </c>
      <c r="O476" t="s">
        <v>290</v>
      </c>
      <c r="P476" t="s">
        <v>29</v>
      </c>
      <c r="Q476" t="s">
        <v>30</v>
      </c>
    </row>
    <row r="477" spans="1:17" x14ac:dyDescent="0.25">
      <c r="A477" t="s">
        <v>1755</v>
      </c>
      <c r="B477">
        <v>10771</v>
      </c>
      <c r="C477" t="s">
        <v>68</v>
      </c>
      <c r="D477" t="s">
        <v>32</v>
      </c>
      <c r="E477" t="s">
        <v>33</v>
      </c>
      <c r="F477" t="s">
        <v>40</v>
      </c>
      <c r="G477" t="s">
        <v>394</v>
      </c>
      <c r="H477" t="s">
        <v>1756</v>
      </c>
      <c r="I477" t="s">
        <v>1757</v>
      </c>
      <c r="J477">
        <v>3</v>
      </c>
      <c r="K477" t="s">
        <v>25</v>
      </c>
      <c r="L477" t="s">
        <v>612</v>
      </c>
      <c r="M477" t="s">
        <v>590</v>
      </c>
      <c r="N477" t="s">
        <v>493</v>
      </c>
      <c r="O477" t="s">
        <v>590</v>
      </c>
      <c r="P477" t="s">
        <v>29</v>
      </c>
      <c r="Q477" t="s">
        <v>30</v>
      </c>
    </row>
    <row r="478" spans="1:17" x14ac:dyDescent="0.25">
      <c r="A478" t="s">
        <v>1758</v>
      </c>
      <c r="B478">
        <v>128785</v>
      </c>
      <c r="C478" t="s">
        <v>622</v>
      </c>
      <c r="D478" t="s">
        <v>19</v>
      </c>
      <c r="E478" t="s">
        <v>33</v>
      </c>
      <c r="F478" t="s">
        <v>21</v>
      </c>
      <c r="G478" t="s">
        <v>22</v>
      </c>
      <c r="H478" t="s">
        <v>1759</v>
      </c>
      <c r="I478" t="s">
        <v>1760</v>
      </c>
      <c r="J478">
        <v>3</v>
      </c>
      <c r="K478" t="s">
        <v>25</v>
      </c>
      <c r="L478" t="s">
        <v>77</v>
      </c>
      <c r="M478" t="s">
        <v>225</v>
      </c>
      <c r="N478" t="s">
        <v>493</v>
      </c>
      <c r="O478" t="s">
        <v>77</v>
      </c>
      <c r="P478" t="s">
        <v>29</v>
      </c>
      <c r="Q478" t="s">
        <v>30</v>
      </c>
    </row>
    <row r="479" spans="1:17" x14ac:dyDescent="0.25">
      <c r="A479" t="s">
        <v>1761</v>
      </c>
      <c r="B479">
        <v>128794</v>
      </c>
      <c r="C479" t="s">
        <v>188</v>
      </c>
      <c r="D479" t="s">
        <v>32</v>
      </c>
      <c r="E479" t="s">
        <v>20</v>
      </c>
      <c r="F479" t="s">
        <v>40</v>
      </c>
      <c r="G479" t="s">
        <v>22</v>
      </c>
      <c r="H479" t="s">
        <v>1762</v>
      </c>
      <c r="I479" t="s">
        <v>1763</v>
      </c>
      <c r="J479">
        <v>3</v>
      </c>
      <c r="K479" t="s">
        <v>25</v>
      </c>
      <c r="L479" t="s">
        <v>590</v>
      </c>
      <c r="M479" t="s">
        <v>590</v>
      </c>
      <c r="N479" t="s">
        <v>493</v>
      </c>
      <c r="O479" t="s">
        <v>612</v>
      </c>
      <c r="P479" t="s">
        <v>29</v>
      </c>
      <c r="Q479" t="s">
        <v>30</v>
      </c>
    </row>
    <row r="480" spans="1:17" x14ac:dyDescent="0.25">
      <c r="A480" t="s">
        <v>1764</v>
      </c>
      <c r="B480">
        <v>128957</v>
      </c>
      <c r="C480" t="s">
        <v>758</v>
      </c>
      <c r="D480" t="s">
        <v>32</v>
      </c>
      <c r="E480" t="s">
        <v>33</v>
      </c>
      <c r="F480" t="s">
        <v>40</v>
      </c>
      <c r="G480" t="s">
        <v>22</v>
      </c>
      <c r="H480" t="s">
        <v>1765</v>
      </c>
      <c r="I480" t="s">
        <v>1766</v>
      </c>
      <c r="J480">
        <v>3</v>
      </c>
      <c r="K480" t="s">
        <v>25</v>
      </c>
      <c r="L480" t="s">
        <v>46</v>
      </c>
      <c r="M480" t="s">
        <v>71</v>
      </c>
      <c r="N480" t="s">
        <v>45</v>
      </c>
      <c r="O480" t="s">
        <v>46</v>
      </c>
      <c r="P480" t="s">
        <v>29</v>
      </c>
      <c r="Q480" t="s">
        <v>30</v>
      </c>
    </row>
    <row r="481" spans="1:17" x14ac:dyDescent="0.25">
      <c r="A481" t="s">
        <v>1767</v>
      </c>
      <c r="B481">
        <v>128973</v>
      </c>
      <c r="C481" t="s">
        <v>530</v>
      </c>
      <c r="D481" t="s">
        <v>32</v>
      </c>
      <c r="E481" t="s">
        <v>260</v>
      </c>
      <c r="F481" t="s">
        <v>40</v>
      </c>
      <c r="G481" t="s">
        <v>22</v>
      </c>
      <c r="H481" t="s">
        <v>1768</v>
      </c>
      <c r="I481" t="s">
        <v>1769</v>
      </c>
      <c r="J481">
        <v>3</v>
      </c>
      <c r="K481" t="s">
        <v>25</v>
      </c>
      <c r="L481" t="s">
        <v>46</v>
      </c>
      <c r="M481" t="s">
        <v>71</v>
      </c>
      <c r="N481" t="s">
        <v>45</v>
      </c>
      <c r="O481" t="s">
        <v>590</v>
      </c>
      <c r="P481" t="s">
        <v>29</v>
      </c>
      <c r="Q481" t="s">
        <v>30</v>
      </c>
    </row>
    <row r="482" spans="1:17" x14ac:dyDescent="0.25">
      <c r="A482" t="s">
        <v>1770</v>
      </c>
      <c r="B482">
        <v>3209</v>
      </c>
      <c r="C482" t="s">
        <v>68</v>
      </c>
      <c r="D482" t="s">
        <v>32</v>
      </c>
      <c r="E482" t="s">
        <v>754</v>
      </c>
      <c r="F482" t="s">
        <v>40</v>
      </c>
      <c r="G482" t="s">
        <v>394</v>
      </c>
      <c r="H482" t="s">
        <v>1771</v>
      </c>
      <c r="I482" t="s">
        <v>1772</v>
      </c>
      <c r="J482">
        <v>3</v>
      </c>
      <c r="K482" t="s">
        <v>25</v>
      </c>
      <c r="L482" t="s">
        <v>1112</v>
      </c>
      <c r="M482" t="s">
        <v>1039</v>
      </c>
      <c r="N482" t="s">
        <v>45</v>
      </c>
      <c r="O482" t="s">
        <v>46</v>
      </c>
      <c r="P482" t="s">
        <v>29</v>
      </c>
      <c r="Q482" t="s">
        <v>30</v>
      </c>
    </row>
    <row r="483" spans="1:17" x14ac:dyDescent="0.25">
      <c r="A483" t="s">
        <v>1773</v>
      </c>
      <c r="B483">
        <v>129035</v>
      </c>
      <c r="C483" t="s">
        <v>68</v>
      </c>
      <c r="D483" t="s">
        <v>32</v>
      </c>
      <c r="E483" t="s">
        <v>1774</v>
      </c>
      <c r="F483" t="s">
        <v>40</v>
      </c>
      <c r="G483" t="s">
        <v>22</v>
      </c>
      <c r="H483" t="s">
        <v>1775</v>
      </c>
      <c r="I483" t="s">
        <v>1776</v>
      </c>
      <c r="J483">
        <v>3</v>
      </c>
      <c r="K483" t="s">
        <v>25</v>
      </c>
      <c r="L483" t="s">
        <v>199</v>
      </c>
      <c r="M483" t="s">
        <v>89</v>
      </c>
      <c r="N483" t="s">
        <v>45</v>
      </c>
      <c r="O483" t="s">
        <v>46</v>
      </c>
      <c r="P483" t="s">
        <v>29</v>
      </c>
      <c r="Q483" t="s">
        <v>30</v>
      </c>
    </row>
    <row r="484" spans="1:17" x14ac:dyDescent="0.25">
      <c r="A484" t="s">
        <v>1777</v>
      </c>
      <c r="B484">
        <v>129046</v>
      </c>
      <c r="C484" t="s">
        <v>18</v>
      </c>
      <c r="D484" t="s">
        <v>19</v>
      </c>
      <c r="E484" t="s">
        <v>33</v>
      </c>
      <c r="F484" t="s">
        <v>109</v>
      </c>
      <c r="G484" t="s">
        <v>22</v>
      </c>
      <c r="H484" t="s">
        <v>1778</v>
      </c>
      <c r="I484" t="s">
        <v>1779</v>
      </c>
      <c r="J484">
        <v>3</v>
      </c>
      <c r="K484" t="s">
        <v>25</v>
      </c>
      <c r="L484" t="s">
        <v>288</v>
      </c>
      <c r="M484" t="s">
        <v>482</v>
      </c>
      <c r="N484" t="s">
        <v>45</v>
      </c>
      <c r="O484" t="s">
        <v>290</v>
      </c>
      <c r="P484" t="s">
        <v>29</v>
      </c>
      <c r="Q484" t="s">
        <v>30</v>
      </c>
    </row>
    <row r="485" spans="1:17" x14ac:dyDescent="0.25">
      <c r="A485" t="s">
        <v>1780</v>
      </c>
      <c r="B485">
        <v>70998</v>
      </c>
      <c r="C485" t="s">
        <v>315</v>
      </c>
      <c r="D485" t="s">
        <v>32</v>
      </c>
      <c r="E485" t="s">
        <v>227</v>
      </c>
      <c r="F485" t="s">
        <v>40</v>
      </c>
      <c r="G485" t="s">
        <v>394</v>
      </c>
      <c r="H485" t="s">
        <v>1781</v>
      </c>
      <c r="I485" t="s">
        <v>1782</v>
      </c>
      <c r="J485">
        <v>3</v>
      </c>
      <c r="K485" t="s">
        <v>25</v>
      </c>
      <c r="L485" t="s">
        <v>1281</v>
      </c>
      <c r="M485" t="s">
        <v>1039</v>
      </c>
      <c r="N485" t="s">
        <v>493</v>
      </c>
      <c r="O485" t="s">
        <v>612</v>
      </c>
      <c r="P485" t="s">
        <v>29</v>
      </c>
      <c r="Q485" t="s">
        <v>30</v>
      </c>
    </row>
    <row r="486" spans="1:17" x14ac:dyDescent="0.25">
      <c r="A486" t="s">
        <v>1783</v>
      </c>
      <c r="B486">
        <v>129060</v>
      </c>
      <c r="C486" t="s">
        <v>215</v>
      </c>
      <c r="D486" t="s">
        <v>32</v>
      </c>
      <c r="E486" t="s">
        <v>62</v>
      </c>
      <c r="F486" t="s">
        <v>123</v>
      </c>
      <c r="G486" t="s">
        <v>22</v>
      </c>
      <c r="H486" t="s">
        <v>1784</v>
      </c>
      <c r="I486" t="s">
        <v>1785</v>
      </c>
      <c r="J486">
        <v>3</v>
      </c>
      <c r="K486" t="s">
        <v>25</v>
      </c>
      <c r="L486" t="s">
        <v>604</v>
      </c>
      <c r="M486" t="s">
        <v>219</v>
      </c>
      <c r="N486" t="s">
        <v>45</v>
      </c>
      <c r="O486" t="s">
        <v>683</v>
      </c>
      <c r="P486" t="s">
        <v>29</v>
      </c>
      <c r="Q486" t="s">
        <v>30</v>
      </c>
    </row>
    <row r="487" spans="1:17" x14ac:dyDescent="0.25">
      <c r="A487" t="s">
        <v>1786</v>
      </c>
      <c r="B487">
        <v>128234</v>
      </c>
      <c r="C487" t="s">
        <v>18</v>
      </c>
      <c r="D487" t="s">
        <v>19</v>
      </c>
      <c r="E487" t="s">
        <v>33</v>
      </c>
      <c r="F487" t="s">
        <v>109</v>
      </c>
      <c r="G487" t="s">
        <v>394</v>
      </c>
      <c r="H487" t="s">
        <v>1787</v>
      </c>
      <c r="I487" t="s">
        <v>1788</v>
      </c>
      <c r="J487">
        <v>3</v>
      </c>
      <c r="K487" t="s">
        <v>25</v>
      </c>
      <c r="L487" t="s">
        <v>52</v>
      </c>
      <c r="M487" t="s">
        <v>372</v>
      </c>
      <c r="N487" t="s">
        <v>493</v>
      </c>
      <c r="O487" t="s">
        <v>548</v>
      </c>
      <c r="P487" t="s">
        <v>29</v>
      </c>
      <c r="Q487" t="s">
        <v>30</v>
      </c>
    </row>
    <row r="488" spans="1:17" x14ac:dyDescent="0.25">
      <c r="A488" t="s">
        <v>1789</v>
      </c>
      <c r="B488">
        <v>73214</v>
      </c>
      <c r="C488" t="s">
        <v>68</v>
      </c>
      <c r="D488" t="s">
        <v>32</v>
      </c>
      <c r="E488" t="s">
        <v>227</v>
      </c>
      <c r="F488" t="s">
        <v>40</v>
      </c>
      <c r="G488" t="s">
        <v>22</v>
      </c>
      <c r="H488" t="s">
        <v>1790</v>
      </c>
      <c r="I488" t="s">
        <v>1791</v>
      </c>
      <c r="J488">
        <v>3</v>
      </c>
      <c r="K488" t="s">
        <v>25</v>
      </c>
      <c r="L488" t="s">
        <v>1281</v>
      </c>
      <c r="M488" t="s">
        <v>71</v>
      </c>
      <c r="N488" t="s">
        <v>45</v>
      </c>
      <c r="O488" t="s">
        <v>46</v>
      </c>
      <c r="P488" t="s">
        <v>29</v>
      </c>
      <c r="Q488" t="s">
        <v>30</v>
      </c>
    </row>
    <row r="489" spans="1:17" x14ac:dyDescent="0.25">
      <c r="A489" t="s">
        <v>1792</v>
      </c>
      <c r="B489">
        <v>129064</v>
      </c>
      <c r="C489" t="s">
        <v>138</v>
      </c>
      <c r="D489" t="s">
        <v>19</v>
      </c>
      <c r="E489" t="s">
        <v>33</v>
      </c>
      <c r="F489" t="s">
        <v>428</v>
      </c>
      <c r="G489" t="s">
        <v>22</v>
      </c>
      <c r="H489" t="s">
        <v>1793</v>
      </c>
      <c r="I489" t="s">
        <v>1794</v>
      </c>
      <c r="J489">
        <v>3</v>
      </c>
      <c r="K489" t="s">
        <v>25</v>
      </c>
      <c r="L489" t="s">
        <v>548</v>
      </c>
      <c r="M489" t="s">
        <v>586</v>
      </c>
      <c r="N489" t="s">
        <v>493</v>
      </c>
      <c r="O489" t="s">
        <v>591</v>
      </c>
      <c r="P489" t="s">
        <v>29</v>
      </c>
      <c r="Q489" t="s">
        <v>30</v>
      </c>
    </row>
    <row r="490" spans="1:17" x14ac:dyDescent="0.25">
      <c r="A490" t="s">
        <v>1795</v>
      </c>
      <c r="B490">
        <v>129086</v>
      </c>
      <c r="C490" t="s">
        <v>646</v>
      </c>
      <c r="D490" t="s">
        <v>19</v>
      </c>
      <c r="E490" t="s">
        <v>62</v>
      </c>
      <c r="F490" t="s">
        <v>109</v>
      </c>
      <c r="G490" t="s">
        <v>22</v>
      </c>
      <c r="H490" t="s">
        <v>1796</v>
      </c>
      <c r="I490" t="s">
        <v>1797</v>
      </c>
      <c r="J490">
        <v>3</v>
      </c>
      <c r="K490" t="s">
        <v>25</v>
      </c>
      <c r="L490" t="s">
        <v>567</v>
      </c>
      <c r="M490" t="s">
        <v>457</v>
      </c>
      <c r="N490" t="s">
        <v>493</v>
      </c>
      <c r="O490" t="s">
        <v>290</v>
      </c>
      <c r="P490" t="s">
        <v>29</v>
      </c>
      <c r="Q490" t="s">
        <v>30</v>
      </c>
    </row>
    <row r="491" spans="1:17" x14ac:dyDescent="0.25">
      <c r="A491" t="s">
        <v>1798</v>
      </c>
      <c r="B491">
        <v>123626</v>
      </c>
      <c r="C491" t="s">
        <v>541</v>
      </c>
      <c r="D491" t="s">
        <v>32</v>
      </c>
      <c r="E491" t="s">
        <v>33</v>
      </c>
      <c r="F491" t="s">
        <v>40</v>
      </c>
      <c r="G491" t="s">
        <v>394</v>
      </c>
      <c r="H491" t="s">
        <v>1799</v>
      </c>
      <c r="I491" t="s">
        <v>1800</v>
      </c>
      <c r="J491">
        <v>3</v>
      </c>
      <c r="K491" t="s">
        <v>25</v>
      </c>
      <c r="L491" t="s">
        <v>1337</v>
      </c>
      <c r="M491" t="s">
        <v>89</v>
      </c>
      <c r="N491" t="s">
        <v>493</v>
      </c>
      <c r="O491" t="s">
        <v>612</v>
      </c>
      <c r="P491" t="s">
        <v>29</v>
      </c>
      <c r="Q491" t="s">
        <v>30</v>
      </c>
    </row>
    <row r="492" spans="1:17" x14ac:dyDescent="0.25">
      <c r="A492" t="s">
        <v>1801</v>
      </c>
      <c r="B492">
        <v>129079</v>
      </c>
      <c r="C492" t="s">
        <v>622</v>
      </c>
      <c r="D492" t="s">
        <v>19</v>
      </c>
      <c r="E492" t="s">
        <v>33</v>
      </c>
      <c r="F492" t="s">
        <v>21</v>
      </c>
      <c r="G492" t="s">
        <v>22</v>
      </c>
      <c r="H492" t="s">
        <v>1802</v>
      </c>
      <c r="I492" t="s">
        <v>1803</v>
      </c>
      <c r="J492">
        <v>3</v>
      </c>
      <c r="K492" t="s">
        <v>25</v>
      </c>
      <c r="L492" t="s">
        <v>77</v>
      </c>
      <c r="M492" t="s">
        <v>27</v>
      </c>
      <c r="N492" t="s">
        <v>493</v>
      </c>
      <c r="O492" t="s">
        <v>77</v>
      </c>
      <c r="P492" t="s">
        <v>29</v>
      </c>
      <c r="Q492" t="s">
        <v>30</v>
      </c>
    </row>
    <row r="493" spans="1:17" x14ac:dyDescent="0.25">
      <c r="A493" t="s">
        <v>1804</v>
      </c>
      <c r="B493">
        <v>112641</v>
      </c>
      <c r="C493" t="s">
        <v>39</v>
      </c>
      <c r="D493" t="s">
        <v>32</v>
      </c>
      <c r="E493" t="s">
        <v>33</v>
      </c>
      <c r="F493" t="s">
        <v>40</v>
      </c>
      <c r="G493" t="s">
        <v>394</v>
      </c>
      <c r="H493" t="s">
        <v>1805</v>
      </c>
      <c r="I493" t="s">
        <v>1806</v>
      </c>
      <c r="J493">
        <v>3</v>
      </c>
      <c r="K493" t="s">
        <v>25</v>
      </c>
      <c r="L493" t="s">
        <v>590</v>
      </c>
      <c r="M493" t="s">
        <v>590</v>
      </c>
      <c r="N493" t="s">
        <v>493</v>
      </c>
      <c r="O493" t="s">
        <v>612</v>
      </c>
      <c r="P493" t="s">
        <v>29</v>
      </c>
      <c r="Q493" t="s">
        <v>30</v>
      </c>
    </row>
    <row r="494" spans="1:17" x14ac:dyDescent="0.25">
      <c r="A494" t="s">
        <v>1807</v>
      </c>
      <c r="B494">
        <v>129201</v>
      </c>
      <c r="C494" t="s">
        <v>151</v>
      </c>
      <c r="D494" t="s">
        <v>32</v>
      </c>
      <c r="E494" t="s">
        <v>33</v>
      </c>
      <c r="F494" t="s">
        <v>700</v>
      </c>
      <c r="G494" t="s">
        <v>22</v>
      </c>
      <c r="H494" t="s">
        <v>1808</v>
      </c>
      <c r="I494" t="s">
        <v>1809</v>
      </c>
      <c r="J494">
        <v>3</v>
      </c>
      <c r="K494" t="s">
        <v>25</v>
      </c>
      <c r="L494" t="s">
        <v>161</v>
      </c>
      <c r="M494" t="s">
        <v>36</v>
      </c>
      <c r="N494" t="s">
        <v>493</v>
      </c>
      <c r="O494" t="s">
        <v>761</v>
      </c>
      <c r="P494" t="s">
        <v>29</v>
      </c>
      <c r="Q494" t="s">
        <v>30</v>
      </c>
    </row>
    <row r="495" spans="1:17" x14ac:dyDescent="0.25">
      <c r="A495" t="s">
        <v>1810</v>
      </c>
      <c r="B495">
        <v>48655</v>
      </c>
      <c r="C495" t="s">
        <v>353</v>
      </c>
      <c r="D495" t="s">
        <v>19</v>
      </c>
      <c r="E495" t="s">
        <v>227</v>
      </c>
      <c r="F495" t="s">
        <v>109</v>
      </c>
      <c r="G495" t="s">
        <v>22</v>
      </c>
      <c r="H495" t="s">
        <v>1811</v>
      </c>
      <c r="I495" t="s">
        <v>1812</v>
      </c>
      <c r="J495">
        <v>3</v>
      </c>
      <c r="K495" t="s">
        <v>112</v>
      </c>
      <c r="L495" t="s">
        <v>161</v>
      </c>
      <c r="M495" t="s">
        <v>811</v>
      </c>
      <c r="N495" t="s">
        <v>493</v>
      </c>
      <c r="O495" t="s">
        <v>290</v>
      </c>
      <c r="P495" t="s">
        <v>29</v>
      </c>
      <c r="Q495" t="s">
        <v>30</v>
      </c>
    </row>
    <row r="496" spans="1:17" x14ac:dyDescent="0.25">
      <c r="A496" t="s">
        <v>1813</v>
      </c>
      <c r="B496">
        <v>71283</v>
      </c>
      <c r="C496" t="s">
        <v>188</v>
      </c>
      <c r="D496" t="s">
        <v>32</v>
      </c>
      <c r="E496" t="s">
        <v>227</v>
      </c>
      <c r="F496" t="s">
        <v>40</v>
      </c>
      <c r="G496" t="s">
        <v>22</v>
      </c>
      <c r="H496" t="s">
        <v>1814</v>
      </c>
      <c r="I496" t="s">
        <v>1815</v>
      </c>
      <c r="J496">
        <v>3</v>
      </c>
      <c r="K496" t="s">
        <v>25</v>
      </c>
      <c r="L496" t="s">
        <v>59</v>
      </c>
      <c r="M496" t="s">
        <v>71</v>
      </c>
      <c r="N496" t="s">
        <v>493</v>
      </c>
      <c r="O496" t="s">
        <v>612</v>
      </c>
      <c r="P496" t="s">
        <v>29</v>
      </c>
      <c r="Q496" t="s">
        <v>30</v>
      </c>
    </row>
    <row r="497" spans="1:17" x14ac:dyDescent="0.25">
      <c r="A497" t="s">
        <v>1816</v>
      </c>
      <c r="B497">
        <v>129319</v>
      </c>
      <c r="C497" t="s">
        <v>285</v>
      </c>
      <c r="D497" t="s">
        <v>32</v>
      </c>
      <c r="E497" t="s">
        <v>260</v>
      </c>
      <c r="F497" t="s">
        <v>40</v>
      </c>
      <c r="G497" t="s">
        <v>22</v>
      </c>
      <c r="H497" t="s">
        <v>1817</v>
      </c>
      <c r="I497" t="s">
        <v>1818</v>
      </c>
      <c r="J497">
        <v>3</v>
      </c>
      <c r="K497" t="s">
        <v>25</v>
      </c>
      <c r="L497" t="s">
        <v>683</v>
      </c>
      <c r="M497" t="s">
        <v>1039</v>
      </c>
      <c r="N497" t="s">
        <v>493</v>
      </c>
      <c r="O497" t="s">
        <v>683</v>
      </c>
      <c r="P497" t="s">
        <v>29</v>
      </c>
      <c r="Q497" t="s">
        <v>30</v>
      </c>
    </row>
    <row r="498" spans="1:17" x14ac:dyDescent="0.25">
      <c r="A498" t="s">
        <v>1819</v>
      </c>
      <c r="B498">
        <v>129326</v>
      </c>
      <c r="C498" t="s">
        <v>530</v>
      </c>
      <c r="D498" t="s">
        <v>32</v>
      </c>
      <c r="E498" t="s">
        <v>33</v>
      </c>
      <c r="F498" t="s">
        <v>40</v>
      </c>
      <c r="G498" t="s">
        <v>22</v>
      </c>
      <c r="H498" t="s">
        <v>1820</v>
      </c>
      <c r="I498" t="s">
        <v>1821</v>
      </c>
      <c r="J498">
        <v>3</v>
      </c>
      <c r="K498" t="s">
        <v>25</v>
      </c>
      <c r="L498" t="s">
        <v>612</v>
      </c>
      <c r="M498" t="s">
        <v>1039</v>
      </c>
      <c r="N498" t="s">
        <v>493</v>
      </c>
      <c r="O498" t="s">
        <v>683</v>
      </c>
      <c r="P498" t="s">
        <v>29</v>
      </c>
      <c r="Q498" t="s">
        <v>30</v>
      </c>
    </row>
    <row r="499" spans="1:17" x14ac:dyDescent="0.25">
      <c r="A499" t="s">
        <v>1822</v>
      </c>
      <c r="B499">
        <v>129333</v>
      </c>
      <c r="C499" t="s">
        <v>1172</v>
      </c>
      <c r="D499" t="s">
        <v>19</v>
      </c>
      <c r="E499" t="s">
        <v>33</v>
      </c>
      <c r="F499" t="s">
        <v>21</v>
      </c>
      <c r="G499" t="s">
        <v>22</v>
      </c>
      <c r="H499" t="s">
        <v>1823</v>
      </c>
      <c r="I499" t="s">
        <v>1824</v>
      </c>
      <c r="J499">
        <v>3</v>
      </c>
      <c r="K499" t="s">
        <v>25</v>
      </c>
      <c r="L499" t="s">
        <v>77</v>
      </c>
      <c r="M499" t="s">
        <v>225</v>
      </c>
      <c r="N499" t="s">
        <v>493</v>
      </c>
      <c r="O499" t="s">
        <v>77</v>
      </c>
      <c r="P499" t="s">
        <v>29</v>
      </c>
      <c r="Q499" t="s">
        <v>30</v>
      </c>
    </row>
    <row r="500" spans="1:17" x14ac:dyDescent="0.25">
      <c r="A500" t="s">
        <v>1825</v>
      </c>
      <c r="B500">
        <v>129428</v>
      </c>
      <c r="C500" t="s">
        <v>18</v>
      </c>
      <c r="D500" t="s">
        <v>32</v>
      </c>
      <c r="E500" t="s">
        <v>33</v>
      </c>
      <c r="F500" t="s">
        <v>763</v>
      </c>
      <c r="G500" t="s">
        <v>22</v>
      </c>
      <c r="H500" t="s">
        <v>1826</v>
      </c>
      <c r="I500" t="s">
        <v>1827</v>
      </c>
      <c r="J500">
        <v>3</v>
      </c>
      <c r="K500" t="s">
        <v>211</v>
      </c>
      <c r="L500" t="s">
        <v>356</v>
      </c>
      <c r="M500" t="s">
        <v>1828</v>
      </c>
      <c r="N500" t="s">
        <v>493</v>
      </c>
      <c r="O500" t="s">
        <v>323</v>
      </c>
      <c r="P500" t="s">
        <v>29</v>
      </c>
      <c r="Q500" t="s">
        <v>30</v>
      </c>
    </row>
    <row r="501" spans="1:17" x14ac:dyDescent="0.25">
      <c r="A501" t="s">
        <v>1829</v>
      </c>
      <c r="B501">
        <v>129416</v>
      </c>
      <c r="C501" t="s">
        <v>441</v>
      </c>
      <c r="D501" t="s">
        <v>32</v>
      </c>
      <c r="E501" t="s">
        <v>33</v>
      </c>
      <c r="F501" t="s">
        <v>700</v>
      </c>
      <c r="G501" t="s">
        <v>22</v>
      </c>
      <c r="H501" t="s">
        <v>1830</v>
      </c>
      <c r="I501" t="s">
        <v>1831</v>
      </c>
      <c r="J501">
        <v>3</v>
      </c>
      <c r="K501" t="s">
        <v>211</v>
      </c>
      <c r="L501" t="s">
        <v>213</v>
      </c>
      <c r="M501" t="s">
        <v>1226</v>
      </c>
      <c r="N501" t="s">
        <v>493</v>
      </c>
      <c r="O501" t="s">
        <v>761</v>
      </c>
      <c r="P501" t="s">
        <v>29</v>
      </c>
      <c r="Q501" t="s">
        <v>30</v>
      </c>
    </row>
    <row r="502" spans="1:17" x14ac:dyDescent="0.25">
      <c r="A502" t="s">
        <v>1832</v>
      </c>
      <c r="B502">
        <v>129451</v>
      </c>
      <c r="C502" t="s">
        <v>80</v>
      </c>
      <c r="D502" t="s">
        <v>32</v>
      </c>
      <c r="E502" t="s">
        <v>33</v>
      </c>
      <c r="F502" t="s">
        <v>40</v>
      </c>
      <c r="G502" t="s">
        <v>22</v>
      </c>
      <c r="H502" t="s">
        <v>1833</v>
      </c>
      <c r="I502" t="s">
        <v>1834</v>
      </c>
      <c r="J502">
        <v>3</v>
      </c>
      <c r="K502" t="s">
        <v>25</v>
      </c>
      <c r="L502" t="s">
        <v>105</v>
      </c>
      <c r="M502" t="s">
        <v>1039</v>
      </c>
      <c r="N502" t="s">
        <v>493</v>
      </c>
      <c r="O502" t="s">
        <v>612</v>
      </c>
      <c r="P502" t="s">
        <v>29</v>
      </c>
      <c r="Q502" t="s">
        <v>30</v>
      </c>
    </row>
    <row r="503" spans="1:17" x14ac:dyDescent="0.25">
      <c r="A503" t="s">
        <v>1835</v>
      </c>
      <c r="B503">
        <v>129475</v>
      </c>
      <c r="C503" t="s">
        <v>601</v>
      </c>
      <c r="D503" t="s">
        <v>19</v>
      </c>
      <c r="E503" t="s">
        <v>20</v>
      </c>
      <c r="F503" t="s">
        <v>484</v>
      </c>
      <c r="G503" t="s">
        <v>22</v>
      </c>
      <c r="H503" t="s">
        <v>1836</v>
      </c>
      <c r="I503" t="s">
        <v>1837</v>
      </c>
      <c r="J503">
        <v>3</v>
      </c>
      <c r="K503" t="s">
        <v>25</v>
      </c>
      <c r="L503" t="s">
        <v>604</v>
      </c>
      <c r="M503" t="s">
        <v>967</v>
      </c>
      <c r="N503" t="s">
        <v>493</v>
      </c>
      <c r="O503" t="s">
        <v>620</v>
      </c>
      <c r="P503" t="s">
        <v>29</v>
      </c>
      <c r="Q503" t="s">
        <v>30</v>
      </c>
    </row>
    <row r="504" spans="1:17" x14ac:dyDescent="0.25">
      <c r="A504" t="s">
        <v>1838</v>
      </c>
      <c r="B504">
        <v>129492</v>
      </c>
      <c r="C504" t="s">
        <v>718</v>
      </c>
      <c r="D504" t="s">
        <v>32</v>
      </c>
      <c r="E504" t="s">
        <v>130</v>
      </c>
      <c r="F504" t="s">
        <v>123</v>
      </c>
      <c r="G504" t="s">
        <v>22</v>
      </c>
      <c r="H504" t="s">
        <v>1839</v>
      </c>
      <c r="I504" t="s">
        <v>1840</v>
      </c>
      <c r="J504">
        <v>3</v>
      </c>
      <c r="K504" t="s">
        <v>211</v>
      </c>
      <c r="L504" t="s">
        <v>161</v>
      </c>
      <c r="M504" t="s">
        <v>1841</v>
      </c>
      <c r="N504" t="s">
        <v>45</v>
      </c>
      <c r="O504" t="s">
        <v>548</v>
      </c>
      <c r="P504" t="s">
        <v>29</v>
      </c>
      <c r="Q504" t="s">
        <v>30</v>
      </c>
    </row>
    <row r="505" spans="1:17" x14ac:dyDescent="0.25">
      <c r="A505" t="s">
        <v>1842</v>
      </c>
      <c r="B505">
        <v>129476</v>
      </c>
      <c r="C505" t="s">
        <v>181</v>
      </c>
      <c r="D505" t="s">
        <v>19</v>
      </c>
      <c r="E505" t="s">
        <v>33</v>
      </c>
      <c r="F505" t="s">
        <v>109</v>
      </c>
      <c r="G505" t="s">
        <v>22</v>
      </c>
      <c r="H505" t="s">
        <v>1843</v>
      </c>
      <c r="I505" t="s">
        <v>1844</v>
      </c>
      <c r="J505">
        <v>3</v>
      </c>
      <c r="K505" t="s">
        <v>25</v>
      </c>
      <c r="L505" t="s">
        <v>213</v>
      </c>
      <c r="M505" t="s">
        <v>372</v>
      </c>
      <c r="N505" t="s">
        <v>493</v>
      </c>
      <c r="O505" t="s">
        <v>290</v>
      </c>
      <c r="P505" t="s">
        <v>29</v>
      </c>
      <c r="Q505" t="s">
        <v>30</v>
      </c>
    </row>
    <row r="506" spans="1:17" x14ac:dyDescent="0.25">
      <c r="A506" t="s">
        <v>1845</v>
      </c>
      <c r="B506">
        <v>129503</v>
      </c>
      <c r="C506" t="s">
        <v>122</v>
      </c>
      <c r="D506" t="s">
        <v>32</v>
      </c>
      <c r="E506" t="s">
        <v>20</v>
      </c>
      <c r="F506" t="s">
        <v>40</v>
      </c>
      <c r="G506" t="s">
        <v>22</v>
      </c>
      <c r="H506" t="s">
        <v>1846</v>
      </c>
      <c r="I506" t="s">
        <v>1847</v>
      </c>
      <c r="J506">
        <v>3</v>
      </c>
      <c r="K506" t="s">
        <v>25</v>
      </c>
      <c r="L506" t="s">
        <v>590</v>
      </c>
      <c r="M506" t="s">
        <v>590</v>
      </c>
      <c r="N506" t="s">
        <v>45</v>
      </c>
      <c r="O506" t="s">
        <v>590</v>
      </c>
      <c r="P506" t="s">
        <v>29</v>
      </c>
      <c r="Q506" t="s">
        <v>30</v>
      </c>
    </row>
    <row r="507" spans="1:17" x14ac:dyDescent="0.25">
      <c r="A507" t="s">
        <v>1848</v>
      </c>
      <c r="B507">
        <v>129506</v>
      </c>
      <c r="C507" t="s">
        <v>188</v>
      </c>
      <c r="D507" t="s">
        <v>32</v>
      </c>
      <c r="E507" t="s">
        <v>33</v>
      </c>
      <c r="F507" t="s">
        <v>40</v>
      </c>
      <c r="G507" t="s">
        <v>22</v>
      </c>
      <c r="H507" t="s">
        <v>1849</v>
      </c>
      <c r="I507" t="s">
        <v>1850</v>
      </c>
      <c r="J507">
        <v>3</v>
      </c>
      <c r="K507" t="s">
        <v>25</v>
      </c>
      <c r="L507" t="s">
        <v>444</v>
      </c>
      <c r="M507" t="s">
        <v>71</v>
      </c>
      <c r="N507" t="s">
        <v>45</v>
      </c>
      <c r="O507" t="s">
        <v>683</v>
      </c>
      <c r="P507" t="s">
        <v>29</v>
      </c>
      <c r="Q507" t="s">
        <v>30</v>
      </c>
    </row>
    <row r="508" spans="1:17" x14ac:dyDescent="0.25">
      <c r="A508" t="s">
        <v>1851</v>
      </c>
      <c r="B508">
        <v>129502</v>
      </c>
      <c r="C508" t="s">
        <v>773</v>
      </c>
      <c r="D508" t="s">
        <v>32</v>
      </c>
      <c r="E508" t="s">
        <v>62</v>
      </c>
      <c r="F508" t="s">
        <v>700</v>
      </c>
      <c r="G508" t="s">
        <v>22</v>
      </c>
      <c r="H508" t="s">
        <v>1852</v>
      </c>
      <c r="I508" t="s">
        <v>1853</v>
      </c>
      <c r="J508">
        <v>3</v>
      </c>
      <c r="K508" t="s">
        <v>25</v>
      </c>
      <c r="L508" t="s">
        <v>213</v>
      </c>
      <c r="M508" t="s">
        <v>1285</v>
      </c>
      <c r="N508" t="s">
        <v>45</v>
      </c>
      <c r="O508" t="s">
        <v>761</v>
      </c>
      <c r="P508" t="s">
        <v>29</v>
      </c>
      <c r="Q508" t="s">
        <v>30</v>
      </c>
    </row>
    <row r="509" spans="1:17" x14ac:dyDescent="0.25">
      <c r="A509" t="s">
        <v>1854</v>
      </c>
      <c r="B509">
        <v>77930</v>
      </c>
      <c r="C509" t="s">
        <v>1855</v>
      </c>
      <c r="D509" t="s">
        <v>32</v>
      </c>
      <c r="E509" t="s">
        <v>227</v>
      </c>
      <c r="F509" t="s">
        <v>685</v>
      </c>
      <c r="G509" t="s">
        <v>394</v>
      </c>
      <c r="H509" t="s">
        <v>1856</v>
      </c>
      <c r="I509" t="s">
        <v>1857</v>
      </c>
      <c r="J509">
        <v>3</v>
      </c>
      <c r="K509" t="s">
        <v>25</v>
      </c>
      <c r="L509" t="s">
        <v>213</v>
      </c>
      <c r="M509" t="s">
        <v>688</v>
      </c>
      <c r="N509" t="s">
        <v>45</v>
      </c>
      <c r="O509" t="s">
        <v>145</v>
      </c>
      <c r="P509" t="s">
        <v>29</v>
      </c>
      <c r="Q509" t="s">
        <v>30</v>
      </c>
    </row>
    <row r="510" spans="1:17" x14ac:dyDescent="0.25">
      <c r="A510" t="s">
        <v>1858</v>
      </c>
      <c r="B510">
        <v>12194</v>
      </c>
      <c r="C510" t="s">
        <v>193</v>
      </c>
      <c r="D510" t="s">
        <v>32</v>
      </c>
      <c r="E510" t="s">
        <v>754</v>
      </c>
      <c r="F510" t="s">
        <v>393</v>
      </c>
      <c r="G510" t="s">
        <v>394</v>
      </c>
      <c r="H510" t="s">
        <v>1859</v>
      </c>
      <c r="I510" t="s">
        <v>1860</v>
      </c>
      <c r="J510">
        <v>3</v>
      </c>
      <c r="K510" t="s">
        <v>25</v>
      </c>
      <c r="L510" t="s">
        <v>213</v>
      </c>
      <c r="M510" t="s">
        <v>398</v>
      </c>
      <c r="N510" t="s">
        <v>493</v>
      </c>
      <c r="O510" t="s">
        <v>1559</v>
      </c>
      <c r="P510" t="s">
        <v>29</v>
      </c>
      <c r="Q510" t="s">
        <v>30</v>
      </c>
    </row>
    <row r="511" spans="1:17" x14ac:dyDescent="0.25">
      <c r="A511" t="s">
        <v>1861</v>
      </c>
      <c r="B511">
        <v>86347</v>
      </c>
      <c r="C511" t="s">
        <v>454</v>
      </c>
      <c r="D511" t="s">
        <v>19</v>
      </c>
      <c r="E511" t="s">
        <v>33</v>
      </c>
      <c r="F511" t="s">
        <v>109</v>
      </c>
      <c r="G511" t="s">
        <v>22</v>
      </c>
      <c r="H511" t="s">
        <v>1862</v>
      </c>
      <c r="I511" t="s">
        <v>1863</v>
      </c>
      <c r="J511">
        <v>3</v>
      </c>
      <c r="K511" t="s">
        <v>25</v>
      </c>
      <c r="L511" t="s">
        <v>37</v>
      </c>
      <c r="M511" t="s">
        <v>708</v>
      </c>
      <c r="N511" t="s">
        <v>493</v>
      </c>
      <c r="O511" t="s">
        <v>290</v>
      </c>
      <c r="P511" t="s">
        <v>29</v>
      </c>
      <c r="Q511" t="s">
        <v>30</v>
      </c>
    </row>
    <row r="512" spans="1:17" x14ac:dyDescent="0.25">
      <c r="A512" t="s">
        <v>1864</v>
      </c>
      <c r="B512">
        <v>128539</v>
      </c>
      <c r="C512" t="s">
        <v>400</v>
      </c>
      <c r="D512" t="s">
        <v>19</v>
      </c>
      <c r="E512" t="s">
        <v>1865</v>
      </c>
      <c r="F512" t="s">
        <v>428</v>
      </c>
      <c r="G512" t="s">
        <v>22</v>
      </c>
      <c r="H512" t="s">
        <v>1866</v>
      </c>
      <c r="I512" t="s">
        <v>1867</v>
      </c>
      <c r="J512">
        <v>3</v>
      </c>
      <c r="K512" t="s">
        <v>25</v>
      </c>
      <c r="L512" t="s">
        <v>1868</v>
      </c>
      <c r="M512" t="s">
        <v>586</v>
      </c>
      <c r="N512" t="s">
        <v>493</v>
      </c>
      <c r="O512" t="s">
        <v>591</v>
      </c>
      <c r="P512" t="s">
        <v>29</v>
      </c>
      <c r="Q512" t="s">
        <v>1869</v>
      </c>
    </row>
    <row r="513" spans="1:17" x14ac:dyDescent="0.25">
      <c r="A513" t="s">
        <v>1870</v>
      </c>
      <c r="B513">
        <v>64732</v>
      </c>
      <c r="C513" t="s">
        <v>572</v>
      </c>
      <c r="D513" t="s">
        <v>32</v>
      </c>
      <c r="E513" t="s">
        <v>227</v>
      </c>
      <c r="F513" t="s">
        <v>700</v>
      </c>
      <c r="G513" t="s">
        <v>22</v>
      </c>
      <c r="H513" t="s">
        <v>1871</v>
      </c>
      <c r="I513" t="s">
        <v>1872</v>
      </c>
      <c r="J513">
        <v>3</v>
      </c>
      <c r="K513" t="s">
        <v>211</v>
      </c>
      <c r="L513" t="s">
        <v>548</v>
      </c>
      <c r="M513" t="s">
        <v>36</v>
      </c>
      <c r="N513" t="s">
        <v>1873</v>
      </c>
      <c r="O513" t="s">
        <v>761</v>
      </c>
      <c r="P513" t="s">
        <v>29</v>
      </c>
      <c r="Q513" t="s">
        <v>30</v>
      </c>
    </row>
    <row r="514" spans="1:17" x14ac:dyDescent="0.25">
      <c r="A514" t="s">
        <v>1874</v>
      </c>
      <c r="B514">
        <v>129678</v>
      </c>
      <c r="C514" t="s">
        <v>1217</v>
      </c>
      <c r="D514" t="s">
        <v>19</v>
      </c>
      <c r="E514" t="s">
        <v>62</v>
      </c>
      <c r="F514" t="s">
        <v>109</v>
      </c>
      <c r="G514" t="s">
        <v>22</v>
      </c>
      <c r="H514" t="s">
        <v>1875</v>
      </c>
      <c r="I514" t="s">
        <v>1876</v>
      </c>
      <c r="J514">
        <v>3</v>
      </c>
      <c r="K514" t="s">
        <v>25</v>
      </c>
      <c r="L514" t="s">
        <v>213</v>
      </c>
      <c r="M514" t="s">
        <v>178</v>
      </c>
      <c r="N514" t="s">
        <v>45</v>
      </c>
      <c r="O514" t="s">
        <v>548</v>
      </c>
      <c r="P514" t="s">
        <v>29</v>
      </c>
      <c r="Q514" t="s">
        <v>30</v>
      </c>
    </row>
    <row r="515" spans="1:17" x14ac:dyDescent="0.25">
      <c r="A515" t="s">
        <v>1877</v>
      </c>
      <c r="B515">
        <v>38056</v>
      </c>
      <c r="C515" t="s">
        <v>285</v>
      </c>
      <c r="D515" t="s">
        <v>19</v>
      </c>
      <c r="E515" t="s">
        <v>33</v>
      </c>
      <c r="F515" t="s">
        <v>685</v>
      </c>
      <c r="G515" t="s">
        <v>394</v>
      </c>
      <c r="H515" t="s">
        <v>1878</v>
      </c>
      <c r="I515" t="s">
        <v>1879</v>
      </c>
      <c r="J515">
        <v>3</v>
      </c>
      <c r="K515" t="s">
        <v>25</v>
      </c>
      <c r="L515" t="s">
        <v>213</v>
      </c>
      <c r="M515" t="s">
        <v>544</v>
      </c>
      <c r="N515" t="s">
        <v>45</v>
      </c>
      <c r="O515" t="s">
        <v>145</v>
      </c>
      <c r="P515" t="s">
        <v>29</v>
      </c>
      <c r="Q515" t="s">
        <v>30</v>
      </c>
    </row>
    <row r="516" spans="1:17" x14ac:dyDescent="0.25">
      <c r="A516" t="s">
        <v>1880</v>
      </c>
      <c r="B516">
        <v>129617</v>
      </c>
      <c r="C516" t="s">
        <v>622</v>
      </c>
      <c r="D516" t="s">
        <v>32</v>
      </c>
      <c r="E516" t="s">
        <v>33</v>
      </c>
      <c r="F516" t="s">
        <v>21</v>
      </c>
      <c r="G516" t="s">
        <v>22</v>
      </c>
      <c r="H516" t="s">
        <v>1881</v>
      </c>
      <c r="I516" t="s">
        <v>1882</v>
      </c>
      <c r="J516">
        <v>3</v>
      </c>
      <c r="K516" t="s">
        <v>25</v>
      </c>
      <c r="L516" t="s">
        <v>290</v>
      </c>
      <c r="M516" t="s">
        <v>387</v>
      </c>
      <c r="N516" t="s">
        <v>45</v>
      </c>
      <c r="O516" t="s">
        <v>77</v>
      </c>
      <c r="P516" t="s">
        <v>29</v>
      </c>
      <c r="Q516" t="s">
        <v>30</v>
      </c>
    </row>
    <row r="517" spans="1:17" x14ac:dyDescent="0.25">
      <c r="A517" t="s">
        <v>1883</v>
      </c>
      <c r="B517">
        <v>16186</v>
      </c>
      <c r="C517" t="s">
        <v>181</v>
      </c>
      <c r="D517" t="s">
        <v>32</v>
      </c>
      <c r="E517" t="s">
        <v>62</v>
      </c>
      <c r="F517" t="s">
        <v>109</v>
      </c>
      <c r="G517" t="s">
        <v>394</v>
      </c>
      <c r="H517" t="s">
        <v>1884</v>
      </c>
      <c r="I517" t="s">
        <v>1885</v>
      </c>
      <c r="J517">
        <v>3</v>
      </c>
      <c r="K517" t="s">
        <v>25</v>
      </c>
      <c r="L517" t="s">
        <v>157</v>
      </c>
      <c r="M517" t="s">
        <v>372</v>
      </c>
      <c r="N517" t="s">
        <v>45</v>
      </c>
      <c r="O517" t="s">
        <v>290</v>
      </c>
      <c r="P517" t="s">
        <v>29</v>
      </c>
      <c r="Q517" t="s">
        <v>30</v>
      </c>
    </row>
    <row r="518" spans="1:17" x14ac:dyDescent="0.25">
      <c r="A518" t="s">
        <v>1886</v>
      </c>
      <c r="B518">
        <v>96277</v>
      </c>
      <c r="C518" t="s">
        <v>61</v>
      </c>
      <c r="D518" t="s">
        <v>32</v>
      </c>
      <c r="E518" t="s">
        <v>33</v>
      </c>
      <c r="F518" t="s">
        <v>40</v>
      </c>
      <c r="G518" t="s">
        <v>22</v>
      </c>
      <c r="H518" t="s">
        <v>1887</v>
      </c>
      <c r="I518" t="s">
        <v>1888</v>
      </c>
      <c r="J518">
        <v>3</v>
      </c>
      <c r="K518" t="s">
        <v>25</v>
      </c>
      <c r="L518" t="s">
        <v>1136</v>
      </c>
      <c r="M518" t="s">
        <v>590</v>
      </c>
      <c r="N518" t="s">
        <v>45</v>
      </c>
      <c r="O518" t="s">
        <v>46</v>
      </c>
      <c r="P518" t="s">
        <v>29</v>
      </c>
      <c r="Q518" t="s">
        <v>30</v>
      </c>
    </row>
    <row r="519" spans="1:17" x14ac:dyDescent="0.25">
      <c r="A519" t="s">
        <v>1801</v>
      </c>
      <c r="B519">
        <v>129079</v>
      </c>
      <c r="C519" t="s">
        <v>622</v>
      </c>
      <c r="D519" t="s">
        <v>19</v>
      </c>
      <c r="E519" t="s">
        <v>33</v>
      </c>
      <c r="F519" t="s">
        <v>21</v>
      </c>
      <c r="G519" t="s">
        <v>22</v>
      </c>
      <c r="H519" t="s">
        <v>1889</v>
      </c>
      <c r="I519" t="s">
        <v>1890</v>
      </c>
      <c r="J519">
        <v>3</v>
      </c>
      <c r="K519" t="s">
        <v>25</v>
      </c>
      <c r="L519" t="s">
        <v>77</v>
      </c>
      <c r="M519" t="s">
        <v>368</v>
      </c>
      <c r="N519" t="s">
        <v>45</v>
      </c>
      <c r="O519" t="s">
        <v>77</v>
      </c>
      <c r="P519" t="s">
        <v>29</v>
      </c>
      <c r="Q519" t="s">
        <v>30</v>
      </c>
    </row>
    <row r="520" spans="1:17" x14ac:dyDescent="0.25">
      <c r="A520" t="s">
        <v>1891</v>
      </c>
      <c r="B520">
        <v>129673</v>
      </c>
      <c r="C520" t="s">
        <v>1172</v>
      </c>
      <c r="D520" t="s">
        <v>19</v>
      </c>
      <c r="E520" t="s">
        <v>33</v>
      </c>
      <c r="F520" t="s">
        <v>21</v>
      </c>
      <c r="G520" t="s">
        <v>22</v>
      </c>
      <c r="H520" t="s">
        <v>1892</v>
      </c>
      <c r="I520" t="s">
        <v>1893</v>
      </c>
      <c r="J520">
        <v>3</v>
      </c>
      <c r="K520" t="s">
        <v>25</v>
      </c>
      <c r="L520" t="s">
        <v>77</v>
      </c>
      <c r="M520" t="s">
        <v>368</v>
      </c>
      <c r="N520" t="s">
        <v>45</v>
      </c>
      <c r="O520" t="s">
        <v>77</v>
      </c>
      <c r="P520" t="s">
        <v>29</v>
      </c>
      <c r="Q520" t="s">
        <v>30</v>
      </c>
    </row>
    <row r="521" spans="1:17" x14ac:dyDescent="0.25">
      <c r="A521" t="s">
        <v>1894</v>
      </c>
      <c r="B521">
        <v>129851</v>
      </c>
      <c r="C521" t="s">
        <v>296</v>
      </c>
      <c r="D521" t="s">
        <v>32</v>
      </c>
      <c r="E521" t="s">
        <v>62</v>
      </c>
      <c r="F521" t="s">
        <v>40</v>
      </c>
      <c r="G521" t="s">
        <v>22</v>
      </c>
      <c r="H521" t="s">
        <v>1895</v>
      </c>
      <c r="I521" t="s">
        <v>1896</v>
      </c>
      <c r="J521">
        <v>3</v>
      </c>
      <c r="K521" t="s">
        <v>25</v>
      </c>
      <c r="L521" t="s">
        <v>46</v>
      </c>
      <c r="M521" t="s">
        <v>71</v>
      </c>
      <c r="N521" t="s">
        <v>45</v>
      </c>
      <c r="O521" t="s">
        <v>46</v>
      </c>
      <c r="P521" t="s">
        <v>29</v>
      </c>
      <c r="Q521" t="s">
        <v>30</v>
      </c>
    </row>
    <row r="522" spans="1:17" x14ac:dyDescent="0.25">
      <c r="A522" t="s">
        <v>1897</v>
      </c>
      <c r="B522">
        <v>129810</v>
      </c>
      <c r="C522" t="s">
        <v>758</v>
      </c>
      <c r="D522" t="s">
        <v>19</v>
      </c>
      <c r="E522" t="s">
        <v>33</v>
      </c>
      <c r="F522" t="s">
        <v>428</v>
      </c>
      <c r="G522" t="s">
        <v>22</v>
      </c>
      <c r="H522" t="s">
        <v>1898</v>
      </c>
      <c r="I522" t="s">
        <v>1899</v>
      </c>
      <c r="J522">
        <v>3</v>
      </c>
      <c r="K522" t="s">
        <v>112</v>
      </c>
      <c r="L522" t="s">
        <v>591</v>
      </c>
      <c r="M522" t="s">
        <v>1009</v>
      </c>
      <c r="N522" t="s">
        <v>45</v>
      </c>
      <c r="O522" t="s">
        <v>591</v>
      </c>
      <c r="P522" t="s">
        <v>29</v>
      </c>
      <c r="Q522" t="s">
        <v>30</v>
      </c>
    </row>
    <row r="523" spans="1:17" x14ac:dyDescent="0.25">
      <c r="A523" t="s">
        <v>1900</v>
      </c>
      <c r="B523">
        <v>102872</v>
      </c>
      <c r="C523" t="s">
        <v>188</v>
      </c>
      <c r="D523" t="s">
        <v>32</v>
      </c>
      <c r="E523" t="s">
        <v>33</v>
      </c>
      <c r="F523" t="s">
        <v>40</v>
      </c>
      <c r="G523" t="s">
        <v>394</v>
      </c>
      <c r="H523" t="s">
        <v>1901</v>
      </c>
      <c r="I523" t="s">
        <v>1902</v>
      </c>
      <c r="J523">
        <v>2</v>
      </c>
      <c r="K523" t="s">
        <v>25</v>
      </c>
      <c r="L523" t="s">
        <v>290</v>
      </c>
      <c r="M523" t="s">
        <v>89</v>
      </c>
      <c r="N523" t="s">
        <v>493</v>
      </c>
      <c r="O523" t="s">
        <v>620</v>
      </c>
      <c r="P523" t="s">
        <v>29</v>
      </c>
      <c r="Q523" t="s">
        <v>30</v>
      </c>
    </row>
    <row r="524" spans="1:17" x14ac:dyDescent="0.25">
      <c r="A524" t="s">
        <v>1903</v>
      </c>
      <c r="B524">
        <v>126729</v>
      </c>
      <c r="C524" t="s">
        <v>147</v>
      </c>
      <c r="D524" t="s">
        <v>32</v>
      </c>
      <c r="E524" t="s">
        <v>62</v>
      </c>
      <c r="F524" t="s">
        <v>40</v>
      </c>
      <c r="G524" t="s">
        <v>22</v>
      </c>
      <c r="H524" t="s">
        <v>1904</v>
      </c>
      <c r="I524" t="s">
        <v>1905</v>
      </c>
      <c r="J524">
        <v>2</v>
      </c>
      <c r="K524" t="s">
        <v>25</v>
      </c>
      <c r="L524" t="s">
        <v>620</v>
      </c>
      <c r="M524" t="s">
        <v>89</v>
      </c>
      <c r="N524" t="s">
        <v>493</v>
      </c>
      <c r="O524" t="s">
        <v>290</v>
      </c>
      <c r="P524" t="s">
        <v>29</v>
      </c>
      <c r="Q524" t="s">
        <v>30</v>
      </c>
    </row>
    <row r="525" spans="1:17" x14ac:dyDescent="0.25">
      <c r="A525" t="s">
        <v>1906</v>
      </c>
      <c r="B525">
        <v>55537</v>
      </c>
      <c r="C525" t="s">
        <v>315</v>
      </c>
      <c r="D525" t="s">
        <v>32</v>
      </c>
      <c r="E525" t="s">
        <v>227</v>
      </c>
      <c r="F525" t="s">
        <v>123</v>
      </c>
      <c r="G525" t="s">
        <v>394</v>
      </c>
      <c r="H525" t="s">
        <v>1907</v>
      </c>
      <c r="I525" t="s">
        <v>1908</v>
      </c>
      <c r="J525">
        <v>2</v>
      </c>
      <c r="K525" t="s">
        <v>25</v>
      </c>
      <c r="L525" t="s">
        <v>46</v>
      </c>
      <c r="M525" t="s">
        <v>751</v>
      </c>
      <c r="N525" t="s">
        <v>493</v>
      </c>
      <c r="O525" t="s">
        <v>59</v>
      </c>
      <c r="P525" t="s">
        <v>29</v>
      </c>
      <c r="Q525" t="s">
        <v>30</v>
      </c>
    </row>
    <row r="526" spans="1:17" x14ac:dyDescent="0.25">
      <c r="A526" t="s">
        <v>1909</v>
      </c>
      <c r="B526">
        <v>23620</v>
      </c>
      <c r="C526" t="s">
        <v>296</v>
      </c>
      <c r="D526" t="s">
        <v>32</v>
      </c>
      <c r="E526" t="s">
        <v>227</v>
      </c>
      <c r="F526" t="s">
        <v>40</v>
      </c>
      <c r="G526" t="s">
        <v>22</v>
      </c>
      <c r="H526" t="s">
        <v>1910</v>
      </c>
      <c r="I526" t="s">
        <v>1911</v>
      </c>
      <c r="J526">
        <v>2</v>
      </c>
      <c r="K526" t="s">
        <v>25</v>
      </c>
      <c r="L526" t="s">
        <v>290</v>
      </c>
      <c r="M526" t="s">
        <v>89</v>
      </c>
      <c r="N526" t="s">
        <v>45</v>
      </c>
      <c r="O526" t="s">
        <v>290</v>
      </c>
      <c r="P526" t="s">
        <v>29</v>
      </c>
      <c r="Q526" t="s">
        <v>30</v>
      </c>
    </row>
    <row r="527" spans="1:17" x14ac:dyDescent="0.25">
      <c r="A527" t="s">
        <v>1912</v>
      </c>
      <c r="B527">
        <v>126862</v>
      </c>
      <c r="C527" t="s">
        <v>392</v>
      </c>
      <c r="D527" t="s">
        <v>32</v>
      </c>
      <c r="E527" t="s">
        <v>20</v>
      </c>
      <c r="F527" t="s">
        <v>700</v>
      </c>
      <c r="G527" t="s">
        <v>22</v>
      </c>
      <c r="H527" t="s">
        <v>1913</v>
      </c>
      <c r="I527" t="s">
        <v>1914</v>
      </c>
      <c r="J527">
        <v>2</v>
      </c>
      <c r="K527" t="s">
        <v>25</v>
      </c>
      <c r="L527" t="s">
        <v>612</v>
      </c>
      <c r="M527" t="s">
        <v>36</v>
      </c>
      <c r="N527" t="s">
        <v>45</v>
      </c>
      <c r="O527" t="s">
        <v>591</v>
      </c>
      <c r="P527" t="s">
        <v>29</v>
      </c>
      <c r="Q527" t="s">
        <v>30</v>
      </c>
    </row>
    <row r="528" spans="1:17" x14ac:dyDescent="0.25">
      <c r="A528" t="s">
        <v>1915</v>
      </c>
      <c r="B528">
        <v>126992</v>
      </c>
      <c r="C528" t="s">
        <v>215</v>
      </c>
      <c r="D528" t="s">
        <v>32</v>
      </c>
      <c r="E528" t="s">
        <v>20</v>
      </c>
      <c r="F528" t="s">
        <v>40</v>
      </c>
      <c r="G528" t="s">
        <v>292</v>
      </c>
      <c r="H528" t="s">
        <v>1916</v>
      </c>
      <c r="I528" t="s">
        <v>1917</v>
      </c>
      <c r="J528">
        <v>2</v>
      </c>
      <c r="K528" t="s">
        <v>25</v>
      </c>
      <c r="L528" t="s">
        <v>105</v>
      </c>
      <c r="M528" t="s">
        <v>106</v>
      </c>
      <c r="N528" t="s">
        <v>45</v>
      </c>
      <c r="O528" t="s">
        <v>290</v>
      </c>
      <c r="P528" t="s">
        <v>29</v>
      </c>
      <c r="Q528" t="s">
        <v>30</v>
      </c>
    </row>
    <row r="529" spans="1:17" x14ac:dyDescent="0.25">
      <c r="A529" t="s">
        <v>1633</v>
      </c>
      <c r="B529">
        <v>127010</v>
      </c>
      <c r="C529" t="s">
        <v>622</v>
      </c>
      <c r="D529" t="s">
        <v>19</v>
      </c>
      <c r="E529" t="s">
        <v>33</v>
      </c>
      <c r="F529" t="s">
        <v>21</v>
      </c>
      <c r="G529" t="s">
        <v>22</v>
      </c>
      <c r="H529" t="s">
        <v>1918</v>
      </c>
      <c r="I529" t="s">
        <v>1919</v>
      </c>
      <c r="J529">
        <v>2</v>
      </c>
      <c r="K529" t="s">
        <v>25</v>
      </c>
      <c r="L529" t="s">
        <v>661</v>
      </c>
      <c r="M529" t="s">
        <v>368</v>
      </c>
      <c r="N529" t="s">
        <v>493</v>
      </c>
      <c r="O529" t="s">
        <v>356</v>
      </c>
      <c r="P529" t="s">
        <v>29</v>
      </c>
      <c r="Q529" t="s">
        <v>30</v>
      </c>
    </row>
    <row r="530" spans="1:17" x14ac:dyDescent="0.25">
      <c r="A530" t="s">
        <v>1920</v>
      </c>
      <c r="B530">
        <v>127001</v>
      </c>
      <c r="C530" t="s">
        <v>181</v>
      </c>
      <c r="D530" t="s">
        <v>19</v>
      </c>
      <c r="E530" t="s">
        <v>20</v>
      </c>
      <c r="F530" t="s">
        <v>109</v>
      </c>
      <c r="G530" t="s">
        <v>22</v>
      </c>
      <c r="H530" t="s">
        <v>1921</v>
      </c>
      <c r="I530" t="s">
        <v>1922</v>
      </c>
      <c r="J530">
        <v>2</v>
      </c>
      <c r="K530" t="s">
        <v>211</v>
      </c>
      <c r="L530" t="s">
        <v>77</v>
      </c>
      <c r="M530" t="s">
        <v>178</v>
      </c>
      <c r="N530" t="s">
        <v>493</v>
      </c>
      <c r="O530" t="s">
        <v>77</v>
      </c>
      <c r="P530" t="s">
        <v>29</v>
      </c>
      <c r="Q530" t="s">
        <v>30</v>
      </c>
    </row>
    <row r="531" spans="1:17" x14ac:dyDescent="0.25">
      <c r="A531" t="s">
        <v>1923</v>
      </c>
      <c r="B531">
        <v>103279</v>
      </c>
      <c r="C531" t="s">
        <v>462</v>
      </c>
      <c r="D531" t="s">
        <v>32</v>
      </c>
      <c r="E531" t="s">
        <v>62</v>
      </c>
      <c r="F531" t="s">
        <v>700</v>
      </c>
      <c r="G531" t="s">
        <v>394</v>
      </c>
      <c r="H531" t="s">
        <v>1924</v>
      </c>
      <c r="I531" t="s">
        <v>1925</v>
      </c>
      <c r="J531">
        <v>2</v>
      </c>
      <c r="K531" t="s">
        <v>25</v>
      </c>
      <c r="L531" t="s">
        <v>590</v>
      </c>
      <c r="M531" t="s">
        <v>1132</v>
      </c>
      <c r="N531" t="s">
        <v>493</v>
      </c>
      <c r="O531" t="s">
        <v>591</v>
      </c>
      <c r="P531" t="s">
        <v>29</v>
      </c>
      <c r="Q531" t="s">
        <v>30</v>
      </c>
    </row>
    <row r="532" spans="1:17" x14ac:dyDescent="0.25">
      <c r="A532" t="s">
        <v>1926</v>
      </c>
      <c r="B532">
        <v>127021</v>
      </c>
      <c r="C532" t="s">
        <v>193</v>
      </c>
      <c r="D532" t="s">
        <v>32</v>
      </c>
      <c r="E532" t="s">
        <v>62</v>
      </c>
      <c r="F532" t="s">
        <v>109</v>
      </c>
      <c r="G532" t="s">
        <v>394</v>
      </c>
      <c r="H532" t="s">
        <v>1927</v>
      </c>
      <c r="I532" t="s">
        <v>1928</v>
      </c>
      <c r="J532">
        <v>2</v>
      </c>
      <c r="K532" t="s">
        <v>25</v>
      </c>
      <c r="L532" t="s">
        <v>590</v>
      </c>
      <c r="M532" t="s">
        <v>178</v>
      </c>
      <c r="N532" t="s">
        <v>493</v>
      </c>
      <c r="O532" t="s">
        <v>77</v>
      </c>
      <c r="P532" t="s">
        <v>29</v>
      </c>
      <c r="Q532" t="s">
        <v>30</v>
      </c>
    </row>
    <row r="533" spans="1:17" x14ac:dyDescent="0.25">
      <c r="A533" t="s">
        <v>1929</v>
      </c>
      <c r="B533">
        <v>28040</v>
      </c>
      <c r="C533" t="s">
        <v>138</v>
      </c>
      <c r="D533" t="s">
        <v>32</v>
      </c>
      <c r="E533" t="s">
        <v>227</v>
      </c>
      <c r="F533" t="s">
        <v>700</v>
      </c>
      <c r="G533" t="s">
        <v>394</v>
      </c>
      <c r="H533" t="s">
        <v>1930</v>
      </c>
      <c r="I533" t="s">
        <v>1931</v>
      </c>
      <c r="J533">
        <v>2</v>
      </c>
      <c r="K533" t="s">
        <v>25</v>
      </c>
      <c r="L533" t="s">
        <v>590</v>
      </c>
      <c r="M533" t="s">
        <v>1132</v>
      </c>
      <c r="N533" t="s">
        <v>493</v>
      </c>
      <c r="O533" t="s">
        <v>591</v>
      </c>
      <c r="P533" t="s">
        <v>29</v>
      </c>
      <c r="Q533" t="s">
        <v>30</v>
      </c>
    </row>
    <row r="534" spans="1:17" x14ac:dyDescent="0.25">
      <c r="A534" t="s">
        <v>1932</v>
      </c>
      <c r="B534">
        <v>127133</v>
      </c>
      <c r="C534" t="s">
        <v>39</v>
      </c>
      <c r="D534" t="s">
        <v>32</v>
      </c>
      <c r="E534" t="s">
        <v>33</v>
      </c>
      <c r="F534" t="s">
        <v>40</v>
      </c>
      <c r="G534" t="s">
        <v>22</v>
      </c>
      <c r="H534" t="s">
        <v>1933</v>
      </c>
      <c r="I534" t="s">
        <v>1934</v>
      </c>
      <c r="J534">
        <v>2</v>
      </c>
      <c r="K534" t="s">
        <v>25</v>
      </c>
      <c r="L534" t="s">
        <v>199</v>
      </c>
      <c r="M534" t="s">
        <v>89</v>
      </c>
      <c r="N534" t="s">
        <v>493</v>
      </c>
      <c r="O534" t="s">
        <v>290</v>
      </c>
      <c r="P534" t="s">
        <v>29</v>
      </c>
      <c r="Q534" t="s">
        <v>30</v>
      </c>
    </row>
    <row r="535" spans="1:17" x14ac:dyDescent="0.25">
      <c r="A535" t="s">
        <v>1935</v>
      </c>
      <c r="B535">
        <v>106158</v>
      </c>
      <c r="C535" t="s">
        <v>80</v>
      </c>
      <c r="D535" t="s">
        <v>32</v>
      </c>
      <c r="E535" t="s">
        <v>33</v>
      </c>
      <c r="F535" t="s">
        <v>685</v>
      </c>
      <c r="G535" t="s">
        <v>394</v>
      </c>
      <c r="H535" t="s">
        <v>1936</v>
      </c>
      <c r="I535" t="s">
        <v>1937</v>
      </c>
      <c r="J535">
        <v>2</v>
      </c>
      <c r="K535" t="s">
        <v>25</v>
      </c>
      <c r="L535" t="s">
        <v>604</v>
      </c>
      <c r="M535" t="s">
        <v>1646</v>
      </c>
      <c r="N535" t="s">
        <v>493</v>
      </c>
      <c r="O535" t="s">
        <v>683</v>
      </c>
      <c r="P535" t="s">
        <v>29</v>
      </c>
      <c r="Q535" t="s">
        <v>30</v>
      </c>
    </row>
    <row r="536" spans="1:17" x14ac:dyDescent="0.25">
      <c r="A536" t="s">
        <v>1935</v>
      </c>
      <c r="B536">
        <v>106158</v>
      </c>
      <c r="C536" t="s">
        <v>80</v>
      </c>
      <c r="D536" t="s">
        <v>32</v>
      </c>
      <c r="E536" t="s">
        <v>33</v>
      </c>
      <c r="F536" t="s">
        <v>685</v>
      </c>
      <c r="G536" t="s">
        <v>394</v>
      </c>
      <c r="H536" t="s">
        <v>1936</v>
      </c>
      <c r="I536" t="s">
        <v>1937</v>
      </c>
      <c r="J536">
        <v>2</v>
      </c>
      <c r="K536" t="s">
        <v>25</v>
      </c>
      <c r="L536" t="s">
        <v>604</v>
      </c>
      <c r="M536" t="s">
        <v>1646</v>
      </c>
      <c r="N536" t="s">
        <v>493</v>
      </c>
      <c r="O536" t="s">
        <v>683</v>
      </c>
      <c r="P536" t="s">
        <v>29</v>
      </c>
      <c r="Q536" t="s">
        <v>30</v>
      </c>
    </row>
    <row r="537" spans="1:17" x14ac:dyDescent="0.25">
      <c r="A537" t="s">
        <v>1938</v>
      </c>
      <c r="B537">
        <v>127124</v>
      </c>
      <c r="C537" t="s">
        <v>18</v>
      </c>
      <c r="D537" t="s">
        <v>32</v>
      </c>
      <c r="E537" t="s">
        <v>62</v>
      </c>
      <c r="F537" t="s">
        <v>109</v>
      </c>
      <c r="G537" t="s">
        <v>22</v>
      </c>
      <c r="H537" t="s">
        <v>1939</v>
      </c>
      <c r="I537" t="s">
        <v>1940</v>
      </c>
      <c r="J537">
        <v>2</v>
      </c>
      <c r="K537" t="s">
        <v>25</v>
      </c>
      <c r="L537" t="s">
        <v>604</v>
      </c>
      <c r="M537" t="s">
        <v>811</v>
      </c>
      <c r="N537" t="s">
        <v>493</v>
      </c>
      <c r="O537" t="s">
        <v>77</v>
      </c>
      <c r="P537" t="s">
        <v>29</v>
      </c>
      <c r="Q537" t="s">
        <v>30</v>
      </c>
    </row>
    <row r="538" spans="1:17" x14ac:dyDescent="0.25">
      <c r="A538" t="s">
        <v>1941</v>
      </c>
      <c r="B538">
        <v>127141</v>
      </c>
      <c r="C538" t="s">
        <v>285</v>
      </c>
      <c r="D538" t="s">
        <v>32</v>
      </c>
      <c r="E538" t="s">
        <v>33</v>
      </c>
      <c r="F538" t="s">
        <v>40</v>
      </c>
      <c r="G538" t="s">
        <v>22</v>
      </c>
      <c r="H538" t="s">
        <v>1942</v>
      </c>
      <c r="I538" t="s">
        <v>1943</v>
      </c>
      <c r="J538">
        <v>2</v>
      </c>
      <c r="K538" t="s">
        <v>25</v>
      </c>
      <c r="L538" t="s">
        <v>620</v>
      </c>
      <c r="M538" t="s">
        <v>89</v>
      </c>
      <c r="N538" t="s">
        <v>493</v>
      </c>
      <c r="O538" t="s">
        <v>620</v>
      </c>
      <c r="P538" t="s">
        <v>29</v>
      </c>
      <c r="Q538" t="s">
        <v>30</v>
      </c>
    </row>
    <row r="539" spans="1:17" x14ac:dyDescent="0.25">
      <c r="A539" t="s">
        <v>1944</v>
      </c>
      <c r="B539">
        <v>125376</v>
      </c>
      <c r="C539" t="s">
        <v>215</v>
      </c>
      <c r="D539" t="s">
        <v>19</v>
      </c>
      <c r="E539" t="s">
        <v>33</v>
      </c>
      <c r="F539" t="s">
        <v>484</v>
      </c>
      <c r="G539" t="s">
        <v>22</v>
      </c>
      <c r="H539" t="s">
        <v>1945</v>
      </c>
      <c r="I539" t="s">
        <v>1946</v>
      </c>
      <c r="J539">
        <v>2</v>
      </c>
      <c r="K539" t="s">
        <v>25</v>
      </c>
      <c r="L539" t="s">
        <v>213</v>
      </c>
      <c r="M539" t="s">
        <v>652</v>
      </c>
      <c r="N539" t="s">
        <v>493</v>
      </c>
      <c r="O539" t="s">
        <v>145</v>
      </c>
      <c r="P539" t="s">
        <v>29</v>
      </c>
      <c r="Q539" t="s">
        <v>30</v>
      </c>
    </row>
    <row r="540" spans="1:17" x14ac:dyDescent="0.25">
      <c r="A540" t="s">
        <v>1947</v>
      </c>
      <c r="B540">
        <v>73292</v>
      </c>
      <c r="C540" t="s">
        <v>142</v>
      </c>
      <c r="D540" t="s">
        <v>32</v>
      </c>
      <c r="E540" t="s">
        <v>227</v>
      </c>
      <c r="F540" t="s">
        <v>685</v>
      </c>
      <c r="G540" t="s">
        <v>394</v>
      </c>
      <c r="H540" t="s">
        <v>1948</v>
      </c>
      <c r="I540" t="s">
        <v>1949</v>
      </c>
      <c r="J540">
        <v>2</v>
      </c>
      <c r="K540" t="s">
        <v>25</v>
      </c>
      <c r="L540" t="s">
        <v>213</v>
      </c>
      <c r="M540" t="s">
        <v>1215</v>
      </c>
      <c r="N540" t="s">
        <v>493</v>
      </c>
      <c r="O540" t="s">
        <v>683</v>
      </c>
      <c r="P540" t="s">
        <v>29</v>
      </c>
      <c r="Q540" t="s">
        <v>30</v>
      </c>
    </row>
    <row r="541" spans="1:17" x14ac:dyDescent="0.25">
      <c r="A541" t="s">
        <v>1950</v>
      </c>
      <c r="B541">
        <v>97568</v>
      </c>
      <c r="C541" t="s">
        <v>1951</v>
      </c>
      <c r="D541" t="s">
        <v>19</v>
      </c>
      <c r="E541" t="s">
        <v>33</v>
      </c>
      <c r="F541" t="s">
        <v>685</v>
      </c>
      <c r="G541" t="s">
        <v>394</v>
      </c>
      <c r="H541" t="s">
        <v>1952</v>
      </c>
      <c r="I541" t="s">
        <v>1953</v>
      </c>
      <c r="J541">
        <v>2</v>
      </c>
      <c r="K541" t="s">
        <v>25</v>
      </c>
      <c r="L541" t="s">
        <v>213</v>
      </c>
      <c r="M541" t="s">
        <v>766</v>
      </c>
      <c r="N541" t="s">
        <v>493</v>
      </c>
      <c r="O541" t="s">
        <v>683</v>
      </c>
      <c r="P541" t="s">
        <v>29</v>
      </c>
      <c r="Q541" t="s">
        <v>30</v>
      </c>
    </row>
    <row r="542" spans="1:17" x14ac:dyDescent="0.25">
      <c r="A542" t="s">
        <v>1954</v>
      </c>
      <c r="B542">
        <v>127202</v>
      </c>
      <c r="C542" t="s">
        <v>622</v>
      </c>
      <c r="D542" t="s">
        <v>19</v>
      </c>
      <c r="E542" t="s">
        <v>62</v>
      </c>
      <c r="F542" t="s">
        <v>21</v>
      </c>
      <c r="G542" t="s">
        <v>22</v>
      </c>
      <c r="H542" t="s">
        <v>1955</v>
      </c>
      <c r="I542" t="s">
        <v>1956</v>
      </c>
      <c r="J542">
        <v>2</v>
      </c>
      <c r="K542" t="s">
        <v>211</v>
      </c>
      <c r="L542" t="s">
        <v>356</v>
      </c>
      <c r="M542" t="s">
        <v>662</v>
      </c>
      <c r="N542" t="s">
        <v>493</v>
      </c>
      <c r="O542" t="s">
        <v>356</v>
      </c>
      <c r="P542" t="s">
        <v>29</v>
      </c>
      <c r="Q542" t="s">
        <v>30</v>
      </c>
    </row>
    <row r="543" spans="1:17" x14ac:dyDescent="0.25">
      <c r="A543" t="s">
        <v>1957</v>
      </c>
      <c r="B543">
        <v>126410</v>
      </c>
      <c r="C543" t="s">
        <v>572</v>
      </c>
      <c r="D543" t="s">
        <v>19</v>
      </c>
      <c r="E543" t="s">
        <v>20</v>
      </c>
      <c r="F543" t="s">
        <v>428</v>
      </c>
      <c r="G543" t="s">
        <v>22</v>
      </c>
      <c r="H543" t="s">
        <v>1958</v>
      </c>
      <c r="I543" t="s">
        <v>1959</v>
      </c>
      <c r="J543">
        <v>2</v>
      </c>
      <c r="K543" t="s">
        <v>25</v>
      </c>
      <c r="L543" t="s">
        <v>567</v>
      </c>
      <c r="M543" t="s">
        <v>724</v>
      </c>
      <c r="N543" t="s">
        <v>493</v>
      </c>
      <c r="O543" t="s">
        <v>548</v>
      </c>
      <c r="P543" t="s">
        <v>29</v>
      </c>
      <c r="Q543" t="s">
        <v>30</v>
      </c>
    </row>
    <row r="544" spans="1:17" x14ac:dyDescent="0.25">
      <c r="A544" t="s">
        <v>1909</v>
      </c>
      <c r="B544">
        <v>23620</v>
      </c>
      <c r="C544" t="s">
        <v>296</v>
      </c>
      <c r="D544" t="s">
        <v>32</v>
      </c>
      <c r="E544" t="s">
        <v>227</v>
      </c>
      <c r="F544" t="s">
        <v>40</v>
      </c>
      <c r="G544" t="s">
        <v>22</v>
      </c>
      <c r="H544" t="s">
        <v>1960</v>
      </c>
      <c r="I544" t="s">
        <v>1961</v>
      </c>
      <c r="J544">
        <v>2</v>
      </c>
      <c r="K544" t="s">
        <v>25</v>
      </c>
      <c r="L544" t="s">
        <v>620</v>
      </c>
      <c r="M544" t="s">
        <v>89</v>
      </c>
      <c r="N544" t="s">
        <v>975</v>
      </c>
      <c r="O544" t="s">
        <v>620</v>
      </c>
      <c r="P544" t="s">
        <v>29</v>
      </c>
      <c r="Q544" t="s">
        <v>30</v>
      </c>
    </row>
    <row r="545" spans="1:17" x14ac:dyDescent="0.25">
      <c r="A545" t="s">
        <v>1962</v>
      </c>
      <c r="B545">
        <v>127250</v>
      </c>
      <c r="C545" t="s">
        <v>86</v>
      </c>
      <c r="D545" t="s">
        <v>32</v>
      </c>
      <c r="E545" t="s">
        <v>33</v>
      </c>
      <c r="F545" t="s">
        <v>40</v>
      </c>
      <c r="G545" t="s">
        <v>22</v>
      </c>
      <c r="H545" t="s">
        <v>1963</v>
      </c>
      <c r="I545" t="s">
        <v>1964</v>
      </c>
      <c r="J545">
        <v>2</v>
      </c>
      <c r="K545" t="s">
        <v>25</v>
      </c>
      <c r="L545" t="s">
        <v>290</v>
      </c>
      <c r="M545" t="s">
        <v>89</v>
      </c>
      <c r="N545" t="s">
        <v>493</v>
      </c>
      <c r="O545" t="s">
        <v>290</v>
      </c>
      <c r="P545" t="s">
        <v>29</v>
      </c>
      <c r="Q545" t="s">
        <v>30</v>
      </c>
    </row>
    <row r="546" spans="1:17" x14ac:dyDescent="0.25">
      <c r="A546" t="s">
        <v>1965</v>
      </c>
      <c r="B546">
        <v>127436</v>
      </c>
      <c r="C546" t="s">
        <v>151</v>
      </c>
      <c r="D546" t="s">
        <v>32</v>
      </c>
      <c r="E546" t="s">
        <v>260</v>
      </c>
      <c r="F546" t="s">
        <v>40</v>
      </c>
      <c r="G546" t="s">
        <v>22</v>
      </c>
      <c r="H546" t="s">
        <v>1966</v>
      </c>
      <c r="I546" t="s">
        <v>1967</v>
      </c>
      <c r="J546">
        <v>2</v>
      </c>
      <c r="K546" t="s">
        <v>25</v>
      </c>
      <c r="L546" t="s">
        <v>105</v>
      </c>
      <c r="M546" t="s">
        <v>66</v>
      </c>
      <c r="N546" t="s">
        <v>1873</v>
      </c>
      <c r="O546" t="s">
        <v>105</v>
      </c>
      <c r="P546" t="s">
        <v>29</v>
      </c>
      <c r="Q546" t="s">
        <v>30</v>
      </c>
    </row>
    <row r="547" spans="1:17" x14ac:dyDescent="0.25">
      <c r="A547" t="s">
        <v>1968</v>
      </c>
      <c r="B547">
        <v>127476</v>
      </c>
      <c r="C547" t="s">
        <v>1217</v>
      </c>
      <c r="D547" t="s">
        <v>19</v>
      </c>
      <c r="E547" t="s">
        <v>33</v>
      </c>
      <c r="F547" t="s">
        <v>109</v>
      </c>
      <c r="G547" t="s">
        <v>394</v>
      </c>
      <c r="H547" t="s">
        <v>1969</v>
      </c>
      <c r="I547" t="s">
        <v>1970</v>
      </c>
      <c r="J547">
        <v>2</v>
      </c>
      <c r="K547" t="s">
        <v>25</v>
      </c>
      <c r="L547" t="s">
        <v>752</v>
      </c>
      <c r="M547" t="s">
        <v>178</v>
      </c>
      <c r="N547" t="s">
        <v>493</v>
      </c>
      <c r="O547" t="s">
        <v>77</v>
      </c>
      <c r="P547" t="s">
        <v>29</v>
      </c>
      <c r="Q547" t="s">
        <v>30</v>
      </c>
    </row>
    <row r="548" spans="1:17" x14ac:dyDescent="0.25">
      <c r="A548" t="s">
        <v>1971</v>
      </c>
      <c r="B548">
        <v>127473</v>
      </c>
      <c r="C548" t="s">
        <v>86</v>
      </c>
      <c r="D548" t="s">
        <v>19</v>
      </c>
      <c r="E548" t="s">
        <v>33</v>
      </c>
      <c r="F548" t="s">
        <v>428</v>
      </c>
      <c r="G548" t="s">
        <v>22</v>
      </c>
      <c r="H548" t="s">
        <v>1972</v>
      </c>
      <c r="I548" t="s">
        <v>1973</v>
      </c>
      <c r="J548">
        <v>2</v>
      </c>
      <c r="K548" t="s">
        <v>211</v>
      </c>
      <c r="L548" t="s">
        <v>548</v>
      </c>
      <c r="M548" t="s">
        <v>910</v>
      </c>
      <c r="N548" t="s">
        <v>45</v>
      </c>
      <c r="O548" t="s">
        <v>77</v>
      </c>
      <c r="P548" t="s">
        <v>29</v>
      </c>
      <c r="Q548" t="s">
        <v>30</v>
      </c>
    </row>
    <row r="549" spans="1:17" x14ac:dyDescent="0.25">
      <c r="A549" t="s">
        <v>1974</v>
      </c>
      <c r="B549">
        <v>116526</v>
      </c>
      <c r="C549" t="s">
        <v>215</v>
      </c>
      <c r="D549" t="s">
        <v>32</v>
      </c>
      <c r="E549" t="s">
        <v>33</v>
      </c>
      <c r="F549" t="s">
        <v>40</v>
      </c>
      <c r="G549" t="s">
        <v>22</v>
      </c>
      <c r="H549" t="s">
        <v>1975</v>
      </c>
      <c r="I549" t="s">
        <v>1976</v>
      </c>
      <c r="J549">
        <v>2</v>
      </c>
      <c r="K549" t="s">
        <v>25</v>
      </c>
      <c r="L549" t="s">
        <v>199</v>
      </c>
      <c r="M549" t="s">
        <v>89</v>
      </c>
      <c r="N549" t="s">
        <v>45</v>
      </c>
      <c r="O549" t="s">
        <v>290</v>
      </c>
      <c r="P549" t="s">
        <v>29</v>
      </c>
      <c r="Q549" t="s">
        <v>30</v>
      </c>
    </row>
    <row r="550" spans="1:17" x14ac:dyDescent="0.25">
      <c r="A550" t="s">
        <v>1977</v>
      </c>
      <c r="B550">
        <v>127544</v>
      </c>
      <c r="C550" t="s">
        <v>884</v>
      </c>
      <c r="D550" t="s">
        <v>19</v>
      </c>
      <c r="E550" t="s">
        <v>33</v>
      </c>
      <c r="F550" t="s">
        <v>484</v>
      </c>
      <c r="G550" t="s">
        <v>22</v>
      </c>
      <c r="H550" t="s">
        <v>1978</v>
      </c>
      <c r="I550" t="s">
        <v>1979</v>
      </c>
      <c r="J550">
        <v>2</v>
      </c>
      <c r="K550" t="s">
        <v>25</v>
      </c>
      <c r="L550" t="s">
        <v>604</v>
      </c>
      <c r="M550" t="s">
        <v>544</v>
      </c>
      <c r="N550" t="s">
        <v>45</v>
      </c>
      <c r="O550" t="s">
        <v>145</v>
      </c>
      <c r="P550" t="s">
        <v>29</v>
      </c>
      <c r="Q550" t="s">
        <v>30</v>
      </c>
    </row>
    <row r="551" spans="1:17" x14ac:dyDescent="0.25">
      <c r="A551" t="s">
        <v>1980</v>
      </c>
      <c r="B551">
        <v>127554</v>
      </c>
      <c r="C551" t="s">
        <v>108</v>
      </c>
      <c r="D551" t="s">
        <v>32</v>
      </c>
      <c r="E551" t="s">
        <v>1981</v>
      </c>
      <c r="F551" t="s">
        <v>763</v>
      </c>
      <c r="G551" t="s">
        <v>22</v>
      </c>
      <c r="H551" t="s">
        <v>1982</v>
      </c>
      <c r="I551" t="s">
        <v>1983</v>
      </c>
      <c r="J551">
        <v>2</v>
      </c>
      <c r="K551" t="s">
        <v>211</v>
      </c>
      <c r="L551" t="s">
        <v>37</v>
      </c>
      <c r="M551" t="s">
        <v>1265</v>
      </c>
      <c r="N551" t="s">
        <v>45</v>
      </c>
      <c r="O551" t="s">
        <v>1189</v>
      </c>
      <c r="P551" t="s">
        <v>29</v>
      </c>
      <c r="Q551" t="s">
        <v>1984</v>
      </c>
    </row>
    <row r="552" spans="1:17" x14ac:dyDescent="0.25">
      <c r="A552" t="s">
        <v>1985</v>
      </c>
      <c r="B552">
        <v>127563</v>
      </c>
      <c r="C552" t="s">
        <v>68</v>
      </c>
      <c r="D552" t="s">
        <v>32</v>
      </c>
      <c r="E552" t="s">
        <v>20</v>
      </c>
      <c r="F552" t="s">
        <v>40</v>
      </c>
      <c r="G552" t="s">
        <v>22</v>
      </c>
      <c r="H552" t="s">
        <v>1986</v>
      </c>
      <c r="I552" t="s">
        <v>1987</v>
      </c>
      <c r="J552">
        <v>2</v>
      </c>
      <c r="K552" t="s">
        <v>25</v>
      </c>
      <c r="L552" t="s">
        <v>620</v>
      </c>
      <c r="M552" t="s">
        <v>1047</v>
      </c>
      <c r="N552" t="s">
        <v>45</v>
      </c>
      <c r="O552" t="s">
        <v>290</v>
      </c>
      <c r="P552" t="s">
        <v>29</v>
      </c>
      <c r="Q552" t="s">
        <v>30</v>
      </c>
    </row>
    <row r="553" spans="1:17" x14ac:dyDescent="0.25">
      <c r="A553" t="s">
        <v>1988</v>
      </c>
      <c r="B553">
        <v>127452</v>
      </c>
      <c r="C553" t="s">
        <v>622</v>
      </c>
      <c r="D553" t="s">
        <v>32</v>
      </c>
      <c r="E553" t="s">
        <v>130</v>
      </c>
      <c r="F553" t="s">
        <v>21</v>
      </c>
      <c r="G553" t="s">
        <v>22</v>
      </c>
      <c r="H553" t="s">
        <v>1989</v>
      </c>
      <c r="I553" t="s">
        <v>1990</v>
      </c>
      <c r="J553">
        <v>2</v>
      </c>
      <c r="K553" t="s">
        <v>25</v>
      </c>
      <c r="L553" t="s">
        <v>356</v>
      </c>
      <c r="M553" t="s">
        <v>368</v>
      </c>
      <c r="N553" t="s">
        <v>45</v>
      </c>
      <c r="O553" t="s">
        <v>356</v>
      </c>
      <c r="P553" t="s">
        <v>29</v>
      </c>
      <c r="Q553" t="s">
        <v>30</v>
      </c>
    </row>
    <row r="554" spans="1:17" x14ac:dyDescent="0.25">
      <c r="A554" t="s">
        <v>1991</v>
      </c>
      <c r="B554">
        <v>126187</v>
      </c>
      <c r="C554" t="s">
        <v>1992</v>
      </c>
      <c r="D554" t="s">
        <v>19</v>
      </c>
      <c r="E554" t="s">
        <v>33</v>
      </c>
      <c r="F554" t="s">
        <v>685</v>
      </c>
      <c r="G554" t="s">
        <v>22</v>
      </c>
      <c r="H554" t="s">
        <v>1993</v>
      </c>
      <c r="I554" t="s">
        <v>1994</v>
      </c>
      <c r="J554">
        <v>2</v>
      </c>
      <c r="K554" t="s">
        <v>25</v>
      </c>
      <c r="L554" t="s">
        <v>667</v>
      </c>
      <c r="M554" t="s">
        <v>766</v>
      </c>
      <c r="N554" t="s">
        <v>45</v>
      </c>
      <c r="O554" t="s">
        <v>77</v>
      </c>
      <c r="P554" t="s">
        <v>29</v>
      </c>
      <c r="Q554" t="s">
        <v>30</v>
      </c>
    </row>
    <row r="555" spans="1:17" x14ac:dyDescent="0.25">
      <c r="A555" t="s">
        <v>1995</v>
      </c>
      <c r="B555">
        <v>127626</v>
      </c>
      <c r="C555" t="s">
        <v>441</v>
      </c>
      <c r="D555" t="s">
        <v>32</v>
      </c>
      <c r="E555" t="s">
        <v>33</v>
      </c>
      <c r="F555" t="s">
        <v>700</v>
      </c>
      <c r="G555" t="s">
        <v>22</v>
      </c>
      <c r="H555" t="s">
        <v>1996</v>
      </c>
      <c r="I555" t="s">
        <v>1997</v>
      </c>
      <c r="J555">
        <v>2</v>
      </c>
      <c r="K555" t="s">
        <v>25</v>
      </c>
      <c r="L555" t="s">
        <v>761</v>
      </c>
      <c r="M555" t="s">
        <v>807</v>
      </c>
      <c r="N555" t="s">
        <v>45</v>
      </c>
      <c r="O555" t="s">
        <v>591</v>
      </c>
      <c r="P555" t="s">
        <v>29</v>
      </c>
      <c r="Q555" t="s">
        <v>30</v>
      </c>
    </row>
    <row r="556" spans="1:17" x14ac:dyDescent="0.25">
      <c r="A556" t="s">
        <v>1998</v>
      </c>
      <c r="B556">
        <v>127706</v>
      </c>
      <c r="C556" t="s">
        <v>74</v>
      </c>
      <c r="D556" t="s">
        <v>32</v>
      </c>
      <c r="E556" t="s">
        <v>33</v>
      </c>
      <c r="F556" t="s">
        <v>123</v>
      </c>
      <c r="G556" t="s">
        <v>22</v>
      </c>
      <c r="H556" t="s">
        <v>1999</v>
      </c>
      <c r="I556" t="s">
        <v>2000</v>
      </c>
      <c r="J556">
        <v>2</v>
      </c>
      <c r="K556" t="s">
        <v>25</v>
      </c>
      <c r="L556" t="s">
        <v>604</v>
      </c>
      <c r="M556" t="s">
        <v>89</v>
      </c>
      <c r="N556" t="s">
        <v>45</v>
      </c>
      <c r="O556" t="s">
        <v>290</v>
      </c>
      <c r="P556" t="s">
        <v>29</v>
      </c>
      <c r="Q556" t="s">
        <v>30</v>
      </c>
    </row>
    <row r="557" spans="1:17" x14ac:dyDescent="0.25">
      <c r="A557" t="s">
        <v>2001</v>
      </c>
      <c r="B557">
        <v>127794</v>
      </c>
      <c r="C557" t="s">
        <v>630</v>
      </c>
      <c r="D557" t="s">
        <v>19</v>
      </c>
      <c r="E557" t="s">
        <v>62</v>
      </c>
      <c r="F557" t="s">
        <v>484</v>
      </c>
      <c r="G557" t="s">
        <v>22</v>
      </c>
      <c r="H557" t="s">
        <v>2002</v>
      </c>
      <c r="I557" t="s">
        <v>2003</v>
      </c>
      <c r="J557">
        <v>2</v>
      </c>
      <c r="K557" t="s">
        <v>112</v>
      </c>
      <c r="L557" t="s">
        <v>213</v>
      </c>
      <c r="M557" t="s">
        <v>967</v>
      </c>
      <c r="N557" t="s">
        <v>28</v>
      </c>
      <c r="O557" t="s">
        <v>145</v>
      </c>
      <c r="P557" t="s">
        <v>29</v>
      </c>
      <c r="Q557" t="s">
        <v>30</v>
      </c>
    </row>
    <row r="558" spans="1:17" x14ac:dyDescent="0.25">
      <c r="A558" t="s">
        <v>2004</v>
      </c>
      <c r="B558">
        <v>127809</v>
      </c>
      <c r="C558" t="s">
        <v>622</v>
      </c>
      <c r="D558" t="s">
        <v>32</v>
      </c>
      <c r="E558" t="s">
        <v>260</v>
      </c>
      <c r="F558" t="s">
        <v>21</v>
      </c>
      <c r="G558" t="s">
        <v>22</v>
      </c>
      <c r="H558" t="s">
        <v>2005</v>
      </c>
      <c r="I558" t="s">
        <v>2006</v>
      </c>
      <c r="J558">
        <v>2</v>
      </c>
      <c r="K558" t="s">
        <v>25</v>
      </c>
      <c r="L558" t="s">
        <v>661</v>
      </c>
      <c r="M558" t="s">
        <v>225</v>
      </c>
      <c r="N558" t="s">
        <v>28</v>
      </c>
      <c r="O558" t="s">
        <v>356</v>
      </c>
      <c r="P558" t="s">
        <v>29</v>
      </c>
      <c r="Q558" t="s">
        <v>30</v>
      </c>
    </row>
    <row r="559" spans="1:17" x14ac:dyDescent="0.25">
      <c r="A559" t="s">
        <v>2007</v>
      </c>
      <c r="B559">
        <v>97215</v>
      </c>
      <c r="C559" t="s">
        <v>718</v>
      </c>
      <c r="D559" t="s">
        <v>32</v>
      </c>
      <c r="E559" t="s">
        <v>130</v>
      </c>
      <c r="F559" t="s">
        <v>700</v>
      </c>
      <c r="G559" t="s">
        <v>22</v>
      </c>
      <c r="H559" t="s">
        <v>2008</v>
      </c>
      <c r="I559" t="s">
        <v>2009</v>
      </c>
      <c r="J559">
        <v>2</v>
      </c>
      <c r="K559" t="s">
        <v>25</v>
      </c>
      <c r="L559" t="s">
        <v>761</v>
      </c>
      <c r="M559" t="s">
        <v>1528</v>
      </c>
      <c r="N559" t="s">
        <v>28</v>
      </c>
      <c r="O559" t="s">
        <v>591</v>
      </c>
      <c r="P559" t="s">
        <v>29</v>
      </c>
      <c r="Q559" t="s">
        <v>30</v>
      </c>
    </row>
    <row r="560" spans="1:17" x14ac:dyDescent="0.25">
      <c r="A560" t="s">
        <v>2010</v>
      </c>
      <c r="B560">
        <v>127808</v>
      </c>
      <c r="C560" t="s">
        <v>361</v>
      </c>
      <c r="D560" t="s">
        <v>32</v>
      </c>
      <c r="E560" t="s">
        <v>20</v>
      </c>
      <c r="F560" t="s">
        <v>40</v>
      </c>
      <c r="G560" t="s">
        <v>22</v>
      </c>
      <c r="H560" t="s">
        <v>2011</v>
      </c>
      <c r="I560" t="s">
        <v>2012</v>
      </c>
      <c r="J560">
        <v>2</v>
      </c>
      <c r="K560" t="s">
        <v>25</v>
      </c>
      <c r="L560" t="s">
        <v>444</v>
      </c>
      <c r="M560" t="s">
        <v>1128</v>
      </c>
      <c r="N560" t="s">
        <v>28</v>
      </c>
      <c r="O560" t="s">
        <v>290</v>
      </c>
      <c r="P560" t="s">
        <v>29</v>
      </c>
      <c r="Q560" t="s">
        <v>30</v>
      </c>
    </row>
    <row r="561" spans="1:17" x14ac:dyDescent="0.25">
      <c r="A561" t="s">
        <v>2013</v>
      </c>
      <c r="B561">
        <v>127815</v>
      </c>
      <c r="C561" t="s">
        <v>296</v>
      </c>
      <c r="D561" t="s">
        <v>32</v>
      </c>
      <c r="E561" t="s">
        <v>62</v>
      </c>
      <c r="F561" t="s">
        <v>40</v>
      </c>
      <c r="G561" t="s">
        <v>22</v>
      </c>
      <c r="H561" t="s">
        <v>2014</v>
      </c>
      <c r="I561" t="s">
        <v>2015</v>
      </c>
      <c r="J561">
        <v>2</v>
      </c>
      <c r="K561" t="s">
        <v>25</v>
      </c>
      <c r="L561" t="s">
        <v>620</v>
      </c>
      <c r="M561" t="s">
        <v>71</v>
      </c>
      <c r="N561" t="s">
        <v>28</v>
      </c>
      <c r="O561" t="s">
        <v>444</v>
      </c>
      <c r="P561" t="s">
        <v>29</v>
      </c>
      <c r="Q561" t="s">
        <v>30</v>
      </c>
    </row>
    <row r="562" spans="1:17" x14ac:dyDescent="0.25">
      <c r="A562" t="s">
        <v>2016</v>
      </c>
      <c r="B562">
        <v>80430</v>
      </c>
      <c r="C562" t="s">
        <v>315</v>
      </c>
      <c r="D562" t="s">
        <v>32</v>
      </c>
      <c r="E562" t="s">
        <v>33</v>
      </c>
      <c r="F562" t="s">
        <v>40</v>
      </c>
      <c r="G562" t="s">
        <v>22</v>
      </c>
      <c r="H562" t="s">
        <v>2017</v>
      </c>
      <c r="I562" t="s">
        <v>2018</v>
      </c>
      <c r="J562">
        <v>2</v>
      </c>
      <c r="K562" t="s">
        <v>25</v>
      </c>
      <c r="L562" t="s">
        <v>444</v>
      </c>
      <c r="M562" t="s">
        <v>71</v>
      </c>
      <c r="N562" t="s">
        <v>28</v>
      </c>
      <c r="O562" t="s">
        <v>290</v>
      </c>
      <c r="P562" t="s">
        <v>29</v>
      </c>
      <c r="Q562" t="s">
        <v>30</v>
      </c>
    </row>
    <row r="563" spans="1:17" x14ac:dyDescent="0.25">
      <c r="A563" t="s">
        <v>2019</v>
      </c>
      <c r="B563">
        <v>127863</v>
      </c>
      <c r="C563" t="s">
        <v>622</v>
      </c>
      <c r="D563" t="s">
        <v>32</v>
      </c>
      <c r="E563" t="s">
        <v>33</v>
      </c>
      <c r="F563" t="s">
        <v>21</v>
      </c>
      <c r="G563" t="s">
        <v>22</v>
      </c>
      <c r="H563" t="s">
        <v>2020</v>
      </c>
      <c r="I563" t="s">
        <v>2021</v>
      </c>
      <c r="J563">
        <v>2</v>
      </c>
      <c r="K563" t="s">
        <v>25</v>
      </c>
      <c r="L563" t="s">
        <v>356</v>
      </c>
      <c r="M563" t="s">
        <v>346</v>
      </c>
      <c r="N563" t="s">
        <v>28</v>
      </c>
      <c r="O563" t="s">
        <v>356</v>
      </c>
      <c r="P563" t="s">
        <v>29</v>
      </c>
      <c r="Q563" t="s">
        <v>30</v>
      </c>
    </row>
    <row r="564" spans="1:17" x14ac:dyDescent="0.25">
      <c r="A564" t="s">
        <v>2022</v>
      </c>
      <c r="B564">
        <v>127919</v>
      </c>
      <c r="C564" t="s">
        <v>884</v>
      </c>
      <c r="D564" t="s">
        <v>32</v>
      </c>
      <c r="E564" t="s">
        <v>62</v>
      </c>
      <c r="F564" t="s">
        <v>700</v>
      </c>
      <c r="G564" t="s">
        <v>22</v>
      </c>
      <c r="H564" t="s">
        <v>2023</v>
      </c>
      <c r="I564" t="s">
        <v>2024</v>
      </c>
      <c r="J564">
        <v>2</v>
      </c>
      <c r="K564" t="s">
        <v>25</v>
      </c>
      <c r="L564" t="s">
        <v>213</v>
      </c>
      <c r="M564" t="s">
        <v>1132</v>
      </c>
      <c r="N564" t="s">
        <v>493</v>
      </c>
      <c r="O564" t="s">
        <v>591</v>
      </c>
      <c r="P564" t="s">
        <v>29</v>
      </c>
      <c r="Q564" t="s">
        <v>30</v>
      </c>
    </row>
    <row r="565" spans="1:17" x14ac:dyDescent="0.25">
      <c r="A565" t="s">
        <v>2025</v>
      </c>
      <c r="B565">
        <v>35771</v>
      </c>
      <c r="C565" t="s">
        <v>175</v>
      </c>
      <c r="D565" t="s">
        <v>19</v>
      </c>
      <c r="E565" t="s">
        <v>62</v>
      </c>
      <c r="F565" t="s">
        <v>393</v>
      </c>
      <c r="G565" t="s">
        <v>701</v>
      </c>
      <c r="H565" t="s">
        <v>2026</v>
      </c>
      <c r="I565" t="s">
        <v>2027</v>
      </c>
      <c r="J565">
        <v>2</v>
      </c>
      <c r="K565" t="s">
        <v>25</v>
      </c>
      <c r="L565" t="s">
        <v>157</v>
      </c>
      <c r="M565" t="s">
        <v>962</v>
      </c>
      <c r="N565" t="s">
        <v>493</v>
      </c>
      <c r="O565" t="s">
        <v>323</v>
      </c>
      <c r="P565" t="s">
        <v>29</v>
      </c>
      <c r="Q565" t="s">
        <v>30</v>
      </c>
    </row>
    <row r="566" spans="1:17" x14ac:dyDescent="0.25">
      <c r="A566" t="s">
        <v>2028</v>
      </c>
      <c r="B566">
        <v>127943</v>
      </c>
      <c r="C566" t="s">
        <v>296</v>
      </c>
      <c r="D566" t="s">
        <v>32</v>
      </c>
      <c r="E566" t="s">
        <v>20</v>
      </c>
      <c r="F566" t="s">
        <v>123</v>
      </c>
      <c r="G566" t="s">
        <v>22</v>
      </c>
      <c r="H566" t="s">
        <v>2029</v>
      </c>
      <c r="I566" t="s">
        <v>2030</v>
      </c>
      <c r="J566">
        <v>2</v>
      </c>
      <c r="K566" t="s">
        <v>25</v>
      </c>
      <c r="L566" t="s">
        <v>37</v>
      </c>
      <c r="M566" t="s">
        <v>127</v>
      </c>
      <c r="N566" t="s">
        <v>493</v>
      </c>
      <c r="O566" t="s">
        <v>444</v>
      </c>
      <c r="P566" t="s">
        <v>29</v>
      </c>
      <c r="Q566" t="s">
        <v>30</v>
      </c>
    </row>
    <row r="567" spans="1:17" x14ac:dyDescent="0.25">
      <c r="A567" t="s">
        <v>2031</v>
      </c>
      <c r="B567">
        <v>128006</v>
      </c>
      <c r="C567" t="s">
        <v>285</v>
      </c>
      <c r="D567" t="s">
        <v>32</v>
      </c>
      <c r="E567" t="s">
        <v>20</v>
      </c>
      <c r="F567" t="s">
        <v>123</v>
      </c>
      <c r="G567" t="s">
        <v>22</v>
      </c>
      <c r="H567" t="s">
        <v>2032</v>
      </c>
      <c r="I567" t="s">
        <v>2033</v>
      </c>
      <c r="J567">
        <v>2</v>
      </c>
      <c r="K567" t="s">
        <v>25</v>
      </c>
      <c r="L567" t="s">
        <v>126</v>
      </c>
      <c r="M567" t="s">
        <v>504</v>
      </c>
      <c r="N567" t="s">
        <v>45</v>
      </c>
      <c r="O567" t="s">
        <v>77</v>
      </c>
      <c r="P567" t="s">
        <v>29</v>
      </c>
      <c r="Q567" t="s">
        <v>30</v>
      </c>
    </row>
    <row r="568" spans="1:17" x14ac:dyDescent="0.25">
      <c r="A568" t="s">
        <v>2034</v>
      </c>
      <c r="B568">
        <v>112569</v>
      </c>
      <c r="C568" t="s">
        <v>68</v>
      </c>
      <c r="D568" t="s">
        <v>32</v>
      </c>
      <c r="E568" t="s">
        <v>33</v>
      </c>
      <c r="F568" t="s">
        <v>123</v>
      </c>
      <c r="G568" t="s">
        <v>394</v>
      </c>
      <c r="H568" t="s">
        <v>2035</v>
      </c>
      <c r="I568" t="s">
        <v>2036</v>
      </c>
      <c r="J568">
        <v>2</v>
      </c>
      <c r="K568" t="s">
        <v>25</v>
      </c>
      <c r="L568" t="s">
        <v>604</v>
      </c>
      <c r="M568" t="s">
        <v>504</v>
      </c>
      <c r="N568" t="s">
        <v>45</v>
      </c>
      <c r="O568" t="s">
        <v>243</v>
      </c>
      <c r="P568" t="s">
        <v>29</v>
      </c>
      <c r="Q568" t="s">
        <v>30</v>
      </c>
    </row>
    <row r="569" spans="1:17" x14ac:dyDescent="0.25">
      <c r="A569" t="s">
        <v>2037</v>
      </c>
      <c r="B569">
        <v>128011</v>
      </c>
      <c r="C569" t="s">
        <v>622</v>
      </c>
      <c r="D569" t="s">
        <v>19</v>
      </c>
      <c r="E569" t="s">
        <v>33</v>
      </c>
      <c r="F569" t="s">
        <v>21</v>
      </c>
      <c r="G569" t="s">
        <v>22</v>
      </c>
      <c r="H569" t="s">
        <v>2038</v>
      </c>
      <c r="I569" t="s">
        <v>2039</v>
      </c>
      <c r="J569">
        <v>2</v>
      </c>
      <c r="K569" t="s">
        <v>25</v>
      </c>
      <c r="L569" t="s">
        <v>661</v>
      </c>
      <c r="M569" t="s">
        <v>346</v>
      </c>
      <c r="N569" t="s">
        <v>45</v>
      </c>
      <c r="O569" t="s">
        <v>323</v>
      </c>
      <c r="P569" t="s">
        <v>29</v>
      </c>
      <c r="Q569" t="s">
        <v>30</v>
      </c>
    </row>
    <row r="570" spans="1:17" x14ac:dyDescent="0.25">
      <c r="A570" t="s">
        <v>2040</v>
      </c>
      <c r="B570">
        <v>128015</v>
      </c>
      <c r="C570" t="s">
        <v>804</v>
      </c>
      <c r="D570" t="s">
        <v>32</v>
      </c>
      <c r="E570" t="s">
        <v>33</v>
      </c>
      <c r="F570" t="s">
        <v>700</v>
      </c>
      <c r="G570" t="s">
        <v>22</v>
      </c>
      <c r="H570" t="s">
        <v>2041</v>
      </c>
      <c r="I570" t="s">
        <v>2042</v>
      </c>
      <c r="J570">
        <v>2</v>
      </c>
      <c r="K570" t="s">
        <v>211</v>
      </c>
      <c r="L570" t="s">
        <v>213</v>
      </c>
      <c r="M570" t="s">
        <v>807</v>
      </c>
      <c r="N570" t="s">
        <v>45</v>
      </c>
      <c r="O570" t="s">
        <v>591</v>
      </c>
      <c r="P570" t="s">
        <v>29</v>
      </c>
      <c r="Q570" t="s">
        <v>30</v>
      </c>
    </row>
    <row r="571" spans="1:17" x14ac:dyDescent="0.25">
      <c r="A571" t="s">
        <v>2043</v>
      </c>
      <c r="B571">
        <v>127996</v>
      </c>
      <c r="C571" t="s">
        <v>884</v>
      </c>
      <c r="D571" t="s">
        <v>19</v>
      </c>
      <c r="E571" t="s">
        <v>260</v>
      </c>
      <c r="F571" t="s">
        <v>428</v>
      </c>
      <c r="G571" t="s">
        <v>22</v>
      </c>
      <c r="H571" t="s">
        <v>2044</v>
      </c>
      <c r="I571" t="s">
        <v>2045</v>
      </c>
      <c r="J571">
        <v>2</v>
      </c>
      <c r="K571" t="s">
        <v>25</v>
      </c>
      <c r="L571" t="s">
        <v>77</v>
      </c>
      <c r="M571" t="s">
        <v>439</v>
      </c>
      <c r="N571" t="s">
        <v>45</v>
      </c>
      <c r="O571" t="s">
        <v>77</v>
      </c>
      <c r="P571" t="s">
        <v>29</v>
      </c>
      <c r="Q571" t="s">
        <v>30</v>
      </c>
    </row>
    <row r="572" spans="1:17" x14ac:dyDescent="0.25">
      <c r="A572" t="s">
        <v>2046</v>
      </c>
      <c r="B572">
        <v>128021</v>
      </c>
      <c r="C572" t="s">
        <v>142</v>
      </c>
      <c r="D572" t="s">
        <v>19</v>
      </c>
      <c r="E572" t="s">
        <v>62</v>
      </c>
      <c r="F572" t="s">
        <v>428</v>
      </c>
      <c r="G572" t="s">
        <v>22</v>
      </c>
      <c r="H572" t="s">
        <v>2047</v>
      </c>
      <c r="I572" t="s">
        <v>2048</v>
      </c>
      <c r="J572">
        <v>2</v>
      </c>
      <c r="K572" t="s">
        <v>25</v>
      </c>
      <c r="L572" t="s">
        <v>213</v>
      </c>
      <c r="M572" t="s">
        <v>586</v>
      </c>
      <c r="N572" t="s">
        <v>45</v>
      </c>
      <c r="O572" t="s">
        <v>77</v>
      </c>
      <c r="P572" t="s">
        <v>29</v>
      </c>
      <c r="Q572" t="s">
        <v>30</v>
      </c>
    </row>
    <row r="573" spans="1:17" x14ac:dyDescent="0.25">
      <c r="A573" t="s">
        <v>2049</v>
      </c>
      <c r="B573">
        <v>15361</v>
      </c>
      <c r="C573" t="s">
        <v>614</v>
      </c>
      <c r="D573" t="s">
        <v>32</v>
      </c>
      <c r="E573" t="s">
        <v>33</v>
      </c>
      <c r="F573" t="s">
        <v>123</v>
      </c>
      <c r="G573" t="s">
        <v>394</v>
      </c>
      <c r="H573" t="s">
        <v>2050</v>
      </c>
      <c r="I573" t="s">
        <v>2051</v>
      </c>
      <c r="J573">
        <v>2</v>
      </c>
      <c r="K573" t="s">
        <v>25</v>
      </c>
      <c r="L573" t="s">
        <v>575</v>
      </c>
      <c r="M573" t="s">
        <v>1103</v>
      </c>
      <c r="N573" t="s">
        <v>45</v>
      </c>
      <c r="O573" t="s">
        <v>444</v>
      </c>
      <c r="P573" t="s">
        <v>29</v>
      </c>
      <c r="Q573" t="s">
        <v>30</v>
      </c>
    </row>
    <row r="574" spans="1:17" x14ac:dyDescent="0.25">
      <c r="A574" t="s">
        <v>2052</v>
      </c>
      <c r="B574">
        <v>112336</v>
      </c>
      <c r="C574" t="s">
        <v>1061</v>
      </c>
      <c r="D574" t="s">
        <v>32</v>
      </c>
      <c r="E574" t="s">
        <v>33</v>
      </c>
      <c r="F574" t="s">
        <v>685</v>
      </c>
      <c r="G574" t="s">
        <v>394</v>
      </c>
      <c r="H574" t="s">
        <v>2053</v>
      </c>
      <c r="I574" t="s">
        <v>2054</v>
      </c>
      <c r="J574">
        <v>2</v>
      </c>
      <c r="K574" t="s">
        <v>25</v>
      </c>
      <c r="L574" t="s">
        <v>761</v>
      </c>
      <c r="M574" t="s">
        <v>688</v>
      </c>
      <c r="N574" t="s">
        <v>493</v>
      </c>
      <c r="O574" t="s">
        <v>1559</v>
      </c>
      <c r="P574" t="s">
        <v>29</v>
      </c>
      <c r="Q574" t="s">
        <v>30</v>
      </c>
    </row>
    <row r="575" spans="1:17" x14ac:dyDescent="0.25">
      <c r="A575" t="s">
        <v>2055</v>
      </c>
      <c r="B575">
        <v>13799</v>
      </c>
      <c r="C575" t="s">
        <v>2056</v>
      </c>
      <c r="D575" t="s">
        <v>32</v>
      </c>
      <c r="E575" t="s">
        <v>754</v>
      </c>
      <c r="F575" t="s">
        <v>393</v>
      </c>
      <c r="G575" t="s">
        <v>394</v>
      </c>
      <c r="H575" t="s">
        <v>2057</v>
      </c>
      <c r="I575" t="s">
        <v>2058</v>
      </c>
      <c r="J575">
        <v>2</v>
      </c>
      <c r="K575" t="s">
        <v>25</v>
      </c>
      <c r="L575" t="s">
        <v>761</v>
      </c>
      <c r="M575" t="s">
        <v>688</v>
      </c>
      <c r="N575" t="s">
        <v>493</v>
      </c>
      <c r="O575" t="s">
        <v>1559</v>
      </c>
      <c r="P575" t="s">
        <v>29</v>
      </c>
      <c r="Q575" t="s">
        <v>30</v>
      </c>
    </row>
    <row r="576" spans="1:17" x14ac:dyDescent="0.25">
      <c r="A576" t="s">
        <v>2059</v>
      </c>
      <c r="B576">
        <v>128060</v>
      </c>
      <c r="C576" t="s">
        <v>151</v>
      </c>
      <c r="D576" t="s">
        <v>32</v>
      </c>
      <c r="E576" t="s">
        <v>33</v>
      </c>
      <c r="F576" t="s">
        <v>40</v>
      </c>
      <c r="G576" t="s">
        <v>22</v>
      </c>
      <c r="H576" t="s">
        <v>2060</v>
      </c>
      <c r="I576" t="s">
        <v>2061</v>
      </c>
      <c r="J576">
        <v>2</v>
      </c>
      <c r="K576" t="s">
        <v>25</v>
      </c>
      <c r="L576" t="s">
        <v>290</v>
      </c>
      <c r="M576" t="s">
        <v>89</v>
      </c>
      <c r="N576" t="s">
        <v>493</v>
      </c>
      <c r="O576" t="s">
        <v>620</v>
      </c>
      <c r="P576" t="s">
        <v>29</v>
      </c>
      <c r="Q576" t="s">
        <v>30</v>
      </c>
    </row>
    <row r="577" spans="1:17" x14ac:dyDescent="0.25">
      <c r="A577" t="s">
        <v>2062</v>
      </c>
      <c r="B577">
        <v>128067</v>
      </c>
      <c r="C577" t="s">
        <v>541</v>
      </c>
      <c r="D577" t="s">
        <v>32</v>
      </c>
      <c r="E577" t="s">
        <v>33</v>
      </c>
      <c r="F577" t="s">
        <v>40</v>
      </c>
      <c r="G577" t="s">
        <v>22</v>
      </c>
      <c r="H577" t="s">
        <v>2063</v>
      </c>
      <c r="I577" t="s">
        <v>2064</v>
      </c>
      <c r="J577">
        <v>2</v>
      </c>
      <c r="K577" t="s">
        <v>25</v>
      </c>
      <c r="L577" t="s">
        <v>105</v>
      </c>
      <c r="M577" t="s">
        <v>89</v>
      </c>
      <c r="N577" t="s">
        <v>975</v>
      </c>
      <c r="O577" t="s">
        <v>620</v>
      </c>
      <c r="P577" t="s">
        <v>29</v>
      </c>
      <c r="Q577" t="s">
        <v>30</v>
      </c>
    </row>
    <row r="578" spans="1:17" x14ac:dyDescent="0.25">
      <c r="A578" t="s">
        <v>2065</v>
      </c>
      <c r="B578">
        <v>51929</v>
      </c>
      <c r="C578" t="s">
        <v>353</v>
      </c>
      <c r="D578" t="s">
        <v>19</v>
      </c>
      <c r="E578" t="s">
        <v>227</v>
      </c>
      <c r="F578" t="s">
        <v>109</v>
      </c>
      <c r="G578" t="s">
        <v>394</v>
      </c>
      <c r="H578" t="s">
        <v>2066</v>
      </c>
      <c r="I578" t="s">
        <v>2067</v>
      </c>
      <c r="J578">
        <v>2</v>
      </c>
      <c r="K578" t="s">
        <v>25</v>
      </c>
      <c r="L578" t="s">
        <v>224</v>
      </c>
      <c r="M578" t="s">
        <v>708</v>
      </c>
      <c r="N578" t="s">
        <v>493</v>
      </c>
      <c r="O578" t="s">
        <v>77</v>
      </c>
      <c r="P578" t="s">
        <v>29</v>
      </c>
      <c r="Q578" t="s">
        <v>30</v>
      </c>
    </row>
    <row r="579" spans="1:17" x14ac:dyDescent="0.25">
      <c r="A579" t="s">
        <v>2068</v>
      </c>
      <c r="B579">
        <v>128104</v>
      </c>
      <c r="C579" t="s">
        <v>215</v>
      </c>
      <c r="D579" t="s">
        <v>32</v>
      </c>
      <c r="E579" t="s">
        <v>1774</v>
      </c>
      <c r="F579" t="s">
        <v>40</v>
      </c>
      <c r="G579" t="s">
        <v>22</v>
      </c>
      <c r="H579" t="s">
        <v>2069</v>
      </c>
      <c r="I579" t="s">
        <v>2070</v>
      </c>
      <c r="J579">
        <v>2</v>
      </c>
      <c r="K579" t="s">
        <v>25</v>
      </c>
      <c r="L579" t="s">
        <v>46</v>
      </c>
      <c r="M579" t="s">
        <v>89</v>
      </c>
      <c r="N579" t="s">
        <v>493</v>
      </c>
      <c r="O579" t="s">
        <v>620</v>
      </c>
      <c r="P579" t="s">
        <v>29</v>
      </c>
      <c r="Q579" t="s">
        <v>30</v>
      </c>
    </row>
    <row r="580" spans="1:17" x14ac:dyDescent="0.25">
      <c r="A580" t="s">
        <v>2071</v>
      </c>
      <c r="B580">
        <v>128069</v>
      </c>
      <c r="C580" t="s">
        <v>142</v>
      </c>
      <c r="D580" t="s">
        <v>19</v>
      </c>
      <c r="E580" t="s">
        <v>33</v>
      </c>
      <c r="F580" t="s">
        <v>428</v>
      </c>
      <c r="G580" t="s">
        <v>22</v>
      </c>
      <c r="H580" t="s">
        <v>2072</v>
      </c>
      <c r="I580" t="s">
        <v>2073</v>
      </c>
      <c r="J580">
        <v>2</v>
      </c>
      <c r="K580" t="s">
        <v>112</v>
      </c>
      <c r="L580" t="s">
        <v>612</v>
      </c>
      <c r="M580" t="s">
        <v>439</v>
      </c>
      <c r="N580" t="s">
        <v>493</v>
      </c>
      <c r="O580" t="s">
        <v>77</v>
      </c>
      <c r="P580" t="s">
        <v>29</v>
      </c>
      <c r="Q580" t="s">
        <v>30</v>
      </c>
    </row>
    <row r="581" spans="1:17" x14ac:dyDescent="0.25">
      <c r="A581" t="s">
        <v>2074</v>
      </c>
      <c r="B581">
        <v>128144</v>
      </c>
      <c r="C581" t="s">
        <v>215</v>
      </c>
      <c r="D581" t="s">
        <v>32</v>
      </c>
      <c r="E581" t="s">
        <v>62</v>
      </c>
      <c r="F581" t="s">
        <v>40</v>
      </c>
      <c r="G581" t="s">
        <v>22</v>
      </c>
      <c r="H581" t="s">
        <v>2075</v>
      </c>
      <c r="I581" t="s">
        <v>2076</v>
      </c>
      <c r="J581">
        <v>2</v>
      </c>
      <c r="K581" t="s">
        <v>211</v>
      </c>
      <c r="L581" t="s">
        <v>1112</v>
      </c>
      <c r="M581" t="s">
        <v>89</v>
      </c>
      <c r="N581" t="s">
        <v>493</v>
      </c>
      <c r="O581" t="s">
        <v>620</v>
      </c>
      <c r="P581" t="s">
        <v>29</v>
      </c>
      <c r="Q581" t="s">
        <v>30</v>
      </c>
    </row>
    <row r="582" spans="1:17" x14ac:dyDescent="0.25">
      <c r="A582" t="s">
        <v>2077</v>
      </c>
      <c r="B582">
        <v>128139</v>
      </c>
      <c r="C582" t="s">
        <v>1951</v>
      </c>
      <c r="D582" t="s">
        <v>19</v>
      </c>
      <c r="E582" t="s">
        <v>62</v>
      </c>
      <c r="F582" t="s">
        <v>484</v>
      </c>
      <c r="G582" t="s">
        <v>22</v>
      </c>
      <c r="H582" t="s">
        <v>2078</v>
      </c>
      <c r="I582" t="s">
        <v>2079</v>
      </c>
      <c r="J582">
        <v>2</v>
      </c>
      <c r="K582" t="s">
        <v>211</v>
      </c>
      <c r="L582" t="s">
        <v>548</v>
      </c>
      <c r="M582" t="s">
        <v>967</v>
      </c>
      <c r="N582" t="s">
        <v>493</v>
      </c>
      <c r="O582" t="s">
        <v>145</v>
      </c>
      <c r="P582" t="s">
        <v>29</v>
      </c>
      <c r="Q582" t="s">
        <v>30</v>
      </c>
    </row>
    <row r="583" spans="1:17" x14ac:dyDescent="0.25">
      <c r="A583" t="s">
        <v>2080</v>
      </c>
      <c r="B583">
        <v>128101</v>
      </c>
      <c r="C583" t="s">
        <v>622</v>
      </c>
      <c r="D583" t="s">
        <v>32</v>
      </c>
      <c r="E583" t="s">
        <v>33</v>
      </c>
      <c r="F583" t="s">
        <v>21</v>
      </c>
      <c r="G583" t="s">
        <v>22</v>
      </c>
      <c r="H583" t="s">
        <v>2081</v>
      </c>
      <c r="I583" t="s">
        <v>2082</v>
      </c>
      <c r="J583">
        <v>2</v>
      </c>
      <c r="K583" t="s">
        <v>25</v>
      </c>
      <c r="L583" t="s">
        <v>661</v>
      </c>
      <c r="M583" t="s">
        <v>225</v>
      </c>
      <c r="N583" t="s">
        <v>493</v>
      </c>
      <c r="O583" t="s">
        <v>323</v>
      </c>
      <c r="P583" t="s">
        <v>29</v>
      </c>
      <c r="Q583" t="s">
        <v>30</v>
      </c>
    </row>
    <row r="584" spans="1:17" x14ac:dyDescent="0.25">
      <c r="A584" t="s">
        <v>2083</v>
      </c>
      <c r="B584">
        <v>128167</v>
      </c>
      <c r="C584" t="s">
        <v>353</v>
      </c>
      <c r="D584" t="s">
        <v>19</v>
      </c>
      <c r="E584" t="s">
        <v>33</v>
      </c>
      <c r="F584" t="s">
        <v>109</v>
      </c>
      <c r="G584" t="s">
        <v>22</v>
      </c>
      <c r="H584" t="s">
        <v>2084</v>
      </c>
      <c r="I584" t="s">
        <v>2085</v>
      </c>
      <c r="J584">
        <v>2</v>
      </c>
      <c r="K584" t="s">
        <v>25</v>
      </c>
      <c r="L584" t="s">
        <v>126</v>
      </c>
      <c r="M584" t="s">
        <v>962</v>
      </c>
      <c r="N584" t="s">
        <v>493</v>
      </c>
      <c r="O584" t="s">
        <v>157</v>
      </c>
      <c r="P584" t="s">
        <v>29</v>
      </c>
      <c r="Q584" t="s">
        <v>30</v>
      </c>
    </row>
    <row r="585" spans="1:17" x14ac:dyDescent="0.25">
      <c r="A585" t="s">
        <v>2086</v>
      </c>
      <c r="B585">
        <v>128193</v>
      </c>
      <c r="C585" t="s">
        <v>54</v>
      </c>
      <c r="D585" t="s">
        <v>32</v>
      </c>
      <c r="E585" t="s">
        <v>33</v>
      </c>
      <c r="F585" t="s">
        <v>40</v>
      </c>
      <c r="G585" t="s">
        <v>22</v>
      </c>
      <c r="H585" t="s">
        <v>2087</v>
      </c>
      <c r="I585" t="s">
        <v>2088</v>
      </c>
      <c r="J585">
        <v>2</v>
      </c>
      <c r="K585" t="s">
        <v>25</v>
      </c>
      <c r="L585" t="s">
        <v>444</v>
      </c>
      <c r="M585" t="s">
        <v>1128</v>
      </c>
      <c r="N585" t="s">
        <v>493</v>
      </c>
      <c r="O585" t="s">
        <v>290</v>
      </c>
      <c r="P585" t="s">
        <v>29</v>
      </c>
      <c r="Q585" t="s">
        <v>30</v>
      </c>
    </row>
    <row r="586" spans="1:17" x14ac:dyDescent="0.25">
      <c r="A586" t="s">
        <v>2089</v>
      </c>
      <c r="B586">
        <v>127763</v>
      </c>
      <c r="C586" t="s">
        <v>450</v>
      </c>
      <c r="D586" t="s">
        <v>32</v>
      </c>
      <c r="E586" t="s">
        <v>33</v>
      </c>
      <c r="F586" t="s">
        <v>123</v>
      </c>
      <c r="G586" t="s">
        <v>22</v>
      </c>
      <c r="H586" t="s">
        <v>2090</v>
      </c>
      <c r="I586" t="s">
        <v>2091</v>
      </c>
      <c r="J586">
        <v>2</v>
      </c>
      <c r="K586" t="s">
        <v>25</v>
      </c>
      <c r="L586" t="s">
        <v>1337</v>
      </c>
      <c r="M586" t="s">
        <v>219</v>
      </c>
      <c r="N586" t="s">
        <v>45</v>
      </c>
      <c r="O586" t="s">
        <v>683</v>
      </c>
      <c r="P586" t="s">
        <v>29</v>
      </c>
      <c r="Q586" t="s">
        <v>30</v>
      </c>
    </row>
    <row r="587" spans="1:17" x14ac:dyDescent="0.25">
      <c r="A587" t="s">
        <v>2092</v>
      </c>
      <c r="B587">
        <v>128161</v>
      </c>
      <c r="C587" t="s">
        <v>530</v>
      </c>
      <c r="D587" t="s">
        <v>19</v>
      </c>
      <c r="E587" t="s">
        <v>20</v>
      </c>
      <c r="F587" t="s">
        <v>428</v>
      </c>
      <c r="G587" t="s">
        <v>22</v>
      </c>
      <c r="H587" t="s">
        <v>2093</v>
      </c>
      <c r="I587" t="s">
        <v>2094</v>
      </c>
      <c r="J587">
        <v>2</v>
      </c>
      <c r="K587" t="s">
        <v>25</v>
      </c>
      <c r="L587" t="s">
        <v>213</v>
      </c>
      <c r="M587" t="s">
        <v>971</v>
      </c>
      <c r="N587" t="s">
        <v>45</v>
      </c>
      <c r="O587" t="s">
        <v>591</v>
      </c>
      <c r="P587" t="s">
        <v>29</v>
      </c>
      <c r="Q587" t="s">
        <v>30</v>
      </c>
    </row>
    <row r="588" spans="1:17" x14ac:dyDescent="0.25">
      <c r="A588" t="s">
        <v>2095</v>
      </c>
      <c r="B588">
        <v>128313</v>
      </c>
      <c r="C588" t="s">
        <v>1061</v>
      </c>
      <c r="D588" t="s">
        <v>19</v>
      </c>
      <c r="E588" t="s">
        <v>260</v>
      </c>
      <c r="F588" t="s">
        <v>484</v>
      </c>
      <c r="G588" t="s">
        <v>22</v>
      </c>
      <c r="H588" t="s">
        <v>2096</v>
      </c>
      <c r="I588" t="s">
        <v>2097</v>
      </c>
      <c r="J588">
        <v>2</v>
      </c>
      <c r="K588" t="s">
        <v>25</v>
      </c>
      <c r="L588" t="s">
        <v>590</v>
      </c>
      <c r="M588" t="s">
        <v>544</v>
      </c>
      <c r="N588" t="s">
        <v>45</v>
      </c>
      <c r="O588" t="s">
        <v>145</v>
      </c>
      <c r="P588" t="s">
        <v>29</v>
      </c>
      <c r="Q588" t="s">
        <v>30</v>
      </c>
    </row>
    <row r="589" spans="1:17" x14ac:dyDescent="0.25">
      <c r="A589" t="s">
        <v>2098</v>
      </c>
      <c r="B589">
        <v>128317</v>
      </c>
      <c r="C589" t="s">
        <v>622</v>
      </c>
      <c r="D589" t="s">
        <v>19</v>
      </c>
      <c r="E589" t="s">
        <v>33</v>
      </c>
      <c r="F589" t="s">
        <v>21</v>
      </c>
      <c r="G589" t="s">
        <v>22</v>
      </c>
      <c r="H589" t="s">
        <v>2099</v>
      </c>
      <c r="I589" t="s">
        <v>2100</v>
      </c>
      <c r="J589">
        <v>2</v>
      </c>
      <c r="K589" t="s">
        <v>25</v>
      </c>
      <c r="L589" t="s">
        <v>661</v>
      </c>
      <c r="M589" t="s">
        <v>628</v>
      </c>
      <c r="N589" t="s">
        <v>45</v>
      </c>
      <c r="O589" t="s">
        <v>77</v>
      </c>
      <c r="P589" t="s">
        <v>29</v>
      </c>
      <c r="Q589" t="s">
        <v>30</v>
      </c>
    </row>
    <row r="590" spans="1:17" x14ac:dyDescent="0.25">
      <c r="A590" t="s">
        <v>2101</v>
      </c>
      <c r="B590">
        <v>128376</v>
      </c>
      <c r="C590" t="s">
        <v>622</v>
      </c>
      <c r="D590" t="s">
        <v>32</v>
      </c>
      <c r="E590" t="s">
        <v>33</v>
      </c>
      <c r="F590" t="s">
        <v>21</v>
      </c>
      <c r="G590" t="s">
        <v>22</v>
      </c>
      <c r="H590" t="s">
        <v>2102</v>
      </c>
      <c r="I590" t="s">
        <v>2103</v>
      </c>
      <c r="J590">
        <v>2</v>
      </c>
      <c r="K590" t="s">
        <v>25</v>
      </c>
      <c r="L590" t="s">
        <v>191</v>
      </c>
      <c r="M590" t="s">
        <v>225</v>
      </c>
      <c r="N590" t="s">
        <v>45</v>
      </c>
      <c r="O590" t="s">
        <v>77</v>
      </c>
      <c r="P590" t="s">
        <v>29</v>
      </c>
      <c r="Q590" t="s">
        <v>30</v>
      </c>
    </row>
    <row r="591" spans="1:17" x14ac:dyDescent="0.25">
      <c r="A591" t="s">
        <v>2104</v>
      </c>
      <c r="B591">
        <v>49921</v>
      </c>
      <c r="C591" t="s">
        <v>646</v>
      </c>
      <c r="D591" t="s">
        <v>19</v>
      </c>
      <c r="E591" t="s">
        <v>62</v>
      </c>
      <c r="F591" t="s">
        <v>109</v>
      </c>
      <c r="G591" t="s">
        <v>1062</v>
      </c>
      <c r="H591" t="s">
        <v>2105</v>
      </c>
      <c r="I591" t="s">
        <v>2106</v>
      </c>
      <c r="J591">
        <v>2</v>
      </c>
      <c r="K591" t="s">
        <v>25</v>
      </c>
      <c r="L591" t="s">
        <v>552</v>
      </c>
      <c r="M591" t="s">
        <v>372</v>
      </c>
      <c r="N591" t="s">
        <v>45</v>
      </c>
      <c r="O591" t="s">
        <v>77</v>
      </c>
      <c r="P591" t="s">
        <v>29</v>
      </c>
      <c r="Q591" t="s">
        <v>30</v>
      </c>
    </row>
    <row r="592" spans="1:17" x14ac:dyDescent="0.25">
      <c r="A592" t="s">
        <v>2107</v>
      </c>
      <c r="B592">
        <v>128472</v>
      </c>
      <c r="C592" t="s">
        <v>630</v>
      </c>
      <c r="D592" t="s">
        <v>32</v>
      </c>
      <c r="E592" t="s">
        <v>33</v>
      </c>
      <c r="F592" t="s">
        <v>40</v>
      </c>
      <c r="G592" t="s">
        <v>22</v>
      </c>
      <c r="H592" t="s">
        <v>2108</v>
      </c>
      <c r="I592" t="s">
        <v>2109</v>
      </c>
      <c r="J592">
        <v>2</v>
      </c>
      <c r="K592" t="s">
        <v>25</v>
      </c>
      <c r="L592" t="s">
        <v>1337</v>
      </c>
      <c r="M592" t="s">
        <v>89</v>
      </c>
      <c r="N592" t="s">
        <v>45</v>
      </c>
      <c r="O592" t="s">
        <v>199</v>
      </c>
      <c r="P592" t="s">
        <v>29</v>
      </c>
      <c r="Q592" t="s">
        <v>30</v>
      </c>
    </row>
    <row r="593" spans="1:17" x14ac:dyDescent="0.25">
      <c r="A593" t="s">
        <v>936</v>
      </c>
      <c r="B593">
        <v>32062</v>
      </c>
      <c r="C593" t="s">
        <v>215</v>
      </c>
      <c r="D593" t="s">
        <v>32</v>
      </c>
      <c r="E593" t="s">
        <v>227</v>
      </c>
      <c r="F593" t="s">
        <v>123</v>
      </c>
      <c r="G593" t="s">
        <v>22</v>
      </c>
      <c r="H593" t="s">
        <v>2110</v>
      </c>
      <c r="I593" t="s">
        <v>2111</v>
      </c>
      <c r="J593">
        <v>2</v>
      </c>
      <c r="K593" t="s">
        <v>25</v>
      </c>
      <c r="L593" t="s">
        <v>761</v>
      </c>
      <c r="M593" t="s">
        <v>929</v>
      </c>
      <c r="N593" t="s">
        <v>45</v>
      </c>
      <c r="O593" t="s">
        <v>548</v>
      </c>
      <c r="P593" t="s">
        <v>29</v>
      </c>
      <c r="Q593" t="s">
        <v>30</v>
      </c>
    </row>
    <row r="594" spans="1:17" x14ac:dyDescent="0.25">
      <c r="A594" t="s">
        <v>2112</v>
      </c>
      <c r="B594">
        <v>128506</v>
      </c>
      <c r="C594" t="s">
        <v>816</v>
      </c>
      <c r="D594" t="s">
        <v>19</v>
      </c>
      <c r="E594" t="s">
        <v>62</v>
      </c>
      <c r="F594" t="s">
        <v>484</v>
      </c>
      <c r="G594" t="s">
        <v>22</v>
      </c>
      <c r="H594" t="s">
        <v>2113</v>
      </c>
      <c r="I594" t="s">
        <v>2114</v>
      </c>
      <c r="J594">
        <v>2</v>
      </c>
      <c r="K594" t="s">
        <v>25</v>
      </c>
      <c r="L594" t="s">
        <v>288</v>
      </c>
      <c r="M594" t="s">
        <v>544</v>
      </c>
      <c r="N594" t="s">
        <v>45</v>
      </c>
      <c r="O594" t="s">
        <v>620</v>
      </c>
      <c r="P594" t="s">
        <v>29</v>
      </c>
      <c r="Q594" t="s">
        <v>30</v>
      </c>
    </row>
    <row r="595" spans="1:17" x14ac:dyDescent="0.25">
      <c r="A595" t="s">
        <v>2115</v>
      </c>
      <c r="B595">
        <v>128537</v>
      </c>
      <c r="C595" t="s">
        <v>374</v>
      </c>
      <c r="D595" t="s">
        <v>32</v>
      </c>
      <c r="E595" t="s">
        <v>20</v>
      </c>
      <c r="F595" t="s">
        <v>40</v>
      </c>
      <c r="G595" t="s">
        <v>22</v>
      </c>
      <c r="H595" t="s">
        <v>2116</v>
      </c>
      <c r="I595" t="s">
        <v>2117</v>
      </c>
      <c r="J595">
        <v>2</v>
      </c>
      <c r="K595" t="s">
        <v>25</v>
      </c>
      <c r="L595" t="s">
        <v>290</v>
      </c>
      <c r="M595" t="s">
        <v>89</v>
      </c>
      <c r="N595" t="s">
        <v>45</v>
      </c>
      <c r="O595" t="s">
        <v>199</v>
      </c>
      <c r="P595" t="s">
        <v>29</v>
      </c>
      <c r="Q595" t="s">
        <v>30</v>
      </c>
    </row>
    <row r="596" spans="1:17" x14ac:dyDescent="0.25">
      <c r="A596" t="s">
        <v>2065</v>
      </c>
      <c r="B596">
        <v>51929</v>
      </c>
      <c r="C596" t="s">
        <v>353</v>
      </c>
      <c r="D596" t="s">
        <v>19</v>
      </c>
      <c r="E596" t="s">
        <v>227</v>
      </c>
      <c r="F596" t="s">
        <v>109</v>
      </c>
      <c r="G596" t="s">
        <v>394</v>
      </c>
      <c r="H596" t="s">
        <v>2118</v>
      </c>
      <c r="I596" t="s">
        <v>2119</v>
      </c>
      <c r="J596">
        <v>2</v>
      </c>
      <c r="K596" t="s">
        <v>25</v>
      </c>
      <c r="L596" t="s">
        <v>2120</v>
      </c>
      <c r="M596" t="s">
        <v>708</v>
      </c>
      <c r="N596" t="s">
        <v>28</v>
      </c>
      <c r="O596" t="s">
        <v>591</v>
      </c>
      <c r="P596" t="s">
        <v>29</v>
      </c>
      <c r="Q596" t="s">
        <v>30</v>
      </c>
    </row>
    <row r="597" spans="1:17" x14ac:dyDescent="0.25">
      <c r="A597" t="s">
        <v>2121</v>
      </c>
      <c r="B597">
        <v>128564</v>
      </c>
      <c r="C597" t="s">
        <v>758</v>
      </c>
      <c r="D597" t="s">
        <v>32</v>
      </c>
      <c r="E597" t="s">
        <v>260</v>
      </c>
      <c r="F597" t="s">
        <v>40</v>
      </c>
      <c r="G597" t="s">
        <v>22</v>
      </c>
      <c r="H597" t="s">
        <v>2122</v>
      </c>
      <c r="I597" t="s">
        <v>2123</v>
      </c>
      <c r="J597">
        <v>2</v>
      </c>
      <c r="K597" t="s">
        <v>25</v>
      </c>
      <c r="L597" t="s">
        <v>590</v>
      </c>
      <c r="M597" t="s">
        <v>590</v>
      </c>
      <c r="N597" t="s">
        <v>28</v>
      </c>
      <c r="O597" t="s">
        <v>46</v>
      </c>
      <c r="P597" t="s">
        <v>29</v>
      </c>
      <c r="Q597" t="s">
        <v>30</v>
      </c>
    </row>
    <row r="598" spans="1:17" x14ac:dyDescent="0.25">
      <c r="A598" t="s">
        <v>2124</v>
      </c>
      <c r="B598">
        <v>128553</v>
      </c>
      <c r="C598" t="s">
        <v>296</v>
      </c>
      <c r="D598" t="s">
        <v>19</v>
      </c>
      <c r="E598" t="s">
        <v>62</v>
      </c>
      <c r="F598" t="s">
        <v>428</v>
      </c>
      <c r="G598" t="s">
        <v>22</v>
      </c>
      <c r="H598" t="s">
        <v>2125</v>
      </c>
      <c r="I598" t="s">
        <v>2126</v>
      </c>
      <c r="J598">
        <v>2</v>
      </c>
      <c r="K598" t="s">
        <v>25</v>
      </c>
      <c r="L598" t="s">
        <v>161</v>
      </c>
      <c r="M598" t="s">
        <v>751</v>
      </c>
      <c r="N598" t="s">
        <v>28</v>
      </c>
      <c r="O598" t="s">
        <v>591</v>
      </c>
      <c r="P598" t="s">
        <v>29</v>
      </c>
      <c r="Q598" t="s">
        <v>30</v>
      </c>
    </row>
    <row r="599" spans="1:17" x14ac:dyDescent="0.25">
      <c r="A599" t="s">
        <v>2127</v>
      </c>
      <c r="B599">
        <v>128724</v>
      </c>
      <c r="C599" t="s">
        <v>147</v>
      </c>
      <c r="D599" t="s">
        <v>32</v>
      </c>
      <c r="E599" t="s">
        <v>20</v>
      </c>
      <c r="F599" t="s">
        <v>123</v>
      </c>
      <c r="G599" t="s">
        <v>22</v>
      </c>
      <c r="H599" t="s">
        <v>2128</v>
      </c>
      <c r="I599" t="s">
        <v>2129</v>
      </c>
      <c r="J599">
        <v>2</v>
      </c>
      <c r="K599" t="s">
        <v>112</v>
      </c>
      <c r="L599" t="s">
        <v>356</v>
      </c>
      <c r="M599" t="s">
        <v>605</v>
      </c>
      <c r="N599" t="s">
        <v>493</v>
      </c>
      <c r="O599" t="s">
        <v>590</v>
      </c>
      <c r="P599" t="s">
        <v>29</v>
      </c>
      <c r="Q599" t="s">
        <v>30</v>
      </c>
    </row>
    <row r="600" spans="1:17" x14ac:dyDescent="0.25">
      <c r="A600" t="s">
        <v>2130</v>
      </c>
      <c r="B600">
        <v>128716</v>
      </c>
      <c r="C600" t="s">
        <v>450</v>
      </c>
      <c r="D600" t="s">
        <v>19</v>
      </c>
      <c r="E600" t="s">
        <v>33</v>
      </c>
      <c r="F600" t="s">
        <v>428</v>
      </c>
      <c r="G600" t="s">
        <v>22</v>
      </c>
      <c r="H600" t="s">
        <v>2131</v>
      </c>
      <c r="I600" t="s">
        <v>2132</v>
      </c>
      <c r="J600">
        <v>2</v>
      </c>
      <c r="K600" t="s">
        <v>112</v>
      </c>
      <c r="L600" t="s">
        <v>356</v>
      </c>
      <c r="M600" t="s">
        <v>971</v>
      </c>
      <c r="N600" t="s">
        <v>493</v>
      </c>
      <c r="O600" t="s">
        <v>591</v>
      </c>
      <c r="P600" t="s">
        <v>29</v>
      </c>
      <c r="Q600" t="s">
        <v>30</v>
      </c>
    </row>
    <row r="601" spans="1:17" x14ac:dyDescent="0.25">
      <c r="A601" t="s">
        <v>2133</v>
      </c>
      <c r="B601">
        <v>128718</v>
      </c>
      <c r="C601" t="s">
        <v>1992</v>
      </c>
      <c r="D601" t="s">
        <v>32</v>
      </c>
      <c r="E601" t="s">
        <v>20</v>
      </c>
      <c r="F601" t="s">
        <v>700</v>
      </c>
      <c r="G601" t="s">
        <v>22</v>
      </c>
      <c r="H601" t="s">
        <v>2134</v>
      </c>
      <c r="I601" t="s">
        <v>2135</v>
      </c>
      <c r="J601">
        <v>2</v>
      </c>
      <c r="K601" t="s">
        <v>25</v>
      </c>
      <c r="L601" t="s">
        <v>477</v>
      </c>
      <c r="M601" t="s">
        <v>36</v>
      </c>
      <c r="N601" t="s">
        <v>493</v>
      </c>
      <c r="O601" t="s">
        <v>761</v>
      </c>
      <c r="P601" t="s">
        <v>29</v>
      </c>
      <c r="Q601" t="s">
        <v>30</v>
      </c>
    </row>
    <row r="602" spans="1:17" x14ac:dyDescent="0.25">
      <c r="A602" t="s">
        <v>2136</v>
      </c>
      <c r="B602">
        <v>128723</v>
      </c>
      <c r="C602" t="s">
        <v>147</v>
      </c>
      <c r="D602" t="s">
        <v>32</v>
      </c>
      <c r="E602" t="s">
        <v>33</v>
      </c>
      <c r="F602" t="s">
        <v>40</v>
      </c>
      <c r="G602" t="s">
        <v>22</v>
      </c>
      <c r="H602" t="s">
        <v>2137</v>
      </c>
      <c r="I602" t="s">
        <v>2138</v>
      </c>
      <c r="J602">
        <v>2</v>
      </c>
      <c r="K602" t="s">
        <v>25</v>
      </c>
      <c r="L602" t="s">
        <v>612</v>
      </c>
      <c r="M602" t="s">
        <v>590</v>
      </c>
      <c r="N602" t="s">
        <v>975</v>
      </c>
      <c r="O602" t="s">
        <v>683</v>
      </c>
      <c r="P602" t="s">
        <v>29</v>
      </c>
      <c r="Q602" t="s">
        <v>30</v>
      </c>
    </row>
    <row r="603" spans="1:17" x14ac:dyDescent="0.25">
      <c r="A603" t="s">
        <v>2139</v>
      </c>
      <c r="B603">
        <v>128758</v>
      </c>
      <c r="C603" t="s">
        <v>147</v>
      </c>
      <c r="D603" t="s">
        <v>32</v>
      </c>
      <c r="E603" t="s">
        <v>62</v>
      </c>
      <c r="F603" t="s">
        <v>40</v>
      </c>
      <c r="G603" t="s">
        <v>22</v>
      </c>
      <c r="H603" t="s">
        <v>2140</v>
      </c>
      <c r="I603" t="s">
        <v>2141</v>
      </c>
      <c r="J603">
        <v>2</v>
      </c>
      <c r="K603" t="s">
        <v>25</v>
      </c>
      <c r="L603" t="s">
        <v>590</v>
      </c>
      <c r="M603" t="s">
        <v>590</v>
      </c>
      <c r="N603" t="s">
        <v>493</v>
      </c>
      <c r="O603" t="s">
        <v>199</v>
      </c>
      <c r="P603" t="s">
        <v>29</v>
      </c>
      <c r="Q603" t="s">
        <v>30</v>
      </c>
    </row>
    <row r="604" spans="1:17" x14ac:dyDescent="0.25">
      <c r="A604" t="s">
        <v>2142</v>
      </c>
      <c r="B604">
        <v>111886</v>
      </c>
      <c r="C604" t="s">
        <v>296</v>
      </c>
      <c r="D604" t="s">
        <v>32</v>
      </c>
      <c r="E604" t="s">
        <v>33</v>
      </c>
      <c r="F604" t="s">
        <v>393</v>
      </c>
      <c r="G604" t="s">
        <v>394</v>
      </c>
      <c r="H604" t="s">
        <v>2143</v>
      </c>
      <c r="I604" t="s">
        <v>2144</v>
      </c>
      <c r="J604">
        <v>2</v>
      </c>
      <c r="K604" t="s">
        <v>25</v>
      </c>
      <c r="L604" t="s">
        <v>46</v>
      </c>
      <c r="M604" t="s">
        <v>71</v>
      </c>
      <c r="N604" t="s">
        <v>493</v>
      </c>
      <c r="O604" t="s">
        <v>46</v>
      </c>
      <c r="P604" t="s">
        <v>29</v>
      </c>
      <c r="Q604" t="s">
        <v>30</v>
      </c>
    </row>
    <row r="605" spans="1:17" x14ac:dyDescent="0.25">
      <c r="A605" t="s">
        <v>2145</v>
      </c>
      <c r="B605">
        <v>63979</v>
      </c>
      <c r="C605" t="s">
        <v>454</v>
      </c>
      <c r="D605" t="s">
        <v>19</v>
      </c>
      <c r="E605" t="s">
        <v>227</v>
      </c>
      <c r="F605" t="s">
        <v>109</v>
      </c>
      <c r="G605" t="s">
        <v>394</v>
      </c>
      <c r="H605" t="s">
        <v>2146</v>
      </c>
      <c r="I605" t="s">
        <v>2147</v>
      </c>
      <c r="J605">
        <v>2</v>
      </c>
      <c r="K605" t="s">
        <v>25</v>
      </c>
      <c r="L605" t="s">
        <v>161</v>
      </c>
      <c r="M605" t="s">
        <v>178</v>
      </c>
      <c r="N605" t="s">
        <v>28</v>
      </c>
      <c r="O605" t="s">
        <v>548</v>
      </c>
      <c r="P605" t="s">
        <v>29</v>
      </c>
      <c r="Q605" t="s">
        <v>30</v>
      </c>
    </row>
    <row r="606" spans="1:17" x14ac:dyDescent="0.25">
      <c r="A606" t="s">
        <v>2148</v>
      </c>
      <c r="B606">
        <v>128252</v>
      </c>
      <c r="C606" t="s">
        <v>181</v>
      </c>
      <c r="D606" t="s">
        <v>19</v>
      </c>
      <c r="E606" t="s">
        <v>62</v>
      </c>
      <c r="F606" t="s">
        <v>393</v>
      </c>
      <c r="G606" t="s">
        <v>394</v>
      </c>
      <c r="H606" t="s">
        <v>2149</v>
      </c>
      <c r="I606" t="s">
        <v>2150</v>
      </c>
      <c r="J606">
        <v>2</v>
      </c>
      <c r="K606" t="s">
        <v>25</v>
      </c>
      <c r="L606" t="s">
        <v>667</v>
      </c>
      <c r="M606" t="s">
        <v>668</v>
      </c>
      <c r="N606" t="s">
        <v>493</v>
      </c>
      <c r="O606" t="s">
        <v>548</v>
      </c>
      <c r="P606" t="s">
        <v>29</v>
      </c>
      <c r="Q606" t="s">
        <v>30</v>
      </c>
    </row>
    <row r="607" spans="1:17" x14ac:dyDescent="0.25">
      <c r="A607" t="s">
        <v>2151</v>
      </c>
      <c r="B607">
        <v>70335</v>
      </c>
      <c r="C607" t="s">
        <v>39</v>
      </c>
      <c r="D607" t="s">
        <v>32</v>
      </c>
      <c r="E607" t="s">
        <v>227</v>
      </c>
      <c r="F607" t="s">
        <v>40</v>
      </c>
      <c r="G607" t="s">
        <v>22</v>
      </c>
      <c r="H607" t="s">
        <v>2152</v>
      </c>
      <c r="I607" t="s">
        <v>2153</v>
      </c>
      <c r="J607">
        <v>2</v>
      </c>
      <c r="K607" t="s">
        <v>25</v>
      </c>
      <c r="L607" t="s">
        <v>590</v>
      </c>
      <c r="M607" t="s">
        <v>590</v>
      </c>
      <c r="N607" t="s">
        <v>493</v>
      </c>
      <c r="O607" t="s">
        <v>590</v>
      </c>
      <c r="P607" t="s">
        <v>29</v>
      </c>
      <c r="Q607" t="s">
        <v>30</v>
      </c>
    </row>
    <row r="608" spans="1:17" x14ac:dyDescent="0.25">
      <c r="A608" t="s">
        <v>2154</v>
      </c>
      <c r="B608">
        <v>46121</v>
      </c>
      <c r="C608" t="s">
        <v>315</v>
      </c>
      <c r="D608" t="s">
        <v>19</v>
      </c>
      <c r="E608" t="s">
        <v>227</v>
      </c>
      <c r="F608" t="s">
        <v>685</v>
      </c>
      <c r="G608" t="s">
        <v>394</v>
      </c>
      <c r="H608" t="s">
        <v>2155</v>
      </c>
      <c r="I608" t="s">
        <v>2156</v>
      </c>
      <c r="J608">
        <v>2</v>
      </c>
      <c r="K608" t="s">
        <v>25</v>
      </c>
      <c r="L608" t="s">
        <v>243</v>
      </c>
      <c r="M608" t="s">
        <v>2157</v>
      </c>
      <c r="N608" t="s">
        <v>493</v>
      </c>
      <c r="O608" t="s">
        <v>548</v>
      </c>
      <c r="P608" t="s">
        <v>29</v>
      </c>
      <c r="Q608" t="s">
        <v>30</v>
      </c>
    </row>
    <row r="609" spans="1:17" x14ac:dyDescent="0.25">
      <c r="A609" t="s">
        <v>2158</v>
      </c>
      <c r="B609">
        <v>128913</v>
      </c>
      <c r="C609" t="s">
        <v>138</v>
      </c>
      <c r="D609" t="s">
        <v>32</v>
      </c>
      <c r="E609" t="s">
        <v>33</v>
      </c>
      <c r="F609" t="s">
        <v>700</v>
      </c>
      <c r="G609" t="s">
        <v>22</v>
      </c>
      <c r="H609" t="s">
        <v>2159</v>
      </c>
      <c r="I609" t="s">
        <v>2160</v>
      </c>
      <c r="J609">
        <v>2</v>
      </c>
      <c r="K609" t="s">
        <v>25</v>
      </c>
      <c r="L609" t="s">
        <v>356</v>
      </c>
      <c r="M609" t="s">
        <v>1285</v>
      </c>
      <c r="N609" t="s">
        <v>493</v>
      </c>
      <c r="O609" t="s">
        <v>761</v>
      </c>
      <c r="P609" t="s">
        <v>29</v>
      </c>
      <c r="Q609" t="s">
        <v>30</v>
      </c>
    </row>
    <row r="610" spans="1:17" x14ac:dyDescent="0.25">
      <c r="A610" t="s">
        <v>2161</v>
      </c>
      <c r="B610">
        <v>128959</v>
      </c>
      <c r="C610" t="s">
        <v>622</v>
      </c>
      <c r="D610" t="s">
        <v>32</v>
      </c>
      <c r="E610" t="s">
        <v>62</v>
      </c>
      <c r="F610" t="s">
        <v>21</v>
      </c>
      <c r="G610" t="s">
        <v>22</v>
      </c>
      <c r="H610" t="s">
        <v>2162</v>
      </c>
      <c r="I610" t="s">
        <v>2163</v>
      </c>
      <c r="J610">
        <v>2</v>
      </c>
      <c r="K610" t="s">
        <v>25</v>
      </c>
      <c r="L610" t="s">
        <v>77</v>
      </c>
      <c r="M610" t="s">
        <v>117</v>
      </c>
      <c r="N610" t="s">
        <v>493</v>
      </c>
      <c r="O610" t="s">
        <v>77</v>
      </c>
      <c r="P610" t="s">
        <v>29</v>
      </c>
      <c r="Q610" t="s">
        <v>30</v>
      </c>
    </row>
    <row r="611" spans="1:17" x14ac:dyDescent="0.25">
      <c r="A611" t="s">
        <v>2164</v>
      </c>
      <c r="B611">
        <v>128935</v>
      </c>
      <c r="C611" t="s">
        <v>454</v>
      </c>
      <c r="D611" t="s">
        <v>19</v>
      </c>
      <c r="E611" t="s">
        <v>62</v>
      </c>
      <c r="F611" t="s">
        <v>109</v>
      </c>
      <c r="G611" t="s">
        <v>22</v>
      </c>
      <c r="H611" t="s">
        <v>2165</v>
      </c>
      <c r="I611" t="s">
        <v>2166</v>
      </c>
      <c r="J611">
        <v>2</v>
      </c>
      <c r="K611" t="s">
        <v>112</v>
      </c>
      <c r="L611" t="s">
        <v>477</v>
      </c>
      <c r="M611" t="s">
        <v>536</v>
      </c>
      <c r="N611" t="s">
        <v>493</v>
      </c>
      <c r="O611" t="s">
        <v>591</v>
      </c>
      <c r="P611" t="s">
        <v>29</v>
      </c>
      <c r="Q611" t="s">
        <v>30</v>
      </c>
    </row>
    <row r="612" spans="1:17" x14ac:dyDescent="0.25">
      <c r="A612" t="s">
        <v>2167</v>
      </c>
      <c r="B612">
        <v>128975</v>
      </c>
      <c r="C612" t="s">
        <v>622</v>
      </c>
      <c r="D612" t="s">
        <v>32</v>
      </c>
      <c r="E612" t="s">
        <v>33</v>
      </c>
      <c r="F612" t="s">
        <v>21</v>
      </c>
      <c r="G612" t="s">
        <v>22</v>
      </c>
      <c r="H612" t="s">
        <v>2168</v>
      </c>
      <c r="I612" t="s">
        <v>2169</v>
      </c>
      <c r="J612">
        <v>2</v>
      </c>
      <c r="K612" t="s">
        <v>25</v>
      </c>
      <c r="L612" t="s">
        <v>77</v>
      </c>
      <c r="M612" t="s">
        <v>27</v>
      </c>
      <c r="N612" t="s">
        <v>493</v>
      </c>
      <c r="O612" t="s">
        <v>77</v>
      </c>
      <c r="P612" t="s">
        <v>29</v>
      </c>
      <c r="Q612" t="s">
        <v>30</v>
      </c>
    </row>
    <row r="613" spans="1:17" x14ac:dyDescent="0.25">
      <c r="A613" t="s">
        <v>2170</v>
      </c>
      <c r="B613">
        <v>109599</v>
      </c>
      <c r="C613" t="s">
        <v>215</v>
      </c>
      <c r="D613" t="s">
        <v>32</v>
      </c>
      <c r="E613" t="s">
        <v>33</v>
      </c>
      <c r="F613" t="s">
        <v>40</v>
      </c>
      <c r="G613" t="s">
        <v>22</v>
      </c>
      <c r="H613" t="s">
        <v>2171</v>
      </c>
      <c r="I613" t="s">
        <v>2172</v>
      </c>
      <c r="J613">
        <v>2</v>
      </c>
      <c r="K613" t="s">
        <v>25</v>
      </c>
      <c r="L613" t="s">
        <v>1337</v>
      </c>
      <c r="M613" t="s">
        <v>89</v>
      </c>
      <c r="N613" t="s">
        <v>45</v>
      </c>
      <c r="O613" t="s">
        <v>46</v>
      </c>
      <c r="P613" t="s">
        <v>29</v>
      </c>
      <c r="Q613" t="s">
        <v>30</v>
      </c>
    </row>
    <row r="614" spans="1:17" x14ac:dyDescent="0.25">
      <c r="A614" t="s">
        <v>2173</v>
      </c>
      <c r="B614">
        <v>113231</v>
      </c>
      <c r="C614" t="s">
        <v>138</v>
      </c>
      <c r="D614" t="s">
        <v>32</v>
      </c>
      <c r="E614" t="s">
        <v>33</v>
      </c>
      <c r="F614" t="s">
        <v>40</v>
      </c>
      <c r="G614" t="s">
        <v>22</v>
      </c>
      <c r="H614" t="s">
        <v>2174</v>
      </c>
      <c r="I614" t="s">
        <v>2175</v>
      </c>
      <c r="J614">
        <v>2</v>
      </c>
      <c r="K614" t="s">
        <v>25</v>
      </c>
      <c r="L614" t="s">
        <v>1337</v>
      </c>
      <c r="M614" t="s">
        <v>89</v>
      </c>
      <c r="N614" t="s">
        <v>45</v>
      </c>
      <c r="O614" t="s">
        <v>683</v>
      </c>
      <c r="P614" t="s">
        <v>29</v>
      </c>
      <c r="Q614" t="s">
        <v>30</v>
      </c>
    </row>
    <row r="615" spans="1:17" x14ac:dyDescent="0.25">
      <c r="A615" t="s">
        <v>2176</v>
      </c>
      <c r="B615">
        <v>129090</v>
      </c>
      <c r="C615" t="s">
        <v>1217</v>
      </c>
      <c r="D615" t="s">
        <v>32</v>
      </c>
      <c r="E615" t="s">
        <v>20</v>
      </c>
      <c r="F615" t="s">
        <v>109</v>
      </c>
      <c r="G615" t="s">
        <v>22</v>
      </c>
      <c r="H615" t="s">
        <v>2177</v>
      </c>
      <c r="I615" t="s">
        <v>2178</v>
      </c>
      <c r="J615">
        <v>2</v>
      </c>
      <c r="K615" t="s">
        <v>25</v>
      </c>
      <c r="L615" t="s">
        <v>290</v>
      </c>
      <c r="M615" t="s">
        <v>89</v>
      </c>
      <c r="N615" t="s">
        <v>45</v>
      </c>
      <c r="O615" t="s">
        <v>290</v>
      </c>
      <c r="P615" t="s">
        <v>29</v>
      </c>
      <c r="Q615" t="s">
        <v>30</v>
      </c>
    </row>
    <row r="616" spans="1:17" x14ac:dyDescent="0.25">
      <c r="A616" t="s">
        <v>2179</v>
      </c>
      <c r="B616">
        <v>129069</v>
      </c>
      <c r="C616" t="s">
        <v>151</v>
      </c>
      <c r="D616" t="s">
        <v>32</v>
      </c>
      <c r="E616" t="s">
        <v>260</v>
      </c>
      <c r="F616" t="s">
        <v>40</v>
      </c>
      <c r="G616" t="s">
        <v>22</v>
      </c>
      <c r="H616" t="s">
        <v>2180</v>
      </c>
      <c r="I616" t="s">
        <v>2181</v>
      </c>
      <c r="J616">
        <v>2</v>
      </c>
      <c r="K616" t="s">
        <v>25</v>
      </c>
      <c r="L616" t="s">
        <v>1337</v>
      </c>
      <c r="M616" t="s">
        <v>590</v>
      </c>
      <c r="N616" t="s">
        <v>45</v>
      </c>
      <c r="O616" t="s">
        <v>683</v>
      </c>
      <c r="P616" t="s">
        <v>29</v>
      </c>
      <c r="Q616" t="s">
        <v>30</v>
      </c>
    </row>
    <row r="617" spans="1:17" x14ac:dyDescent="0.25">
      <c r="A617" t="s">
        <v>2182</v>
      </c>
      <c r="B617">
        <v>58891</v>
      </c>
      <c r="C617" t="s">
        <v>1061</v>
      </c>
      <c r="D617" t="s">
        <v>32</v>
      </c>
      <c r="E617" t="s">
        <v>33</v>
      </c>
      <c r="F617" t="s">
        <v>700</v>
      </c>
      <c r="G617" t="s">
        <v>394</v>
      </c>
      <c r="H617" t="s">
        <v>2183</v>
      </c>
      <c r="I617" t="s">
        <v>2184</v>
      </c>
      <c r="J617">
        <v>2</v>
      </c>
      <c r="K617" t="s">
        <v>25</v>
      </c>
      <c r="L617" t="s">
        <v>866</v>
      </c>
      <c r="M617" t="s">
        <v>1285</v>
      </c>
      <c r="N617" t="s">
        <v>493</v>
      </c>
      <c r="O617" t="s">
        <v>761</v>
      </c>
      <c r="P617" t="s">
        <v>29</v>
      </c>
      <c r="Q617" t="s">
        <v>30</v>
      </c>
    </row>
    <row r="618" spans="1:17" x14ac:dyDescent="0.25">
      <c r="A618" t="s">
        <v>2185</v>
      </c>
      <c r="B618">
        <v>129174</v>
      </c>
      <c r="C618" t="s">
        <v>188</v>
      </c>
      <c r="D618" t="s">
        <v>19</v>
      </c>
      <c r="E618" t="s">
        <v>260</v>
      </c>
      <c r="F618" t="s">
        <v>428</v>
      </c>
      <c r="G618" t="s">
        <v>22</v>
      </c>
      <c r="H618" t="s">
        <v>2186</v>
      </c>
      <c r="I618" t="s">
        <v>2187</v>
      </c>
      <c r="J618">
        <v>2</v>
      </c>
      <c r="K618" t="s">
        <v>25</v>
      </c>
      <c r="L618" t="s">
        <v>126</v>
      </c>
      <c r="M618" t="s">
        <v>644</v>
      </c>
      <c r="N618" t="s">
        <v>493</v>
      </c>
      <c r="O618" t="s">
        <v>591</v>
      </c>
      <c r="P618" t="s">
        <v>29</v>
      </c>
      <c r="Q618" t="s">
        <v>30</v>
      </c>
    </row>
    <row r="619" spans="1:17" x14ac:dyDescent="0.25">
      <c r="A619" t="s">
        <v>2188</v>
      </c>
      <c r="B619">
        <v>129183</v>
      </c>
      <c r="C619" t="s">
        <v>646</v>
      </c>
      <c r="D619" t="s">
        <v>32</v>
      </c>
      <c r="E619" t="s">
        <v>62</v>
      </c>
      <c r="F619" t="s">
        <v>109</v>
      </c>
      <c r="G619" t="s">
        <v>22</v>
      </c>
      <c r="H619" t="s">
        <v>2189</v>
      </c>
      <c r="I619" t="s">
        <v>2190</v>
      </c>
      <c r="J619">
        <v>2</v>
      </c>
      <c r="K619" t="s">
        <v>25</v>
      </c>
      <c r="L619" t="s">
        <v>548</v>
      </c>
      <c r="M619" t="s">
        <v>811</v>
      </c>
      <c r="N619" t="s">
        <v>493</v>
      </c>
      <c r="O619" t="s">
        <v>548</v>
      </c>
      <c r="P619" t="s">
        <v>29</v>
      </c>
      <c r="Q619" t="s">
        <v>30</v>
      </c>
    </row>
    <row r="620" spans="1:17" x14ac:dyDescent="0.25">
      <c r="A620" t="s">
        <v>2191</v>
      </c>
      <c r="B620">
        <v>129182</v>
      </c>
      <c r="C620" t="s">
        <v>147</v>
      </c>
      <c r="D620" t="s">
        <v>32</v>
      </c>
      <c r="E620" t="s">
        <v>33</v>
      </c>
      <c r="F620" t="s">
        <v>40</v>
      </c>
      <c r="G620" t="s">
        <v>22</v>
      </c>
      <c r="H620" t="s">
        <v>2192</v>
      </c>
      <c r="I620" t="s">
        <v>2193</v>
      </c>
      <c r="J620">
        <v>2</v>
      </c>
      <c r="K620" t="s">
        <v>25</v>
      </c>
      <c r="L620" t="s">
        <v>590</v>
      </c>
      <c r="M620" t="s">
        <v>1160</v>
      </c>
      <c r="N620" t="s">
        <v>493</v>
      </c>
      <c r="O620" t="s">
        <v>612</v>
      </c>
      <c r="P620" t="s">
        <v>29</v>
      </c>
      <c r="Q620" t="s">
        <v>30</v>
      </c>
    </row>
    <row r="621" spans="1:17" x14ac:dyDescent="0.25">
      <c r="A621" t="s">
        <v>2194</v>
      </c>
      <c r="B621">
        <v>129202</v>
      </c>
      <c r="C621" t="s">
        <v>622</v>
      </c>
      <c r="D621" t="s">
        <v>32</v>
      </c>
      <c r="E621" t="s">
        <v>33</v>
      </c>
      <c r="F621" t="s">
        <v>21</v>
      </c>
      <c r="G621" t="s">
        <v>22</v>
      </c>
      <c r="H621" t="s">
        <v>2195</v>
      </c>
      <c r="I621" t="s">
        <v>2196</v>
      </c>
      <c r="J621">
        <v>2</v>
      </c>
      <c r="K621" t="s">
        <v>25</v>
      </c>
      <c r="L621" t="s">
        <v>77</v>
      </c>
      <c r="M621" t="s">
        <v>225</v>
      </c>
      <c r="N621" t="s">
        <v>493</v>
      </c>
      <c r="O621" t="s">
        <v>77</v>
      </c>
      <c r="P621" t="s">
        <v>29</v>
      </c>
      <c r="Q621" t="s">
        <v>30</v>
      </c>
    </row>
    <row r="622" spans="1:17" x14ac:dyDescent="0.25">
      <c r="A622" t="s">
        <v>2197</v>
      </c>
      <c r="B622">
        <v>125184</v>
      </c>
      <c r="C622" t="s">
        <v>221</v>
      </c>
      <c r="D622" t="s">
        <v>32</v>
      </c>
      <c r="E622" t="s">
        <v>62</v>
      </c>
      <c r="F622" t="s">
        <v>109</v>
      </c>
      <c r="G622" t="s">
        <v>394</v>
      </c>
      <c r="H622" t="s">
        <v>2198</v>
      </c>
      <c r="I622" t="s">
        <v>2199</v>
      </c>
      <c r="J622">
        <v>2</v>
      </c>
      <c r="K622" t="s">
        <v>25</v>
      </c>
      <c r="L622" t="s">
        <v>323</v>
      </c>
      <c r="M622" t="s">
        <v>536</v>
      </c>
      <c r="N622" t="s">
        <v>493</v>
      </c>
      <c r="O622" t="s">
        <v>290</v>
      </c>
      <c r="P622" t="s">
        <v>29</v>
      </c>
      <c r="Q622" t="s">
        <v>30</v>
      </c>
    </row>
    <row r="623" spans="1:17" x14ac:dyDescent="0.25">
      <c r="A623" t="s">
        <v>2200</v>
      </c>
      <c r="B623">
        <v>129302</v>
      </c>
      <c r="C623" t="s">
        <v>614</v>
      </c>
      <c r="D623" t="s">
        <v>32</v>
      </c>
      <c r="E623" t="s">
        <v>260</v>
      </c>
      <c r="F623" t="s">
        <v>700</v>
      </c>
      <c r="G623" t="s">
        <v>22</v>
      </c>
      <c r="H623" t="s">
        <v>2201</v>
      </c>
      <c r="I623" t="s">
        <v>2202</v>
      </c>
      <c r="J623">
        <v>2</v>
      </c>
      <c r="K623" t="s">
        <v>397</v>
      </c>
      <c r="L623" t="s">
        <v>356</v>
      </c>
      <c r="M623" t="s">
        <v>331</v>
      </c>
      <c r="N623" t="s">
        <v>493</v>
      </c>
      <c r="O623" t="s">
        <v>1141</v>
      </c>
      <c r="P623" t="s">
        <v>29</v>
      </c>
      <c r="Q623" t="s">
        <v>30</v>
      </c>
    </row>
    <row r="624" spans="1:17" x14ac:dyDescent="0.25">
      <c r="A624" t="s">
        <v>2203</v>
      </c>
      <c r="B624">
        <v>129291</v>
      </c>
      <c r="C624" t="s">
        <v>454</v>
      </c>
      <c r="D624" t="s">
        <v>19</v>
      </c>
      <c r="E624" t="s">
        <v>33</v>
      </c>
      <c r="F624" t="s">
        <v>109</v>
      </c>
      <c r="G624" t="s">
        <v>22</v>
      </c>
      <c r="H624" t="s">
        <v>2204</v>
      </c>
      <c r="I624" t="s">
        <v>2205</v>
      </c>
      <c r="J624">
        <v>2</v>
      </c>
      <c r="K624" t="s">
        <v>25</v>
      </c>
      <c r="L624" t="s">
        <v>661</v>
      </c>
      <c r="M624" t="s">
        <v>906</v>
      </c>
      <c r="N624" t="s">
        <v>493</v>
      </c>
      <c r="O624" t="s">
        <v>290</v>
      </c>
      <c r="P624" t="s">
        <v>29</v>
      </c>
      <c r="Q624" t="s">
        <v>30</v>
      </c>
    </row>
    <row r="625" spans="1:17" x14ac:dyDescent="0.25">
      <c r="A625" t="s">
        <v>2206</v>
      </c>
      <c r="B625">
        <v>129324</v>
      </c>
      <c r="C625" t="s">
        <v>252</v>
      </c>
      <c r="D625" t="s">
        <v>32</v>
      </c>
      <c r="E625" t="s">
        <v>62</v>
      </c>
      <c r="F625" t="s">
        <v>109</v>
      </c>
      <c r="G625" t="s">
        <v>22</v>
      </c>
      <c r="H625" t="s">
        <v>2207</v>
      </c>
      <c r="I625" t="s">
        <v>2208</v>
      </c>
      <c r="J625">
        <v>2</v>
      </c>
      <c r="K625" t="s">
        <v>25</v>
      </c>
      <c r="L625" t="s">
        <v>37</v>
      </c>
      <c r="M625" t="s">
        <v>906</v>
      </c>
      <c r="N625" t="s">
        <v>493</v>
      </c>
      <c r="O625" t="s">
        <v>290</v>
      </c>
      <c r="P625" t="s">
        <v>29</v>
      </c>
      <c r="Q625" t="s">
        <v>30</v>
      </c>
    </row>
    <row r="626" spans="1:17" x14ac:dyDescent="0.25">
      <c r="A626" t="s">
        <v>2209</v>
      </c>
      <c r="B626">
        <v>129327</v>
      </c>
      <c r="C626" t="s">
        <v>1172</v>
      </c>
      <c r="D626" t="s">
        <v>19</v>
      </c>
      <c r="E626" t="s">
        <v>33</v>
      </c>
      <c r="F626" t="s">
        <v>21</v>
      </c>
      <c r="G626" t="s">
        <v>22</v>
      </c>
      <c r="H626" t="s">
        <v>2210</v>
      </c>
      <c r="I626" t="s">
        <v>2211</v>
      </c>
      <c r="J626">
        <v>2</v>
      </c>
      <c r="K626" t="s">
        <v>25</v>
      </c>
      <c r="L626" t="s">
        <v>77</v>
      </c>
      <c r="M626" t="s">
        <v>308</v>
      </c>
      <c r="N626" t="s">
        <v>493</v>
      </c>
      <c r="O626" t="s">
        <v>77</v>
      </c>
      <c r="P626" t="s">
        <v>29</v>
      </c>
      <c r="Q626" t="s">
        <v>30</v>
      </c>
    </row>
    <row r="627" spans="1:17" x14ac:dyDescent="0.25">
      <c r="A627" t="s">
        <v>2212</v>
      </c>
      <c r="B627">
        <v>129431</v>
      </c>
      <c r="C627" t="s">
        <v>622</v>
      </c>
      <c r="D627" t="s">
        <v>32</v>
      </c>
      <c r="E627" t="s">
        <v>33</v>
      </c>
      <c r="F627" t="s">
        <v>21</v>
      </c>
      <c r="G627" t="s">
        <v>22</v>
      </c>
      <c r="H627" t="s">
        <v>2213</v>
      </c>
      <c r="I627" t="s">
        <v>2214</v>
      </c>
      <c r="J627">
        <v>2</v>
      </c>
      <c r="K627" t="s">
        <v>25</v>
      </c>
      <c r="L627" t="s">
        <v>290</v>
      </c>
      <c r="M627" t="s">
        <v>225</v>
      </c>
      <c r="N627" t="s">
        <v>493</v>
      </c>
      <c r="O627" t="s">
        <v>77</v>
      </c>
      <c r="P627" t="s">
        <v>29</v>
      </c>
      <c r="Q627" t="s">
        <v>30</v>
      </c>
    </row>
    <row r="628" spans="1:17" x14ac:dyDescent="0.25">
      <c r="A628" t="s">
        <v>2215</v>
      </c>
      <c r="B628">
        <v>129418</v>
      </c>
      <c r="C628" t="s">
        <v>68</v>
      </c>
      <c r="D628" t="s">
        <v>32</v>
      </c>
      <c r="E628" t="s">
        <v>20</v>
      </c>
      <c r="F628" t="s">
        <v>40</v>
      </c>
      <c r="G628" t="s">
        <v>22</v>
      </c>
      <c r="H628" t="s">
        <v>2216</v>
      </c>
      <c r="I628" t="s">
        <v>2217</v>
      </c>
      <c r="J628">
        <v>2</v>
      </c>
      <c r="K628" t="s">
        <v>25</v>
      </c>
      <c r="L628" t="s">
        <v>590</v>
      </c>
      <c r="M628" t="s">
        <v>590</v>
      </c>
      <c r="N628" t="s">
        <v>493</v>
      </c>
      <c r="O628" t="s">
        <v>612</v>
      </c>
      <c r="P628" t="s">
        <v>29</v>
      </c>
      <c r="Q628" t="s">
        <v>30</v>
      </c>
    </row>
    <row r="629" spans="1:17" x14ac:dyDescent="0.25">
      <c r="A629" t="s">
        <v>2218</v>
      </c>
      <c r="B629">
        <v>129322</v>
      </c>
      <c r="C629" t="s">
        <v>622</v>
      </c>
      <c r="D629" t="s">
        <v>19</v>
      </c>
      <c r="E629" t="s">
        <v>33</v>
      </c>
      <c r="F629" t="s">
        <v>21</v>
      </c>
      <c r="G629" t="s">
        <v>22</v>
      </c>
      <c r="H629" t="s">
        <v>2219</v>
      </c>
      <c r="I629" t="s">
        <v>2220</v>
      </c>
      <c r="J629">
        <v>2</v>
      </c>
      <c r="K629" t="s">
        <v>25</v>
      </c>
      <c r="L629" t="s">
        <v>290</v>
      </c>
      <c r="M629" t="s">
        <v>2221</v>
      </c>
      <c r="N629" t="s">
        <v>493</v>
      </c>
      <c r="O629" t="s">
        <v>77</v>
      </c>
      <c r="P629" t="s">
        <v>29</v>
      </c>
      <c r="Q629" t="s">
        <v>30</v>
      </c>
    </row>
    <row r="630" spans="1:17" x14ac:dyDescent="0.25">
      <c r="A630" t="s">
        <v>2222</v>
      </c>
      <c r="B630">
        <v>23424</v>
      </c>
      <c r="C630" t="s">
        <v>1378</v>
      </c>
      <c r="D630" t="s">
        <v>32</v>
      </c>
      <c r="E630" t="s">
        <v>227</v>
      </c>
      <c r="F630" t="s">
        <v>685</v>
      </c>
      <c r="G630" t="s">
        <v>394</v>
      </c>
      <c r="H630" t="s">
        <v>2223</v>
      </c>
      <c r="I630" t="s">
        <v>2224</v>
      </c>
      <c r="J630">
        <v>2</v>
      </c>
      <c r="K630" t="s">
        <v>25</v>
      </c>
      <c r="L630" t="s">
        <v>2120</v>
      </c>
      <c r="M630" t="s">
        <v>398</v>
      </c>
      <c r="N630" t="s">
        <v>493</v>
      </c>
      <c r="O630" t="s">
        <v>145</v>
      </c>
      <c r="P630" t="s">
        <v>29</v>
      </c>
      <c r="Q630" t="s">
        <v>30</v>
      </c>
    </row>
    <row r="631" spans="1:17" x14ac:dyDescent="0.25">
      <c r="A631" t="s">
        <v>2225</v>
      </c>
      <c r="B631">
        <v>129495</v>
      </c>
      <c r="C631" t="s">
        <v>122</v>
      </c>
      <c r="D631" t="s">
        <v>19</v>
      </c>
      <c r="E631" t="s">
        <v>130</v>
      </c>
      <c r="F631" t="s">
        <v>484</v>
      </c>
      <c r="G631" t="s">
        <v>22</v>
      </c>
      <c r="H631" t="s">
        <v>2226</v>
      </c>
      <c r="I631" t="s">
        <v>2227</v>
      </c>
      <c r="J631">
        <v>2</v>
      </c>
      <c r="K631" t="s">
        <v>25</v>
      </c>
      <c r="L631" t="s">
        <v>213</v>
      </c>
      <c r="M631" t="s">
        <v>967</v>
      </c>
      <c r="N631" t="s">
        <v>493</v>
      </c>
      <c r="O631" t="s">
        <v>620</v>
      </c>
      <c r="P631" t="s">
        <v>29</v>
      </c>
      <c r="Q631" t="s">
        <v>30</v>
      </c>
    </row>
    <row r="632" spans="1:17" x14ac:dyDescent="0.25">
      <c r="A632" t="s">
        <v>2228</v>
      </c>
      <c r="B632">
        <v>125580</v>
      </c>
      <c r="C632" t="s">
        <v>2229</v>
      </c>
      <c r="D632" t="s">
        <v>19</v>
      </c>
      <c r="E632" t="s">
        <v>260</v>
      </c>
      <c r="F632" t="s">
        <v>484</v>
      </c>
      <c r="G632" t="s">
        <v>22</v>
      </c>
      <c r="H632" t="s">
        <v>2230</v>
      </c>
      <c r="I632" t="s">
        <v>2231</v>
      </c>
      <c r="J632">
        <v>2</v>
      </c>
      <c r="K632" t="s">
        <v>25</v>
      </c>
      <c r="L632" t="s">
        <v>356</v>
      </c>
      <c r="M632" t="s">
        <v>544</v>
      </c>
      <c r="N632" t="s">
        <v>493</v>
      </c>
      <c r="O632" t="s">
        <v>620</v>
      </c>
      <c r="P632" t="s">
        <v>29</v>
      </c>
      <c r="Q632" t="s">
        <v>30</v>
      </c>
    </row>
    <row r="633" spans="1:17" x14ac:dyDescent="0.25">
      <c r="A633" t="s">
        <v>2232</v>
      </c>
      <c r="B633">
        <v>36443</v>
      </c>
      <c r="C633" t="s">
        <v>454</v>
      </c>
      <c r="D633" t="s">
        <v>19</v>
      </c>
      <c r="E633" t="s">
        <v>227</v>
      </c>
      <c r="F633" t="s">
        <v>109</v>
      </c>
      <c r="G633" t="s">
        <v>664</v>
      </c>
      <c r="H633" t="s">
        <v>2233</v>
      </c>
      <c r="I633" t="s">
        <v>2234</v>
      </c>
      <c r="J633">
        <v>2</v>
      </c>
      <c r="K633" t="s">
        <v>25</v>
      </c>
      <c r="L633" t="s">
        <v>575</v>
      </c>
      <c r="M633" t="s">
        <v>457</v>
      </c>
      <c r="N633" t="s">
        <v>493</v>
      </c>
      <c r="O633" t="s">
        <v>290</v>
      </c>
      <c r="P633" t="s">
        <v>29</v>
      </c>
      <c r="Q633" t="s">
        <v>30</v>
      </c>
    </row>
    <row r="634" spans="1:17" x14ac:dyDescent="0.25">
      <c r="A634" t="s">
        <v>2235</v>
      </c>
      <c r="B634">
        <v>129452</v>
      </c>
      <c r="C634" t="s">
        <v>221</v>
      </c>
      <c r="D634" t="s">
        <v>19</v>
      </c>
      <c r="E634" t="s">
        <v>33</v>
      </c>
      <c r="F634" t="s">
        <v>109</v>
      </c>
      <c r="G634" t="s">
        <v>22</v>
      </c>
      <c r="H634" t="s">
        <v>2236</v>
      </c>
      <c r="I634" t="s">
        <v>2237</v>
      </c>
      <c r="J634">
        <v>2</v>
      </c>
      <c r="K634" t="s">
        <v>25</v>
      </c>
      <c r="L634" t="s">
        <v>37</v>
      </c>
      <c r="M634" t="s">
        <v>906</v>
      </c>
      <c r="N634" t="s">
        <v>493</v>
      </c>
      <c r="O634" t="s">
        <v>290</v>
      </c>
      <c r="P634" t="s">
        <v>29</v>
      </c>
      <c r="Q634" t="s">
        <v>30</v>
      </c>
    </row>
    <row r="635" spans="1:17" x14ac:dyDescent="0.25">
      <c r="A635" t="s">
        <v>2238</v>
      </c>
      <c r="B635">
        <v>31160</v>
      </c>
      <c r="C635" t="s">
        <v>454</v>
      </c>
      <c r="D635" t="s">
        <v>32</v>
      </c>
      <c r="E635" t="s">
        <v>227</v>
      </c>
      <c r="F635" t="s">
        <v>109</v>
      </c>
      <c r="G635" t="s">
        <v>394</v>
      </c>
      <c r="H635" t="s">
        <v>2239</v>
      </c>
      <c r="I635" t="s">
        <v>2240</v>
      </c>
      <c r="J635">
        <v>2</v>
      </c>
      <c r="K635" t="s">
        <v>25</v>
      </c>
      <c r="L635" t="s">
        <v>52</v>
      </c>
      <c r="M635" t="s">
        <v>906</v>
      </c>
      <c r="N635" t="s">
        <v>493</v>
      </c>
      <c r="O635" t="s">
        <v>2241</v>
      </c>
      <c r="P635" t="s">
        <v>29</v>
      </c>
      <c r="Q635" t="s">
        <v>30</v>
      </c>
    </row>
    <row r="636" spans="1:17" x14ac:dyDescent="0.25">
      <c r="A636" t="s">
        <v>2242</v>
      </c>
      <c r="B636">
        <v>3092</v>
      </c>
      <c r="C636" t="s">
        <v>208</v>
      </c>
      <c r="D636" t="s">
        <v>19</v>
      </c>
      <c r="E636" t="s">
        <v>20</v>
      </c>
      <c r="F636" t="s">
        <v>484</v>
      </c>
      <c r="G636" t="s">
        <v>22</v>
      </c>
      <c r="H636" t="s">
        <v>2243</v>
      </c>
      <c r="I636" t="s">
        <v>2244</v>
      </c>
      <c r="J636">
        <v>2</v>
      </c>
      <c r="K636" t="s">
        <v>25</v>
      </c>
      <c r="L636" t="s">
        <v>548</v>
      </c>
      <c r="M636" t="s">
        <v>652</v>
      </c>
      <c r="N636" t="s">
        <v>45</v>
      </c>
      <c r="O636" t="s">
        <v>620</v>
      </c>
      <c r="P636" t="s">
        <v>29</v>
      </c>
      <c r="Q636" t="s">
        <v>30</v>
      </c>
    </row>
    <row r="637" spans="1:17" x14ac:dyDescent="0.25">
      <c r="A637" t="s">
        <v>2245</v>
      </c>
      <c r="B637">
        <v>122693</v>
      </c>
      <c r="C637" t="s">
        <v>18</v>
      </c>
      <c r="D637" t="s">
        <v>32</v>
      </c>
      <c r="E637" t="s">
        <v>33</v>
      </c>
      <c r="F637" t="s">
        <v>393</v>
      </c>
      <c r="G637" t="s">
        <v>394</v>
      </c>
      <c r="H637" t="s">
        <v>2246</v>
      </c>
      <c r="I637" t="s">
        <v>2247</v>
      </c>
      <c r="J637">
        <v>2</v>
      </c>
      <c r="K637" t="s">
        <v>25</v>
      </c>
      <c r="L637" t="s">
        <v>52</v>
      </c>
      <c r="M637" t="s">
        <v>2248</v>
      </c>
      <c r="N637" t="s">
        <v>45</v>
      </c>
      <c r="O637" t="s">
        <v>290</v>
      </c>
      <c r="P637" t="s">
        <v>29</v>
      </c>
      <c r="Q637" t="s">
        <v>30</v>
      </c>
    </row>
    <row r="638" spans="1:17" x14ac:dyDescent="0.25">
      <c r="A638" t="s">
        <v>2249</v>
      </c>
      <c r="B638">
        <v>127638</v>
      </c>
      <c r="C638" t="s">
        <v>181</v>
      </c>
      <c r="D638" t="s">
        <v>19</v>
      </c>
      <c r="E638" t="s">
        <v>33</v>
      </c>
      <c r="F638" t="s">
        <v>109</v>
      </c>
      <c r="G638" t="s">
        <v>22</v>
      </c>
      <c r="H638" t="s">
        <v>2250</v>
      </c>
      <c r="I638" t="s">
        <v>2251</v>
      </c>
      <c r="J638">
        <v>2</v>
      </c>
      <c r="K638" t="s">
        <v>25</v>
      </c>
      <c r="L638" t="s">
        <v>37</v>
      </c>
      <c r="M638" t="s">
        <v>708</v>
      </c>
      <c r="N638" t="s">
        <v>45</v>
      </c>
      <c r="O638" t="s">
        <v>591</v>
      </c>
      <c r="P638" t="s">
        <v>29</v>
      </c>
      <c r="Q638" t="s">
        <v>30</v>
      </c>
    </row>
    <row r="639" spans="1:17" x14ac:dyDescent="0.25">
      <c r="A639" t="s">
        <v>2252</v>
      </c>
      <c r="B639">
        <v>7643</v>
      </c>
      <c r="C639" t="s">
        <v>922</v>
      </c>
      <c r="D639" t="s">
        <v>32</v>
      </c>
      <c r="E639" t="s">
        <v>754</v>
      </c>
      <c r="F639" t="s">
        <v>393</v>
      </c>
      <c r="G639" t="s">
        <v>394</v>
      </c>
      <c r="H639" t="s">
        <v>2253</v>
      </c>
      <c r="I639" t="s">
        <v>2254</v>
      </c>
      <c r="J639">
        <v>2</v>
      </c>
      <c r="K639" t="s">
        <v>25</v>
      </c>
      <c r="L639" t="s">
        <v>661</v>
      </c>
      <c r="M639" t="s">
        <v>398</v>
      </c>
      <c r="N639" t="s">
        <v>45</v>
      </c>
      <c r="O639" t="s">
        <v>145</v>
      </c>
      <c r="P639" t="s">
        <v>29</v>
      </c>
      <c r="Q639" t="s">
        <v>30</v>
      </c>
    </row>
    <row r="640" spans="1:17" x14ac:dyDescent="0.25">
      <c r="A640" t="s">
        <v>2255</v>
      </c>
      <c r="B640">
        <v>96821</v>
      </c>
      <c r="C640" t="s">
        <v>39</v>
      </c>
      <c r="D640" t="s">
        <v>19</v>
      </c>
      <c r="E640" t="s">
        <v>33</v>
      </c>
      <c r="F640" t="s">
        <v>428</v>
      </c>
      <c r="G640" t="s">
        <v>22</v>
      </c>
      <c r="H640" t="s">
        <v>2256</v>
      </c>
      <c r="I640" t="s">
        <v>2257</v>
      </c>
      <c r="J640">
        <v>2</v>
      </c>
      <c r="K640" t="s">
        <v>25</v>
      </c>
      <c r="L640" t="s">
        <v>591</v>
      </c>
      <c r="M640" t="s">
        <v>1170</v>
      </c>
      <c r="N640" t="s">
        <v>45</v>
      </c>
      <c r="O640" t="s">
        <v>591</v>
      </c>
      <c r="P640" t="s">
        <v>29</v>
      </c>
      <c r="Q640" t="s">
        <v>30</v>
      </c>
    </row>
    <row r="641" spans="1:17" x14ac:dyDescent="0.25">
      <c r="A641" t="s">
        <v>2258</v>
      </c>
      <c r="B641">
        <v>129552</v>
      </c>
      <c r="C641" t="s">
        <v>474</v>
      </c>
      <c r="D641" t="s">
        <v>19</v>
      </c>
      <c r="E641" t="s">
        <v>33</v>
      </c>
      <c r="F641" t="s">
        <v>428</v>
      </c>
      <c r="G641" t="s">
        <v>22</v>
      </c>
      <c r="H641" t="s">
        <v>2259</v>
      </c>
      <c r="I641" t="s">
        <v>2260</v>
      </c>
      <c r="J641">
        <v>2</v>
      </c>
      <c r="K641" t="s">
        <v>112</v>
      </c>
      <c r="L641" t="s">
        <v>161</v>
      </c>
      <c r="M641" t="s">
        <v>644</v>
      </c>
      <c r="N641" t="s">
        <v>45</v>
      </c>
      <c r="O641" t="s">
        <v>591</v>
      </c>
      <c r="P641" t="s">
        <v>29</v>
      </c>
      <c r="Q641" t="s">
        <v>30</v>
      </c>
    </row>
    <row r="642" spans="1:17" x14ac:dyDescent="0.25">
      <c r="A642" t="s">
        <v>2261</v>
      </c>
      <c r="B642">
        <v>129555</v>
      </c>
      <c r="C642" t="s">
        <v>884</v>
      </c>
      <c r="D642" t="s">
        <v>32</v>
      </c>
      <c r="E642" t="s">
        <v>33</v>
      </c>
      <c r="F642" t="s">
        <v>700</v>
      </c>
      <c r="G642" t="s">
        <v>22</v>
      </c>
      <c r="H642" t="s">
        <v>2262</v>
      </c>
      <c r="I642" t="s">
        <v>2263</v>
      </c>
      <c r="J642">
        <v>2</v>
      </c>
      <c r="K642" t="s">
        <v>25</v>
      </c>
      <c r="L642" t="s">
        <v>161</v>
      </c>
      <c r="M642" t="s">
        <v>1226</v>
      </c>
      <c r="N642" t="s">
        <v>45</v>
      </c>
      <c r="O642" t="s">
        <v>761</v>
      </c>
      <c r="P642" t="s">
        <v>29</v>
      </c>
      <c r="Q642" t="s">
        <v>30</v>
      </c>
    </row>
    <row r="643" spans="1:17" x14ac:dyDescent="0.25">
      <c r="A643" t="s">
        <v>2264</v>
      </c>
      <c r="B643">
        <v>128390</v>
      </c>
      <c r="C643" t="s">
        <v>142</v>
      </c>
      <c r="D643" t="s">
        <v>32</v>
      </c>
      <c r="E643" t="s">
        <v>62</v>
      </c>
      <c r="F643" t="s">
        <v>685</v>
      </c>
      <c r="G643" t="s">
        <v>2265</v>
      </c>
      <c r="H643" t="s">
        <v>2266</v>
      </c>
      <c r="I643" t="s">
        <v>2267</v>
      </c>
      <c r="J643">
        <v>2</v>
      </c>
      <c r="K643" t="s">
        <v>25</v>
      </c>
      <c r="L643" t="s">
        <v>1868</v>
      </c>
      <c r="M643" t="s">
        <v>688</v>
      </c>
      <c r="N643" t="s">
        <v>45</v>
      </c>
      <c r="O643" t="s">
        <v>213</v>
      </c>
      <c r="P643" t="s">
        <v>29</v>
      </c>
      <c r="Q643" t="s">
        <v>30</v>
      </c>
    </row>
    <row r="644" spans="1:17" x14ac:dyDescent="0.25">
      <c r="A644" t="s">
        <v>2268</v>
      </c>
      <c r="B644">
        <v>98603</v>
      </c>
      <c r="C644" t="s">
        <v>108</v>
      </c>
      <c r="D644" t="s">
        <v>32</v>
      </c>
      <c r="E644" t="s">
        <v>33</v>
      </c>
      <c r="F644" t="s">
        <v>109</v>
      </c>
      <c r="G644" t="s">
        <v>394</v>
      </c>
      <c r="H644" t="s">
        <v>2269</v>
      </c>
      <c r="I644" t="s">
        <v>2270</v>
      </c>
      <c r="J644">
        <v>2</v>
      </c>
      <c r="K644" t="s">
        <v>112</v>
      </c>
      <c r="L644" t="s">
        <v>2120</v>
      </c>
      <c r="M644" t="s">
        <v>811</v>
      </c>
      <c r="N644" t="s">
        <v>493</v>
      </c>
      <c r="O644" t="s">
        <v>290</v>
      </c>
      <c r="P644" t="s">
        <v>29</v>
      </c>
      <c r="Q644" t="s">
        <v>30</v>
      </c>
    </row>
    <row r="645" spans="1:17" x14ac:dyDescent="0.25">
      <c r="A645" t="s">
        <v>2271</v>
      </c>
      <c r="B645">
        <v>129660</v>
      </c>
      <c r="C645" t="s">
        <v>74</v>
      </c>
      <c r="D645" t="s">
        <v>19</v>
      </c>
      <c r="E645" t="s">
        <v>33</v>
      </c>
      <c r="F645" t="s">
        <v>484</v>
      </c>
      <c r="G645" t="s">
        <v>22</v>
      </c>
      <c r="H645" t="s">
        <v>2272</v>
      </c>
      <c r="I645" t="s">
        <v>2273</v>
      </c>
      <c r="J645">
        <v>2</v>
      </c>
      <c r="K645" t="s">
        <v>25</v>
      </c>
      <c r="L645" t="s">
        <v>37</v>
      </c>
      <c r="M645" t="s">
        <v>166</v>
      </c>
      <c r="N645" t="s">
        <v>493</v>
      </c>
      <c r="O645" t="s">
        <v>620</v>
      </c>
      <c r="P645" t="s">
        <v>29</v>
      </c>
      <c r="Q645" t="s">
        <v>30</v>
      </c>
    </row>
    <row r="646" spans="1:17" x14ac:dyDescent="0.25">
      <c r="A646" t="s">
        <v>2274</v>
      </c>
      <c r="B646">
        <v>129696</v>
      </c>
      <c r="C646" t="s">
        <v>281</v>
      </c>
      <c r="D646" t="s">
        <v>19</v>
      </c>
      <c r="E646" t="s">
        <v>20</v>
      </c>
      <c r="F646" t="s">
        <v>428</v>
      </c>
      <c r="G646" t="s">
        <v>22</v>
      </c>
      <c r="H646" t="s">
        <v>2275</v>
      </c>
      <c r="I646" t="s">
        <v>2276</v>
      </c>
      <c r="J646">
        <v>2</v>
      </c>
      <c r="K646" t="s">
        <v>397</v>
      </c>
      <c r="L646" t="s">
        <v>213</v>
      </c>
      <c r="M646" t="s">
        <v>1009</v>
      </c>
      <c r="N646" t="s">
        <v>493</v>
      </c>
      <c r="O646" t="s">
        <v>591</v>
      </c>
      <c r="P646" t="s">
        <v>29</v>
      </c>
      <c r="Q646" t="s">
        <v>30</v>
      </c>
    </row>
    <row r="647" spans="1:17" x14ac:dyDescent="0.25">
      <c r="A647" t="s">
        <v>2277</v>
      </c>
      <c r="B647">
        <v>239</v>
      </c>
      <c r="C647" t="s">
        <v>1041</v>
      </c>
      <c r="D647" t="s">
        <v>32</v>
      </c>
      <c r="E647" t="s">
        <v>33</v>
      </c>
      <c r="F647" t="s">
        <v>700</v>
      </c>
      <c r="G647" t="s">
        <v>22</v>
      </c>
      <c r="H647" t="s">
        <v>2278</v>
      </c>
      <c r="I647" t="s">
        <v>2279</v>
      </c>
      <c r="J647">
        <v>2</v>
      </c>
      <c r="K647" t="s">
        <v>25</v>
      </c>
      <c r="L647" t="s">
        <v>288</v>
      </c>
      <c r="M647" t="s">
        <v>1285</v>
      </c>
      <c r="N647" t="s">
        <v>493</v>
      </c>
      <c r="O647" t="s">
        <v>761</v>
      </c>
      <c r="P647" t="s">
        <v>29</v>
      </c>
      <c r="Q647" t="s">
        <v>30</v>
      </c>
    </row>
    <row r="648" spans="1:17" x14ac:dyDescent="0.25">
      <c r="A648" t="s">
        <v>2280</v>
      </c>
      <c r="B648">
        <v>129777</v>
      </c>
      <c r="C648" t="s">
        <v>788</v>
      </c>
      <c r="D648" t="s">
        <v>32</v>
      </c>
      <c r="E648" t="s">
        <v>33</v>
      </c>
      <c r="F648" t="s">
        <v>685</v>
      </c>
      <c r="G648" t="s">
        <v>394</v>
      </c>
      <c r="H648" t="s">
        <v>2281</v>
      </c>
      <c r="I648" t="s">
        <v>2282</v>
      </c>
      <c r="J648">
        <v>2</v>
      </c>
      <c r="K648" t="s">
        <v>112</v>
      </c>
      <c r="L648" t="s">
        <v>661</v>
      </c>
      <c r="M648" t="s">
        <v>1013</v>
      </c>
      <c r="N648" t="s">
        <v>493</v>
      </c>
      <c r="O648" t="s">
        <v>548</v>
      </c>
      <c r="P648" t="s">
        <v>29</v>
      </c>
      <c r="Q648" t="s">
        <v>30</v>
      </c>
    </row>
    <row r="649" spans="1:17" x14ac:dyDescent="0.25">
      <c r="A649" t="s">
        <v>2283</v>
      </c>
      <c r="B649">
        <v>129706</v>
      </c>
      <c r="C649" t="s">
        <v>296</v>
      </c>
      <c r="D649" t="s">
        <v>19</v>
      </c>
      <c r="E649" t="s">
        <v>130</v>
      </c>
      <c r="F649" t="s">
        <v>484</v>
      </c>
      <c r="G649" t="s">
        <v>22</v>
      </c>
      <c r="H649" t="s">
        <v>2284</v>
      </c>
      <c r="I649" t="s">
        <v>2285</v>
      </c>
      <c r="J649">
        <v>2</v>
      </c>
      <c r="K649" t="s">
        <v>25</v>
      </c>
      <c r="L649" t="s">
        <v>477</v>
      </c>
      <c r="M649" t="s">
        <v>867</v>
      </c>
      <c r="N649" t="s">
        <v>45</v>
      </c>
      <c r="O649" t="s">
        <v>620</v>
      </c>
      <c r="P649" t="s">
        <v>29</v>
      </c>
      <c r="Q649" t="s">
        <v>30</v>
      </c>
    </row>
    <row r="650" spans="1:17" x14ac:dyDescent="0.25">
      <c r="A650" t="s">
        <v>2286</v>
      </c>
      <c r="B650">
        <v>129780</v>
      </c>
      <c r="C650" t="s">
        <v>175</v>
      </c>
      <c r="D650" t="s">
        <v>32</v>
      </c>
      <c r="E650" t="s">
        <v>33</v>
      </c>
      <c r="F650" t="s">
        <v>109</v>
      </c>
      <c r="G650" t="s">
        <v>22</v>
      </c>
      <c r="H650" t="s">
        <v>2287</v>
      </c>
      <c r="I650" t="s">
        <v>2288</v>
      </c>
      <c r="J650">
        <v>2</v>
      </c>
      <c r="K650" t="s">
        <v>25</v>
      </c>
      <c r="L650" t="s">
        <v>356</v>
      </c>
      <c r="M650" t="s">
        <v>536</v>
      </c>
      <c r="N650" t="s">
        <v>45</v>
      </c>
      <c r="O650" t="s">
        <v>290</v>
      </c>
      <c r="P650" t="s">
        <v>29</v>
      </c>
      <c r="Q650" t="s">
        <v>30</v>
      </c>
    </row>
    <row r="651" spans="1:17" x14ac:dyDescent="0.25">
      <c r="A651" t="s">
        <v>2289</v>
      </c>
      <c r="B651">
        <v>129826</v>
      </c>
      <c r="C651" t="s">
        <v>450</v>
      </c>
      <c r="D651" t="s">
        <v>19</v>
      </c>
      <c r="E651" t="s">
        <v>62</v>
      </c>
      <c r="F651" t="s">
        <v>484</v>
      </c>
      <c r="G651" t="s">
        <v>22</v>
      </c>
      <c r="H651" t="s">
        <v>2290</v>
      </c>
      <c r="I651" t="s">
        <v>2291</v>
      </c>
      <c r="J651">
        <v>2</v>
      </c>
      <c r="K651" t="s">
        <v>25</v>
      </c>
      <c r="L651" t="s">
        <v>37</v>
      </c>
      <c r="M651" t="s">
        <v>1497</v>
      </c>
      <c r="N651" t="s">
        <v>45</v>
      </c>
      <c r="O651" t="s">
        <v>620</v>
      </c>
      <c r="P651" t="s">
        <v>29</v>
      </c>
      <c r="Q651" t="s">
        <v>30</v>
      </c>
    </row>
    <row r="652" spans="1:17" x14ac:dyDescent="0.25">
      <c r="A652" t="s">
        <v>2292</v>
      </c>
      <c r="B652">
        <v>129896</v>
      </c>
      <c r="C652" t="s">
        <v>374</v>
      </c>
      <c r="D652" t="s">
        <v>32</v>
      </c>
      <c r="E652" t="s">
        <v>33</v>
      </c>
      <c r="F652" t="s">
        <v>40</v>
      </c>
      <c r="G652" t="s">
        <v>22</v>
      </c>
      <c r="H652" t="s">
        <v>2293</v>
      </c>
      <c r="I652" t="s">
        <v>2294</v>
      </c>
      <c r="J652">
        <v>2</v>
      </c>
      <c r="K652" t="s">
        <v>25</v>
      </c>
      <c r="L652" t="s">
        <v>46</v>
      </c>
      <c r="M652" t="s">
        <v>590</v>
      </c>
      <c r="N652" t="s">
        <v>45</v>
      </c>
      <c r="O652" t="s">
        <v>683</v>
      </c>
      <c r="P652" t="s">
        <v>29</v>
      </c>
      <c r="Q652" t="s">
        <v>30</v>
      </c>
    </row>
    <row r="653" spans="1:17" x14ac:dyDescent="0.25">
      <c r="A653" t="s">
        <v>2295</v>
      </c>
      <c r="B653">
        <v>129943</v>
      </c>
      <c r="C653" t="s">
        <v>39</v>
      </c>
      <c r="D653" t="s">
        <v>32</v>
      </c>
      <c r="E653" t="s">
        <v>62</v>
      </c>
      <c r="F653" t="s">
        <v>40</v>
      </c>
      <c r="G653" t="s">
        <v>22</v>
      </c>
      <c r="H653" t="s">
        <v>2296</v>
      </c>
      <c r="I653" t="s">
        <v>2297</v>
      </c>
      <c r="J653">
        <v>2</v>
      </c>
      <c r="K653" t="s">
        <v>25</v>
      </c>
      <c r="L653" t="s">
        <v>46</v>
      </c>
      <c r="M653" t="s">
        <v>2298</v>
      </c>
      <c r="N653" t="s">
        <v>45</v>
      </c>
      <c r="O653" t="s">
        <v>612</v>
      </c>
      <c r="P653" t="s">
        <v>29</v>
      </c>
      <c r="Q653" t="s">
        <v>30</v>
      </c>
    </row>
    <row r="654" spans="1:17" x14ac:dyDescent="0.25">
      <c r="A654" t="s">
        <v>2299</v>
      </c>
      <c r="B654">
        <v>129944</v>
      </c>
      <c r="C654" t="s">
        <v>713</v>
      </c>
      <c r="D654" t="s">
        <v>32</v>
      </c>
      <c r="E654" t="s">
        <v>33</v>
      </c>
      <c r="F654" t="s">
        <v>700</v>
      </c>
      <c r="G654" t="s">
        <v>22</v>
      </c>
      <c r="H654" t="s">
        <v>2300</v>
      </c>
      <c r="I654" t="s">
        <v>2301</v>
      </c>
      <c r="J654">
        <v>2</v>
      </c>
      <c r="K654" t="s">
        <v>25</v>
      </c>
      <c r="L654" t="s">
        <v>661</v>
      </c>
      <c r="M654" t="s">
        <v>1285</v>
      </c>
      <c r="N654" t="s">
        <v>45</v>
      </c>
      <c r="O654" t="s">
        <v>761</v>
      </c>
      <c r="P654" t="s">
        <v>29</v>
      </c>
      <c r="Q654" t="s">
        <v>30</v>
      </c>
    </row>
    <row r="655" spans="1:17" x14ac:dyDescent="0.25">
      <c r="A655" t="s">
        <v>2302</v>
      </c>
      <c r="B655">
        <v>38653</v>
      </c>
      <c r="C655" t="s">
        <v>215</v>
      </c>
      <c r="D655" t="s">
        <v>32</v>
      </c>
      <c r="E655" t="s">
        <v>227</v>
      </c>
      <c r="F655" t="s">
        <v>40</v>
      </c>
      <c r="G655" t="s">
        <v>22</v>
      </c>
      <c r="H655" t="s">
        <v>2303</v>
      </c>
      <c r="I655" t="s">
        <v>2304</v>
      </c>
      <c r="J655">
        <v>2</v>
      </c>
      <c r="K655" t="s">
        <v>25</v>
      </c>
      <c r="L655" t="s">
        <v>1281</v>
      </c>
      <c r="M655" t="s">
        <v>590</v>
      </c>
      <c r="N655" t="s">
        <v>45</v>
      </c>
      <c r="O655" t="s">
        <v>46</v>
      </c>
      <c r="P655" t="s">
        <v>29</v>
      </c>
      <c r="Q655" t="s">
        <v>30</v>
      </c>
    </row>
    <row r="656" spans="1:17" x14ac:dyDescent="0.25">
      <c r="A656" t="s">
        <v>2305</v>
      </c>
      <c r="B656">
        <v>129959</v>
      </c>
      <c r="C656" t="s">
        <v>713</v>
      </c>
      <c r="D656" t="s">
        <v>19</v>
      </c>
      <c r="E656" t="s">
        <v>33</v>
      </c>
      <c r="F656" t="s">
        <v>428</v>
      </c>
      <c r="G656" t="s">
        <v>22</v>
      </c>
      <c r="H656" t="s">
        <v>2306</v>
      </c>
      <c r="I656" t="s">
        <v>2307</v>
      </c>
      <c r="J656">
        <v>2</v>
      </c>
      <c r="K656" t="s">
        <v>112</v>
      </c>
      <c r="L656" t="s">
        <v>213</v>
      </c>
      <c r="M656" t="s">
        <v>910</v>
      </c>
      <c r="N656" t="s">
        <v>45</v>
      </c>
      <c r="O656" t="s">
        <v>591</v>
      </c>
      <c r="P656" t="s">
        <v>29</v>
      </c>
      <c r="Q656" t="s">
        <v>30</v>
      </c>
    </row>
    <row r="657" spans="1:17" x14ac:dyDescent="0.25">
      <c r="A657" t="s">
        <v>2308</v>
      </c>
      <c r="B657">
        <v>126753</v>
      </c>
      <c r="C657" t="s">
        <v>474</v>
      </c>
      <c r="D657" t="s">
        <v>32</v>
      </c>
      <c r="E657" t="s">
        <v>33</v>
      </c>
      <c r="F657" t="s">
        <v>700</v>
      </c>
      <c r="G657" t="s">
        <v>22</v>
      </c>
      <c r="H657" t="s">
        <v>2309</v>
      </c>
      <c r="I657" t="s">
        <v>2310</v>
      </c>
      <c r="J657">
        <v>1</v>
      </c>
      <c r="K657" t="s">
        <v>25</v>
      </c>
      <c r="L657" t="s">
        <v>590</v>
      </c>
      <c r="M657" t="s">
        <v>807</v>
      </c>
      <c r="N657" t="s">
        <v>493</v>
      </c>
      <c r="O657" t="s">
        <v>591</v>
      </c>
      <c r="P657" t="s">
        <v>29</v>
      </c>
      <c r="Q657" t="s">
        <v>30</v>
      </c>
    </row>
    <row r="658" spans="1:17" x14ac:dyDescent="0.25">
      <c r="A658" t="s">
        <v>2311</v>
      </c>
      <c r="B658">
        <v>126777</v>
      </c>
      <c r="C658" t="s">
        <v>39</v>
      </c>
      <c r="D658" t="s">
        <v>32</v>
      </c>
      <c r="E658" t="s">
        <v>33</v>
      </c>
      <c r="F658" t="s">
        <v>40</v>
      </c>
      <c r="G658" t="s">
        <v>22</v>
      </c>
      <c r="H658" t="s">
        <v>2312</v>
      </c>
      <c r="I658" t="s">
        <v>2313</v>
      </c>
      <c r="J658">
        <v>1</v>
      </c>
      <c r="K658" t="s">
        <v>25</v>
      </c>
      <c r="L658" t="s">
        <v>290</v>
      </c>
      <c r="M658" t="s">
        <v>89</v>
      </c>
      <c r="N658" t="s">
        <v>493</v>
      </c>
      <c r="O658" t="s">
        <v>290</v>
      </c>
      <c r="P658" t="s">
        <v>29</v>
      </c>
      <c r="Q658" t="s">
        <v>30</v>
      </c>
    </row>
    <row r="659" spans="1:17" x14ac:dyDescent="0.25">
      <c r="A659" t="s">
        <v>2314</v>
      </c>
      <c r="B659">
        <v>126782</v>
      </c>
      <c r="C659" t="s">
        <v>151</v>
      </c>
      <c r="D659" t="s">
        <v>32</v>
      </c>
      <c r="E659" t="s">
        <v>33</v>
      </c>
      <c r="F659" t="s">
        <v>123</v>
      </c>
      <c r="G659" t="s">
        <v>22</v>
      </c>
      <c r="H659" t="s">
        <v>2315</v>
      </c>
      <c r="I659" t="s">
        <v>2316</v>
      </c>
      <c r="J659">
        <v>1</v>
      </c>
      <c r="K659" t="s">
        <v>112</v>
      </c>
      <c r="L659" t="s">
        <v>1136</v>
      </c>
      <c r="M659" t="s">
        <v>219</v>
      </c>
      <c r="N659" t="s">
        <v>493</v>
      </c>
      <c r="O659" t="s">
        <v>59</v>
      </c>
      <c r="P659" t="s">
        <v>29</v>
      </c>
      <c r="Q659" t="s">
        <v>30</v>
      </c>
    </row>
    <row r="660" spans="1:17" x14ac:dyDescent="0.25">
      <c r="A660" t="s">
        <v>2317</v>
      </c>
      <c r="B660">
        <v>126857</v>
      </c>
      <c r="C660" t="s">
        <v>2229</v>
      </c>
      <c r="D660" t="s">
        <v>32</v>
      </c>
      <c r="E660" t="s">
        <v>33</v>
      </c>
      <c r="F660" t="s">
        <v>700</v>
      </c>
      <c r="G660" t="s">
        <v>22</v>
      </c>
      <c r="H660" t="s">
        <v>2318</v>
      </c>
      <c r="I660" t="s">
        <v>2319</v>
      </c>
      <c r="J660">
        <v>1</v>
      </c>
      <c r="K660" t="s">
        <v>25</v>
      </c>
      <c r="L660" t="s">
        <v>37</v>
      </c>
      <c r="M660" t="s">
        <v>36</v>
      </c>
      <c r="N660" t="s">
        <v>493</v>
      </c>
      <c r="O660" t="s">
        <v>591</v>
      </c>
      <c r="P660" t="s">
        <v>29</v>
      </c>
      <c r="Q660" t="s">
        <v>30</v>
      </c>
    </row>
    <row r="661" spans="1:17" x14ac:dyDescent="0.25">
      <c r="A661" t="s">
        <v>2320</v>
      </c>
      <c r="B661">
        <v>126856</v>
      </c>
      <c r="C661" t="s">
        <v>601</v>
      </c>
      <c r="D661" t="s">
        <v>32</v>
      </c>
      <c r="E661" t="s">
        <v>260</v>
      </c>
      <c r="F661" t="s">
        <v>40</v>
      </c>
      <c r="G661" t="s">
        <v>22</v>
      </c>
      <c r="H661" t="s">
        <v>2321</v>
      </c>
      <c r="I661" t="s">
        <v>2322</v>
      </c>
      <c r="J661">
        <v>1</v>
      </c>
      <c r="K661" t="s">
        <v>25</v>
      </c>
      <c r="L661" t="s">
        <v>290</v>
      </c>
      <c r="M661" t="s">
        <v>89</v>
      </c>
      <c r="N661" t="s">
        <v>493</v>
      </c>
      <c r="O661" t="s">
        <v>290</v>
      </c>
      <c r="P661" t="s">
        <v>29</v>
      </c>
      <c r="Q661" t="s">
        <v>30</v>
      </c>
    </row>
    <row r="662" spans="1:17" x14ac:dyDescent="0.25">
      <c r="A662" t="s">
        <v>2323</v>
      </c>
      <c r="B662">
        <v>126859</v>
      </c>
      <c r="C662" t="s">
        <v>201</v>
      </c>
      <c r="D662" t="s">
        <v>19</v>
      </c>
      <c r="E662" t="s">
        <v>33</v>
      </c>
      <c r="F662" t="s">
        <v>484</v>
      </c>
      <c r="G662" t="s">
        <v>22</v>
      </c>
      <c r="H662" t="s">
        <v>2324</v>
      </c>
      <c r="I662" t="s">
        <v>2325</v>
      </c>
      <c r="J662">
        <v>1</v>
      </c>
      <c r="K662" t="s">
        <v>25</v>
      </c>
      <c r="L662" t="s">
        <v>213</v>
      </c>
      <c r="M662" t="s">
        <v>544</v>
      </c>
      <c r="N662" t="s">
        <v>493</v>
      </c>
      <c r="O662" t="s">
        <v>145</v>
      </c>
      <c r="P662" t="s">
        <v>29</v>
      </c>
      <c r="Q662" t="s">
        <v>30</v>
      </c>
    </row>
    <row r="663" spans="1:17" x14ac:dyDescent="0.25">
      <c r="A663" t="s">
        <v>2326</v>
      </c>
      <c r="B663">
        <v>126867</v>
      </c>
      <c r="C663" t="s">
        <v>634</v>
      </c>
      <c r="D663" t="s">
        <v>19</v>
      </c>
      <c r="E663" t="s">
        <v>33</v>
      </c>
      <c r="F663" t="s">
        <v>21</v>
      </c>
      <c r="G663" t="s">
        <v>22</v>
      </c>
      <c r="H663" t="s">
        <v>2327</v>
      </c>
      <c r="I663" t="s">
        <v>2328</v>
      </c>
      <c r="J663">
        <v>1</v>
      </c>
      <c r="K663" t="s">
        <v>25</v>
      </c>
      <c r="L663" t="s">
        <v>77</v>
      </c>
      <c r="M663" t="s">
        <v>387</v>
      </c>
      <c r="N663" t="s">
        <v>493</v>
      </c>
      <c r="O663" t="s">
        <v>77</v>
      </c>
      <c r="P663" t="s">
        <v>29</v>
      </c>
      <c r="Q663" t="s">
        <v>30</v>
      </c>
    </row>
    <row r="664" spans="1:17" x14ac:dyDescent="0.25">
      <c r="A664" t="s">
        <v>2329</v>
      </c>
      <c r="B664">
        <v>126881</v>
      </c>
      <c r="C664" t="s">
        <v>884</v>
      </c>
      <c r="D664" t="s">
        <v>32</v>
      </c>
      <c r="E664" t="s">
        <v>33</v>
      </c>
      <c r="F664" t="s">
        <v>700</v>
      </c>
      <c r="G664" t="s">
        <v>22</v>
      </c>
      <c r="H664" t="s">
        <v>2330</v>
      </c>
      <c r="I664" t="s">
        <v>2331</v>
      </c>
      <c r="J664">
        <v>1</v>
      </c>
      <c r="K664" t="s">
        <v>25</v>
      </c>
      <c r="L664" t="s">
        <v>761</v>
      </c>
      <c r="M664" t="s">
        <v>1017</v>
      </c>
      <c r="N664" t="s">
        <v>493</v>
      </c>
      <c r="O664" t="s">
        <v>591</v>
      </c>
      <c r="P664" t="s">
        <v>29</v>
      </c>
      <c r="Q664" t="s">
        <v>30</v>
      </c>
    </row>
    <row r="665" spans="1:17" x14ac:dyDescent="0.25">
      <c r="A665" t="s">
        <v>2332</v>
      </c>
      <c r="B665">
        <v>126926</v>
      </c>
      <c r="C665" t="s">
        <v>147</v>
      </c>
      <c r="D665" t="s">
        <v>32</v>
      </c>
      <c r="E665" t="s">
        <v>62</v>
      </c>
      <c r="F665" t="s">
        <v>123</v>
      </c>
      <c r="G665" t="s">
        <v>22</v>
      </c>
      <c r="H665" t="s">
        <v>2333</v>
      </c>
      <c r="I665" t="s">
        <v>2334</v>
      </c>
      <c r="J665">
        <v>1</v>
      </c>
      <c r="K665" t="s">
        <v>25</v>
      </c>
      <c r="L665" t="s">
        <v>590</v>
      </c>
      <c r="M665" t="s">
        <v>304</v>
      </c>
      <c r="N665" t="s">
        <v>493</v>
      </c>
      <c r="O665" t="s">
        <v>77</v>
      </c>
      <c r="P665" t="s">
        <v>29</v>
      </c>
      <c r="Q665" t="s">
        <v>30</v>
      </c>
    </row>
    <row r="666" spans="1:17" x14ac:dyDescent="0.25">
      <c r="A666" t="s">
        <v>2335</v>
      </c>
      <c r="B666">
        <v>126967</v>
      </c>
      <c r="C666" t="s">
        <v>108</v>
      </c>
      <c r="D666" t="s">
        <v>19</v>
      </c>
      <c r="E666" t="s">
        <v>33</v>
      </c>
      <c r="F666" t="s">
        <v>109</v>
      </c>
      <c r="G666" t="s">
        <v>394</v>
      </c>
      <c r="H666" t="s">
        <v>2336</v>
      </c>
      <c r="I666" t="s">
        <v>2337</v>
      </c>
      <c r="J666">
        <v>1</v>
      </c>
      <c r="K666" t="s">
        <v>25</v>
      </c>
      <c r="L666" t="s">
        <v>126</v>
      </c>
      <c r="M666" t="s">
        <v>906</v>
      </c>
      <c r="N666" t="s">
        <v>45</v>
      </c>
      <c r="O666" t="s">
        <v>661</v>
      </c>
      <c r="P666" t="s">
        <v>29</v>
      </c>
      <c r="Q666" t="s">
        <v>30</v>
      </c>
    </row>
    <row r="667" spans="1:17" x14ac:dyDescent="0.25">
      <c r="A667" t="s">
        <v>2338</v>
      </c>
      <c r="B667">
        <v>126998</v>
      </c>
      <c r="C667" t="s">
        <v>718</v>
      </c>
      <c r="D667" t="s">
        <v>32</v>
      </c>
      <c r="E667" t="s">
        <v>130</v>
      </c>
      <c r="F667" t="s">
        <v>700</v>
      </c>
      <c r="G667" t="s">
        <v>394</v>
      </c>
      <c r="H667" t="s">
        <v>2339</v>
      </c>
      <c r="I667" t="s">
        <v>2340</v>
      </c>
      <c r="J667">
        <v>1</v>
      </c>
      <c r="K667" t="s">
        <v>211</v>
      </c>
      <c r="L667" t="s">
        <v>716</v>
      </c>
      <c r="M667" t="s">
        <v>36</v>
      </c>
      <c r="N667" t="s">
        <v>45</v>
      </c>
      <c r="O667" t="s">
        <v>591</v>
      </c>
      <c r="P667" t="s">
        <v>29</v>
      </c>
      <c r="Q667" t="s">
        <v>30</v>
      </c>
    </row>
    <row r="668" spans="1:17" x14ac:dyDescent="0.25">
      <c r="A668" t="s">
        <v>2341</v>
      </c>
      <c r="B668">
        <v>127018</v>
      </c>
      <c r="C668" t="s">
        <v>285</v>
      </c>
      <c r="D668" t="s">
        <v>32</v>
      </c>
      <c r="E668" t="s">
        <v>62</v>
      </c>
      <c r="F668" t="s">
        <v>123</v>
      </c>
      <c r="G668" t="s">
        <v>22</v>
      </c>
      <c r="H668" t="s">
        <v>2342</v>
      </c>
      <c r="I668" t="s">
        <v>2343</v>
      </c>
      <c r="J668">
        <v>1</v>
      </c>
      <c r="K668" t="s">
        <v>25</v>
      </c>
      <c r="L668" t="s">
        <v>290</v>
      </c>
      <c r="M668" t="s">
        <v>89</v>
      </c>
      <c r="N668" t="s">
        <v>45</v>
      </c>
      <c r="O668" t="s">
        <v>290</v>
      </c>
      <c r="P668" t="s">
        <v>29</v>
      </c>
      <c r="Q668" t="s">
        <v>30</v>
      </c>
    </row>
    <row r="669" spans="1:17" x14ac:dyDescent="0.25">
      <c r="A669" t="s">
        <v>2344</v>
      </c>
      <c r="B669">
        <v>126898</v>
      </c>
      <c r="C669" t="s">
        <v>80</v>
      </c>
      <c r="D669" t="s">
        <v>32</v>
      </c>
      <c r="E669" t="s">
        <v>33</v>
      </c>
      <c r="F669" t="s">
        <v>40</v>
      </c>
      <c r="G669" t="s">
        <v>22</v>
      </c>
      <c r="H669" t="s">
        <v>2345</v>
      </c>
      <c r="I669" t="s">
        <v>2346</v>
      </c>
      <c r="J669">
        <v>1</v>
      </c>
      <c r="K669" t="s">
        <v>25</v>
      </c>
      <c r="L669" t="s">
        <v>290</v>
      </c>
      <c r="M669" t="s">
        <v>89</v>
      </c>
      <c r="N669" t="s">
        <v>45</v>
      </c>
      <c r="O669" t="s">
        <v>290</v>
      </c>
      <c r="P669" t="s">
        <v>29</v>
      </c>
      <c r="Q669" t="s">
        <v>30</v>
      </c>
    </row>
    <row r="670" spans="1:17" x14ac:dyDescent="0.25">
      <c r="A670" t="s">
        <v>2347</v>
      </c>
      <c r="B670">
        <v>41751</v>
      </c>
      <c r="C670" t="s">
        <v>310</v>
      </c>
      <c r="D670" t="s">
        <v>19</v>
      </c>
      <c r="E670" t="s">
        <v>227</v>
      </c>
      <c r="F670" t="s">
        <v>685</v>
      </c>
      <c r="G670" t="s">
        <v>394</v>
      </c>
      <c r="H670" t="s">
        <v>2348</v>
      </c>
      <c r="I670" t="s">
        <v>2349</v>
      </c>
      <c r="J670">
        <v>1</v>
      </c>
      <c r="K670" t="s">
        <v>25</v>
      </c>
      <c r="L670" t="s">
        <v>2120</v>
      </c>
      <c r="M670" t="s">
        <v>776</v>
      </c>
      <c r="N670" t="s">
        <v>45</v>
      </c>
      <c r="O670" t="s">
        <v>683</v>
      </c>
      <c r="P670" t="s">
        <v>29</v>
      </c>
      <c r="Q670" t="s">
        <v>30</v>
      </c>
    </row>
    <row r="671" spans="1:17" x14ac:dyDescent="0.25">
      <c r="A671" t="s">
        <v>2350</v>
      </c>
      <c r="B671">
        <v>76402</v>
      </c>
      <c r="C671" t="s">
        <v>18</v>
      </c>
      <c r="D671" t="s">
        <v>19</v>
      </c>
      <c r="E671" t="s">
        <v>33</v>
      </c>
      <c r="F671" t="s">
        <v>109</v>
      </c>
      <c r="G671" t="s">
        <v>394</v>
      </c>
      <c r="H671" t="s">
        <v>2351</v>
      </c>
      <c r="I671" t="s">
        <v>2352</v>
      </c>
      <c r="J671">
        <v>1</v>
      </c>
      <c r="K671" t="s">
        <v>25</v>
      </c>
      <c r="L671" t="s">
        <v>356</v>
      </c>
      <c r="M671" t="s">
        <v>962</v>
      </c>
      <c r="N671" t="s">
        <v>45</v>
      </c>
      <c r="O671" t="s">
        <v>661</v>
      </c>
      <c r="P671" t="s">
        <v>29</v>
      </c>
      <c r="Q671" t="s">
        <v>30</v>
      </c>
    </row>
    <row r="672" spans="1:17" x14ac:dyDescent="0.25">
      <c r="A672" t="s">
        <v>2353</v>
      </c>
      <c r="B672">
        <v>127087</v>
      </c>
      <c r="C672" t="s">
        <v>151</v>
      </c>
      <c r="D672" t="s">
        <v>32</v>
      </c>
      <c r="E672" t="s">
        <v>33</v>
      </c>
      <c r="F672" t="s">
        <v>40</v>
      </c>
      <c r="G672" t="s">
        <v>22</v>
      </c>
      <c r="H672" t="s">
        <v>2354</v>
      </c>
      <c r="I672" t="s">
        <v>2355</v>
      </c>
      <c r="J672">
        <v>1</v>
      </c>
      <c r="K672" t="s">
        <v>25</v>
      </c>
      <c r="L672" t="s">
        <v>290</v>
      </c>
      <c r="M672" t="s">
        <v>89</v>
      </c>
      <c r="N672" t="s">
        <v>493</v>
      </c>
      <c r="O672" t="s">
        <v>290</v>
      </c>
      <c r="P672" t="s">
        <v>29</v>
      </c>
      <c r="Q672" t="s">
        <v>30</v>
      </c>
    </row>
    <row r="673" spans="1:17" x14ac:dyDescent="0.25">
      <c r="A673" t="s">
        <v>2356</v>
      </c>
      <c r="B673">
        <v>113670</v>
      </c>
      <c r="C673" t="s">
        <v>296</v>
      </c>
      <c r="D673" t="s">
        <v>32</v>
      </c>
      <c r="E673" t="s">
        <v>33</v>
      </c>
      <c r="F673" t="s">
        <v>40</v>
      </c>
      <c r="G673" t="s">
        <v>22</v>
      </c>
      <c r="H673" t="s">
        <v>2357</v>
      </c>
      <c r="I673" t="s">
        <v>2358</v>
      </c>
      <c r="J673">
        <v>1</v>
      </c>
      <c r="K673" t="s">
        <v>25</v>
      </c>
      <c r="L673" t="s">
        <v>199</v>
      </c>
      <c r="M673" t="s">
        <v>89</v>
      </c>
      <c r="N673" t="s">
        <v>493</v>
      </c>
      <c r="O673" t="s">
        <v>620</v>
      </c>
      <c r="P673" t="s">
        <v>29</v>
      </c>
      <c r="Q673" t="s">
        <v>30</v>
      </c>
    </row>
    <row r="674" spans="1:17" x14ac:dyDescent="0.25">
      <c r="A674" t="s">
        <v>2359</v>
      </c>
      <c r="B674">
        <v>127137</v>
      </c>
      <c r="C674" t="s">
        <v>622</v>
      </c>
      <c r="D674" t="s">
        <v>19</v>
      </c>
      <c r="E674" t="s">
        <v>33</v>
      </c>
      <c r="F674" t="s">
        <v>21</v>
      </c>
      <c r="G674" t="s">
        <v>22</v>
      </c>
      <c r="H674" t="s">
        <v>2360</v>
      </c>
      <c r="I674" t="s">
        <v>2361</v>
      </c>
      <c r="J674">
        <v>1</v>
      </c>
      <c r="K674" t="s">
        <v>25</v>
      </c>
      <c r="L674" t="s">
        <v>356</v>
      </c>
      <c r="M674" t="s">
        <v>308</v>
      </c>
      <c r="N674" t="s">
        <v>493</v>
      </c>
      <c r="O674" t="s">
        <v>356</v>
      </c>
      <c r="P674" t="s">
        <v>29</v>
      </c>
      <c r="Q674" t="s">
        <v>30</v>
      </c>
    </row>
    <row r="675" spans="1:17" x14ac:dyDescent="0.25">
      <c r="A675" t="s">
        <v>2362</v>
      </c>
      <c r="B675">
        <v>100606</v>
      </c>
      <c r="C675" t="s">
        <v>601</v>
      </c>
      <c r="D675" t="s">
        <v>19</v>
      </c>
      <c r="E675" t="s">
        <v>33</v>
      </c>
      <c r="F675" t="s">
        <v>484</v>
      </c>
      <c r="G675" t="s">
        <v>22</v>
      </c>
      <c r="H675" t="s">
        <v>2363</v>
      </c>
      <c r="I675" t="s">
        <v>2364</v>
      </c>
      <c r="J675">
        <v>1</v>
      </c>
      <c r="K675" t="s">
        <v>25</v>
      </c>
      <c r="L675" t="s">
        <v>761</v>
      </c>
      <c r="M675" t="s">
        <v>487</v>
      </c>
      <c r="N675" t="s">
        <v>493</v>
      </c>
      <c r="O675" t="s">
        <v>145</v>
      </c>
      <c r="P675" t="s">
        <v>29</v>
      </c>
      <c r="Q675" t="s">
        <v>30</v>
      </c>
    </row>
    <row r="676" spans="1:17" x14ac:dyDescent="0.25">
      <c r="A676" t="s">
        <v>2365</v>
      </c>
      <c r="B676">
        <v>127174</v>
      </c>
      <c r="C676" t="s">
        <v>18</v>
      </c>
      <c r="D676" t="s">
        <v>19</v>
      </c>
      <c r="E676" t="s">
        <v>33</v>
      </c>
      <c r="F676" t="s">
        <v>109</v>
      </c>
      <c r="G676" t="s">
        <v>22</v>
      </c>
      <c r="H676" t="s">
        <v>2366</v>
      </c>
      <c r="I676" t="s">
        <v>2367</v>
      </c>
      <c r="J676">
        <v>1</v>
      </c>
      <c r="K676" t="s">
        <v>211</v>
      </c>
      <c r="L676" t="s">
        <v>612</v>
      </c>
      <c r="M676" t="s">
        <v>472</v>
      </c>
      <c r="N676" t="s">
        <v>493</v>
      </c>
      <c r="O676" t="s">
        <v>356</v>
      </c>
      <c r="P676" t="s">
        <v>29</v>
      </c>
      <c r="Q676" t="s">
        <v>30</v>
      </c>
    </row>
    <row r="677" spans="1:17" x14ac:dyDescent="0.25">
      <c r="A677" t="s">
        <v>1325</v>
      </c>
      <c r="B677">
        <v>126781</v>
      </c>
      <c r="C677" t="s">
        <v>39</v>
      </c>
      <c r="D677" t="s">
        <v>32</v>
      </c>
      <c r="E677" t="s">
        <v>33</v>
      </c>
      <c r="F677" t="s">
        <v>40</v>
      </c>
      <c r="G677" t="s">
        <v>22</v>
      </c>
      <c r="H677" t="s">
        <v>2368</v>
      </c>
      <c r="I677" t="s">
        <v>2369</v>
      </c>
      <c r="J677">
        <v>1</v>
      </c>
      <c r="K677" t="s">
        <v>25</v>
      </c>
      <c r="L677" t="s">
        <v>290</v>
      </c>
      <c r="M677" t="s">
        <v>89</v>
      </c>
      <c r="N677" t="s">
        <v>493</v>
      </c>
      <c r="O677" t="s">
        <v>620</v>
      </c>
      <c r="P677" t="s">
        <v>29</v>
      </c>
      <c r="Q677" t="s">
        <v>30</v>
      </c>
    </row>
    <row r="678" spans="1:17" x14ac:dyDescent="0.25">
      <c r="A678" t="s">
        <v>2370</v>
      </c>
      <c r="B678">
        <v>86567</v>
      </c>
      <c r="C678" t="s">
        <v>181</v>
      </c>
      <c r="D678" t="s">
        <v>32</v>
      </c>
      <c r="E678" t="s">
        <v>33</v>
      </c>
      <c r="F678" t="s">
        <v>109</v>
      </c>
      <c r="G678" t="s">
        <v>394</v>
      </c>
      <c r="H678" t="s">
        <v>2371</v>
      </c>
      <c r="I678" t="s">
        <v>2372</v>
      </c>
      <c r="J678">
        <v>1</v>
      </c>
      <c r="K678" t="s">
        <v>25</v>
      </c>
      <c r="L678" t="s">
        <v>612</v>
      </c>
      <c r="M678" t="s">
        <v>708</v>
      </c>
      <c r="N678" t="s">
        <v>493</v>
      </c>
      <c r="O678" t="s">
        <v>661</v>
      </c>
      <c r="P678" t="s">
        <v>29</v>
      </c>
      <c r="Q678" t="s">
        <v>30</v>
      </c>
    </row>
    <row r="679" spans="1:17" x14ac:dyDescent="0.25">
      <c r="A679" t="s">
        <v>2373</v>
      </c>
      <c r="B679">
        <v>84413</v>
      </c>
      <c r="C679" t="s">
        <v>454</v>
      </c>
      <c r="D679" t="s">
        <v>19</v>
      </c>
      <c r="E679" t="s">
        <v>33</v>
      </c>
      <c r="F679" t="s">
        <v>109</v>
      </c>
      <c r="G679" t="s">
        <v>394</v>
      </c>
      <c r="H679" t="s">
        <v>2374</v>
      </c>
      <c r="I679" t="s">
        <v>2375</v>
      </c>
      <c r="J679">
        <v>1</v>
      </c>
      <c r="K679" t="s">
        <v>25</v>
      </c>
      <c r="L679" t="s">
        <v>2376</v>
      </c>
      <c r="M679" t="s">
        <v>708</v>
      </c>
      <c r="N679" t="s">
        <v>493</v>
      </c>
      <c r="O679" t="s">
        <v>77</v>
      </c>
      <c r="P679" t="s">
        <v>29</v>
      </c>
      <c r="Q679" t="s">
        <v>30</v>
      </c>
    </row>
    <row r="680" spans="1:17" x14ac:dyDescent="0.25">
      <c r="A680" t="s">
        <v>2377</v>
      </c>
      <c r="B680">
        <v>3907</v>
      </c>
      <c r="C680" t="s">
        <v>315</v>
      </c>
      <c r="D680" t="s">
        <v>32</v>
      </c>
      <c r="E680" t="s">
        <v>754</v>
      </c>
      <c r="F680" t="s">
        <v>40</v>
      </c>
      <c r="G680" t="s">
        <v>22</v>
      </c>
      <c r="H680" t="s">
        <v>2378</v>
      </c>
      <c r="I680" t="s">
        <v>2379</v>
      </c>
      <c r="J680">
        <v>1</v>
      </c>
      <c r="K680" t="s">
        <v>25</v>
      </c>
      <c r="L680" t="s">
        <v>290</v>
      </c>
      <c r="M680" t="s">
        <v>89</v>
      </c>
      <c r="N680" t="s">
        <v>493</v>
      </c>
      <c r="O680" t="s">
        <v>620</v>
      </c>
      <c r="P680" t="s">
        <v>29</v>
      </c>
      <c r="Q680" t="s">
        <v>30</v>
      </c>
    </row>
    <row r="681" spans="1:17" x14ac:dyDescent="0.25">
      <c r="A681" t="s">
        <v>2380</v>
      </c>
      <c r="B681">
        <v>78462</v>
      </c>
      <c r="C681" t="s">
        <v>108</v>
      </c>
      <c r="D681" t="s">
        <v>32</v>
      </c>
      <c r="E681" t="s">
        <v>227</v>
      </c>
      <c r="F681" t="s">
        <v>393</v>
      </c>
      <c r="G681" t="s">
        <v>394</v>
      </c>
      <c r="H681" t="s">
        <v>2381</v>
      </c>
      <c r="I681" t="s">
        <v>2382</v>
      </c>
      <c r="J681">
        <v>1</v>
      </c>
      <c r="K681" t="s">
        <v>25</v>
      </c>
      <c r="L681" t="s">
        <v>866</v>
      </c>
      <c r="M681" t="s">
        <v>1646</v>
      </c>
      <c r="N681" t="s">
        <v>493</v>
      </c>
      <c r="O681" t="s">
        <v>590</v>
      </c>
      <c r="P681" t="s">
        <v>29</v>
      </c>
      <c r="Q681" t="s">
        <v>30</v>
      </c>
    </row>
    <row r="682" spans="1:17" x14ac:dyDescent="0.25">
      <c r="A682" t="s">
        <v>2383</v>
      </c>
      <c r="B682">
        <v>84292</v>
      </c>
      <c r="C682" t="s">
        <v>454</v>
      </c>
      <c r="D682" t="s">
        <v>32</v>
      </c>
      <c r="E682" t="s">
        <v>33</v>
      </c>
      <c r="F682" t="s">
        <v>393</v>
      </c>
      <c r="G682" t="s">
        <v>394</v>
      </c>
      <c r="H682" t="s">
        <v>2384</v>
      </c>
      <c r="I682" t="s">
        <v>2385</v>
      </c>
      <c r="J682">
        <v>1</v>
      </c>
      <c r="K682" t="s">
        <v>25</v>
      </c>
      <c r="L682" t="s">
        <v>866</v>
      </c>
      <c r="M682" t="s">
        <v>1646</v>
      </c>
      <c r="N682" t="s">
        <v>493</v>
      </c>
      <c r="O682" t="s">
        <v>590</v>
      </c>
      <c r="P682" t="s">
        <v>29</v>
      </c>
      <c r="Q682" t="s">
        <v>30</v>
      </c>
    </row>
    <row r="683" spans="1:17" x14ac:dyDescent="0.25">
      <c r="A683" t="s">
        <v>2386</v>
      </c>
      <c r="B683">
        <v>127223</v>
      </c>
      <c r="C683" t="s">
        <v>1138</v>
      </c>
      <c r="D683" t="s">
        <v>32</v>
      </c>
      <c r="E683" t="s">
        <v>33</v>
      </c>
      <c r="F683" t="s">
        <v>700</v>
      </c>
      <c r="G683" t="s">
        <v>22</v>
      </c>
      <c r="H683" t="s">
        <v>2387</v>
      </c>
      <c r="I683" t="s">
        <v>2388</v>
      </c>
      <c r="J683">
        <v>1</v>
      </c>
      <c r="K683" t="s">
        <v>25</v>
      </c>
      <c r="L683" t="s">
        <v>612</v>
      </c>
      <c r="M683" t="s">
        <v>1528</v>
      </c>
      <c r="N683" t="s">
        <v>493</v>
      </c>
      <c r="O683" t="s">
        <v>591</v>
      </c>
      <c r="P683" t="s">
        <v>29</v>
      </c>
      <c r="Q683" t="s">
        <v>30</v>
      </c>
    </row>
    <row r="684" spans="1:17" x14ac:dyDescent="0.25">
      <c r="A684" t="s">
        <v>2389</v>
      </c>
      <c r="B684">
        <v>118082</v>
      </c>
      <c r="C684" t="s">
        <v>252</v>
      </c>
      <c r="D684" t="s">
        <v>19</v>
      </c>
      <c r="E684" t="s">
        <v>33</v>
      </c>
      <c r="F684" t="s">
        <v>109</v>
      </c>
      <c r="G684" t="s">
        <v>394</v>
      </c>
      <c r="H684" t="s">
        <v>2390</v>
      </c>
      <c r="I684" t="s">
        <v>2391</v>
      </c>
      <c r="J684">
        <v>1</v>
      </c>
      <c r="K684" t="s">
        <v>25</v>
      </c>
      <c r="L684" t="s">
        <v>224</v>
      </c>
      <c r="M684" t="s">
        <v>906</v>
      </c>
      <c r="N684" t="s">
        <v>493</v>
      </c>
      <c r="O684" t="s">
        <v>77</v>
      </c>
      <c r="P684" t="s">
        <v>29</v>
      </c>
      <c r="Q684" t="s">
        <v>30</v>
      </c>
    </row>
    <row r="685" spans="1:17" x14ac:dyDescent="0.25">
      <c r="A685" t="s">
        <v>2392</v>
      </c>
      <c r="B685">
        <v>127253</v>
      </c>
      <c r="C685" t="s">
        <v>301</v>
      </c>
      <c r="D685" t="s">
        <v>32</v>
      </c>
      <c r="E685" t="s">
        <v>33</v>
      </c>
      <c r="F685" t="s">
        <v>700</v>
      </c>
      <c r="G685" t="s">
        <v>22</v>
      </c>
      <c r="H685" t="s">
        <v>2393</v>
      </c>
      <c r="I685" t="s">
        <v>2394</v>
      </c>
      <c r="J685">
        <v>1</v>
      </c>
      <c r="K685" t="s">
        <v>25</v>
      </c>
      <c r="L685" t="s">
        <v>213</v>
      </c>
      <c r="M685" t="s">
        <v>807</v>
      </c>
      <c r="N685" t="s">
        <v>493</v>
      </c>
      <c r="O685" t="s">
        <v>591</v>
      </c>
      <c r="P685" t="s">
        <v>29</v>
      </c>
      <c r="Q685" t="s">
        <v>30</v>
      </c>
    </row>
    <row r="686" spans="1:17" x14ac:dyDescent="0.25">
      <c r="A686" t="s">
        <v>2395</v>
      </c>
      <c r="B686">
        <v>126736</v>
      </c>
      <c r="C686" t="s">
        <v>670</v>
      </c>
      <c r="D686" t="s">
        <v>19</v>
      </c>
      <c r="E686" t="s">
        <v>62</v>
      </c>
      <c r="F686" t="s">
        <v>484</v>
      </c>
      <c r="G686" t="s">
        <v>22</v>
      </c>
      <c r="H686" t="s">
        <v>2396</v>
      </c>
      <c r="I686" t="s">
        <v>2397</v>
      </c>
      <c r="J686">
        <v>1</v>
      </c>
      <c r="K686" t="s">
        <v>397</v>
      </c>
      <c r="L686" t="s">
        <v>761</v>
      </c>
      <c r="M686" t="s">
        <v>1439</v>
      </c>
      <c r="N686" t="s">
        <v>493</v>
      </c>
      <c r="O686" t="s">
        <v>2398</v>
      </c>
      <c r="P686" t="s">
        <v>29</v>
      </c>
      <c r="Q686" t="s">
        <v>30</v>
      </c>
    </row>
    <row r="687" spans="1:17" x14ac:dyDescent="0.25">
      <c r="A687" t="s">
        <v>2399</v>
      </c>
      <c r="B687">
        <v>26525</v>
      </c>
      <c r="C687" t="s">
        <v>614</v>
      </c>
      <c r="D687" t="s">
        <v>32</v>
      </c>
      <c r="E687" t="s">
        <v>227</v>
      </c>
      <c r="F687" t="s">
        <v>123</v>
      </c>
      <c r="G687" t="s">
        <v>394</v>
      </c>
      <c r="H687" t="s">
        <v>2400</v>
      </c>
      <c r="I687" t="s">
        <v>2401</v>
      </c>
      <c r="J687">
        <v>1</v>
      </c>
      <c r="K687" t="s">
        <v>25</v>
      </c>
      <c r="L687" t="s">
        <v>1384</v>
      </c>
      <c r="M687" t="s">
        <v>504</v>
      </c>
      <c r="N687" t="s">
        <v>493</v>
      </c>
      <c r="O687" t="s">
        <v>243</v>
      </c>
      <c r="P687" t="s">
        <v>29</v>
      </c>
      <c r="Q687" t="s">
        <v>30</v>
      </c>
    </row>
    <row r="688" spans="1:17" x14ac:dyDescent="0.25">
      <c r="A688" t="s">
        <v>2402</v>
      </c>
      <c r="B688">
        <v>127315</v>
      </c>
      <c r="C688" t="s">
        <v>193</v>
      </c>
      <c r="D688" t="s">
        <v>32</v>
      </c>
      <c r="E688" t="s">
        <v>33</v>
      </c>
      <c r="F688" t="s">
        <v>393</v>
      </c>
      <c r="G688" t="s">
        <v>394</v>
      </c>
      <c r="H688" t="s">
        <v>2403</v>
      </c>
      <c r="I688" t="s">
        <v>2404</v>
      </c>
      <c r="J688">
        <v>1</v>
      </c>
      <c r="K688" t="s">
        <v>25</v>
      </c>
      <c r="L688" t="s">
        <v>1384</v>
      </c>
      <c r="M688" t="s">
        <v>688</v>
      </c>
      <c r="N688" t="s">
        <v>493</v>
      </c>
      <c r="O688" t="s">
        <v>77</v>
      </c>
      <c r="P688" t="s">
        <v>29</v>
      </c>
      <c r="Q688" t="s">
        <v>30</v>
      </c>
    </row>
    <row r="689" spans="1:17" x14ac:dyDescent="0.25">
      <c r="A689" t="s">
        <v>2405</v>
      </c>
      <c r="B689">
        <v>127218</v>
      </c>
      <c r="C689" t="s">
        <v>285</v>
      </c>
      <c r="D689" t="s">
        <v>19</v>
      </c>
      <c r="E689" t="s">
        <v>33</v>
      </c>
      <c r="F689" t="s">
        <v>685</v>
      </c>
      <c r="G689" t="s">
        <v>394</v>
      </c>
      <c r="H689" t="s">
        <v>2406</v>
      </c>
      <c r="I689" t="s">
        <v>2407</v>
      </c>
      <c r="J689">
        <v>1</v>
      </c>
      <c r="K689" t="s">
        <v>25</v>
      </c>
      <c r="L689" t="s">
        <v>1384</v>
      </c>
      <c r="M689" t="s">
        <v>688</v>
      </c>
      <c r="N689" t="s">
        <v>493</v>
      </c>
      <c r="O689" t="s">
        <v>77</v>
      </c>
      <c r="P689" t="s">
        <v>29</v>
      </c>
      <c r="Q689" t="s">
        <v>30</v>
      </c>
    </row>
    <row r="690" spans="1:17" x14ac:dyDescent="0.25">
      <c r="A690" t="s">
        <v>2408</v>
      </c>
      <c r="B690">
        <v>127380</v>
      </c>
      <c r="C690" t="s">
        <v>151</v>
      </c>
      <c r="D690" t="s">
        <v>19</v>
      </c>
      <c r="E690" t="s">
        <v>62</v>
      </c>
      <c r="F690" t="s">
        <v>428</v>
      </c>
      <c r="G690" t="s">
        <v>22</v>
      </c>
      <c r="H690" t="s">
        <v>2409</v>
      </c>
      <c r="I690" t="s">
        <v>2410</v>
      </c>
      <c r="J690">
        <v>1</v>
      </c>
      <c r="K690" t="s">
        <v>25</v>
      </c>
      <c r="L690" t="s">
        <v>761</v>
      </c>
      <c r="M690" t="s">
        <v>439</v>
      </c>
      <c r="N690" t="s">
        <v>493</v>
      </c>
      <c r="O690" t="s">
        <v>77</v>
      </c>
      <c r="P690" t="s">
        <v>29</v>
      </c>
      <c r="Q690" t="s">
        <v>30</v>
      </c>
    </row>
    <row r="691" spans="1:17" x14ac:dyDescent="0.25">
      <c r="A691" t="s">
        <v>2411</v>
      </c>
      <c r="B691">
        <v>97317</v>
      </c>
      <c r="C691" t="s">
        <v>1262</v>
      </c>
      <c r="D691" t="s">
        <v>32</v>
      </c>
      <c r="E691" t="s">
        <v>62</v>
      </c>
      <c r="F691" t="s">
        <v>123</v>
      </c>
      <c r="G691" t="s">
        <v>22</v>
      </c>
      <c r="H691" t="s">
        <v>2412</v>
      </c>
      <c r="I691" t="s">
        <v>2413</v>
      </c>
      <c r="J691">
        <v>1</v>
      </c>
      <c r="K691" t="s">
        <v>25</v>
      </c>
      <c r="L691" t="s">
        <v>667</v>
      </c>
      <c r="M691" t="s">
        <v>133</v>
      </c>
      <c r="N691" t="s">
        <v>493</v>
      </c>
      <c r="O691" t="s">
        <v>77</v>
      </c>
      <c r="P691" t="s">
        <v>29</v>
      </c>
      <c r="Q691" t="s">
        <v>30</v>
      </c>
    </row>
    <row r="692" spans="1:17" x14ac:dyDescent="0.25">
      <c r="A692" t="s">
        <v>2414</v>
      </c>
      <c r="B692">
        <v>127411</v>
      </c>
      <c r="C692" t="s">
        <v>392</v>
      </c>
      <c r="D692" t="s">
        <v>19</v>
      </c>
      <c r="E692" t="s">
        <v>33</v>
      </c>
      <c r="F692" t="s">
        <v>393</v>
      </c>
      <c r="G692" t="s">
        <v>394</v>
      </c>
      <c r="H692" t="s">
        <v>2415</v>
      </c>
      <c r="I692" t="s">
        <v>2416</v>
      </c>
      <c r="J692">
        <v>1</v>
      </c>
      <c r="K692" t="s">
        <v>25</v>
      </c>
      <c r="L692" t="s">
        <v>612</v>
      </c>
      <c r="M692" t="s">
        <v>766</v>
      </c>
      <c r="N692" t="s">
        <v>493</v>
      </c>
      <c r="O692" t="s">
        <v>77</v>
      </c>
      <c r="P692" t="s">
        <v>29</v>
      </c>
      <c r="Q692" t="s">
        <v>30</v>
      </c>
    </row>
    <row r="693" spans="1:17" x14ac:dyDescent="0.25">
      <c r="A693" t="s">
        <v>2417</v>
      </c>
      <c r="B693">
        <v>127431</v>
      </c>
      <c r="C693" t="s">
        <v>68</v>
      </c>
      <c r="D693" t="s">
        <v>32</v>
      </c>
      <c r="E693" t="s">
        <v>33</v>
      </c>
      <c r="F693" t="s">
        <v>40</v>
      </c>
      <c r="G693" t="s">
        <v>22</v>
      </c>
      <c r="H693" t="s">
        <v>2418</v>
      </c>
      <c r="I693" t="s">
        <v>2419</v>
      </c>
      <c r="J693">
        <v>1</v>
      </c>
      <c r="K693" t="s">
        <v>25</v>
      </c>
      <c r="L693" t="s">
        <v>105</v>
      </c>
      <c r="M693" t="s">
        <v>89</v>
      </c>
      <c r="N693" t="s">
        <v>493</v>
      </c>
      <c r="O693" t="s">
        <v>290</v>
      </c>
      <c r="P693" t="s">
        <v>29</v>
      </c>
      <c r="Q693" t="s">
        <v>30</v>
      </c>
    </row>
    <row r="694" spans="1:17" x14ac:dyDescent="0.25">
      <c r="A694" t="s">
        <v>2420</v>
      </c>
      <c r="B694">
        <v>127430</v>
      </c>
      <c r="C694" t="s">
        <v>142</v>
      </c>
      <c r="D694" t="s">
        <v>19</v>
      </c>
      <c r="E694" t="s">
        <v>33</v>
      </c>
      <c r="F694" t="s">
        <v>763</v>
      </c>
      <c r="G694" t="s">
        <v>22</v>
      </c>
      <c r="H694">
        <v>46029.021724537037</v>
      </c>
      <c r="I694" t="s">
        <v>2421</v>
      </c>
      <c r="J694">
        <v>1</v>
      </c>
      <c r="K694" t="s">
        <v>211</v>
      </c>
      <c r="L694" t="s">
        <v>37</v>
      </c>
      <c r="M694" t="s">
        <v>1265</v>
      </c>
      <c r="N694" t="s">
        <v>493</v>
      </c>
      <c r="O694" t="s">
        <v>1189</v>
      </c>
      <c r="P694" t="s">
        <v>29</v>
      </c>
      <c r="Q694" t="s">
        <v>30</v>
      </c>
    </row>
    <row r="695" spans="1:17" x14ac:dyDescent="0.25">
      <c r="A695" t="s">
        <v>2422</v>
      </c>
      <c r="B695">
        <v>106759</v>
      </c>
      <c r="C695" t="s">
        <v>454</v>
      </c>
      <c r="D695" t="s">
        <v>19</v>
      </c>
      <c r="E695" t="s">
        <v>33</v>
      </c>
      <c r="F695" t="s">
        <v>109</v>
      </c>
      <c r="G695" t="s">
        <v>664</v>
      </c>
      <c r="H695" t="s">
        <v>2423</v>
      </c>
      <c r="I695" t="s">
        <v>2424</v>
      </c>
      <c r="J695">
        <v>1</v>
      </c>
      <c r="K695" t="s">
        <v>25</v>
      </c>
      <c r="L695" t="s">
        <v>667</v>
      </c>
      <c r="M695" t="s">
        <v>962</v>
      </c>
      <c r="N695" t="s">
        <v>45</v>
      </c>
      <c r="O695" t="s">
        <v>77</v>
      </c>
      <c r="P695" t="s">
        <v>29</v>
      </c>
      <c r="Q695" t="s">
        <v>30</v>
      </c>
    </row>
    <row r="696" spans="1:17" x14ac:dyDescent="0.25">
      <c r="A696" t="s">
        <v>2425</v>
      </c>
      <c r="B696">
        <v>52167</v>
      </c>
      <c r="C696" t="s">
        <v>296</v>
      </c>
      <c r="D696" t="s">
        <v>32</v>
      </c>
      <c r="E696" t="s">
        <v>227</v>
      </c>
      <c r="F696" t="s">
        <v>40</v>
      </c>
      <c r="G696" t="s">
        <v>22</v>
      </c>
      <c r="H696" t="s">
        <v>2426</v>
      </c>
      <c r="I696" t="s">
        <v>2427</v>
      </c>
      <c r="J696">
        <v>1</v>
      </c>
      <c r="K696" t="s">
        <v>25</v>
      </c>
      <c r="L696" t="s">
        <v>199</v>
      </c>
      <c r="M696" t="s">
        <v>89</v>
      </c>
      <c r="N696" t="s">
        <v>975</v>
      </c>
      <c r="O696" t="s">
        <v>290</v>
      </c>
      <c r="P696" t="s">
        <v>29</v>
      </c>
      <c r="Q696" t="s">
        <v>30</v>
      </c>
    </row>
    <row r="697" spans="1:17" x14ac:dyDescent="0.25">
      <c r="A697" t="s">
        <v>2428</v>
      </c>
      <c r="B697">
        <v>99049</v>
      </c>
      <c r="C697" t="s">
        <v>285</v>
      </c>
      <c r="D697" t="s">
        <v>19</v>
      </c>
      <c r="E697" t="s">
        <v>33</v>
      </c>
      <c r="F697" t="s">
        <v>393</v>
      </c>
      <c r="G697" t="s">
        <v>394</v>
      </c>
      <c r="H697" t="s">
        <v>2429</v>
      </c>
      <c r="I697" t="s">
        <v>2430</v>
      </c>
      <c r="J697">
        <v>1</v>
      </c>
      <c r="K697" t="s">
        <v>397</v>
      </c>
      <c r="L697" t="s">
        <v>224</v>
      </c>
      <c r="M697" t="s">
        <v>1013</v>
      </c>
      <c r="N697" t="s">
        <v>45</v>
      </c>
      <c r="O697" t="s">
        <v>683</v>
      </c>
      <c r="P697" t="s">
        <v>29</v>
      </c>
      <c r="Q697" t="s">
        <v>30</v>
      </c>
    </row>
    <row r="698" spans="1:17" x14ac:dyDescent="0.25">
      <c r="A698" t="s">
        <v>2431</v>
      </c>
      <c r="B698">
        <v>127700</v>
      </c>
      <c r="C698" t="s">
        <v>869</v>
      </c>
      <c r="D698" t="s">
        <v>19</v>
      </c>
      <c r="E698" t="s">
        <v>260</v>
      </c>
      <c r="F698" t="s">
        <v>484</v>
      </c>
      <c r="G698" t="s">
        <v>216</v>
      </c>
      <c r="H698" t="s">
        <v>2432</v>
      </c>
      <c r="I698" t="s">
        <v>2433</v>
      </c>
      <c r="J698">
        <v>1</v>
      </c>
      <c r="K698" t="s">
        <v>25</v>
      </c>
      <c r="L698" t="s">
        <v>590</v>
      </c>
      <c r="M698" t="s">
        <v>487</v>
      </c>
      <c r="N698" t="s">
        <v>45</v>
      </c>
      <c r="O698" t="s">
        <v>683</v>
      </c>
      <c r="P698" t="s">
        <v>29</v>
      </c>
      <c r="Q698" t="s">
        <v>30</v>
      </c>
    </row>
    <row r="699" spans="1:17" x14ac:dyDescent="0.25">
      <c r="A699" t="s">
        <v>2434</v>
      </c>
      <c r="B699">
        <v>72301</v>
      </c>
      <c r="C699" t="s">
        <v>2435</v>
      </c>
      <c r="D699" t="s">
        <v>32</v>
      </c>
      <c r="E699" t="s">
        <v>227</v>
      </c>
      <c r="F699" t="s">
        <v>700</v>
      </c>
      <c r="G699" t="s">
        <v>394</v>
      </c>
      <c r="H699" t="s">
        <v>2436</v>
      </c>
      <c r="I699" t="s">
        <v>2437</v>
      </c>
      <c r="J699">
        <v>1</v>
      </c>
      <c r="K699" t="s">
        <v>25</v>
      </c>
      <c r="L699" t="s">
        <v>612</v>
      </c>
      <c r="M699" t="s">
        <v>331</v>
      </c>
      <c r="N699" t="s">
        <v>45</v>
      </c>
      <c r="O699" t="s">
        <v>591</v>
      </c>
      <c r="P699" t="s">
        <v>29</v>
      </c>
      <c r="Q699" t="s">
        <v>30</v>
      </c>
    </row>
    <row r="700" spans="1:17" x14ac:dyDescent="0.25">
      <c r="A700" t="s">
        <v>2438</v>
      </c>
      <c r="B700">
        <v>127709</v>
      </c>
      <c r="C700" t="s">
        <v>622</v>
      </c>
      <c r="D700" t="s">
        <v>19</v>
      </c>
      <c r="E700" t="s">
        <v>33</v>
      </c>
      <c r="F700" t="s">
        <v>21</v>
      </c>
      <c r="G700" t="s">
        <v>22</v>
      </c>
      <c r="H700" t="s">
        <v>2439</v>
      </c>
      <c r="I700" t="s">
        <v>2440</v>
      </c>
      <c r="J700">
        <v>1</v>
      </c>
      <c r="K700" t="s">
        <v>25</v>
      </c>
      <c r="L700" t="s">
        <v>356</v>
      </c>
      <c r="M700" t="s">
        <v>27</v>
      </c>
      <c r="N700" t="s">
        <v>45</v>
      </c>
      <c r="O700" t="s">
        <v>356</v>
      </c>
      <c r="P700" t="s">
        <v>29</v>
      </c>
      <c r="Q700" t="s">
        <v>30</v>
      </c>
    </row>
    <row r="701" spans="1:17" x14ac:dyDescent="0.25">
      <c r="A701" t="s">
        <v>2441</v>
      </c>
      <c r="B701">
        <v>127787</v>
      </c>
      <c r="C701" t="s">
        <v>1138</v>
      </c>
      <c r="D701" t="s">
        <v>19</v>
      </c>
      <c r="E701" t="s">
        <v>130</v>
      </c>
      <c r="F701" t="s">
        <v>484</v>
      </c>
      <c r="G701" t="s">
        <v>394</v>
      </c>
      <c r="H701" t="s">
        <v>2442</v>
      </c>
      <c r="I701" t="s">
        <v>2443</v>
      </c>
      <c r="J701">
        <v>1</v>
      </c>
      <c r="K701" t="s">
        <v>25</v>
      </c>
      <c r="L701" t="s">
        <v>612</v>
      </c>
      <c r="M701" t="s">
        <v>967</v>
      </c>
      <c r="N701" t="s">
        <v>45</v>
      </c>
      <c r="O701" t="s">
        <v>145</v>
      </c>
      <c r="P701" t="s">
        <v>29</v>
      </c>
      <c r="Q701" t="s">
        <v>30</v>
      </c>
    </row>
    <row r="702" spans="1:17" x14ac:dyDescent="0.25">
      <c r="A702" t="s">
        <v>2444</v>
      </c>
      <c r="B702">
        <v>127802</v>
      </c>
      <c r="C702" t="s">
        <v>670</v>
      </c>
      <c r="D702" t="s">
        <v>19</v>
      </c>
      <c r="E702" t="s">
        <v>33</v>
      </c>
      <c r="F702" t="s">
        <v>428</v>
      </c>
      <c r="G702" t="s">
        <v>22</v>
      </c>
      <c r="H702" t="s">
        <v>2445</v>
      </c>
      <c r="I702" t="s">
        <v>2446</v>
      </c>
      <c r="J702">
        <v>1</v>
      </c>
      <c r="K702" t="s">
        <v>112</v>
      </c>
      <c r="L702" t="s">
        <v>761</v>
      </c>
      <c r="M702" t="s">
        <v>971</v>
      </c>
      <c r="N702" t="s">
        <v>45</v>
      </c>
      <c r="O702" t="s">
        <v>77</v>
      </c>
      <c r="P702" t="s">
        <v>29</v>
      </c>
      <c r="Q702" t="s">
        <v>30</v>
      </c>
    </row>
    <row r="703" spans="1:17" x14ac:dyDescent="0.25">
      <c r="A703" t="s">
        <v>2359</v>
      </c>
      <c r="B703">
        <v>127137</v>
      </c>
      <c r="C703" t="s">
        <v>622</v>
      </c>
      <c r="D703" t="s">
        <v>19</v>
      </c>
      <c r="E703" t="s">
        <v>33</v>
      </c>
      <c r="F703" t="s">
        <v>21</v>
      </c>
      <c r="G703" t="s">
        <v>22</v>
      </c>
      <c r="H703" t="s">
        <v>2447</v>
      </c>
      <c r="I703" t="s">
        <v>2448</v>
      </c>
      <c r="J703">
        <v>1</v>
      </c>
      <c r="K703" t="s">
        <v>25</v>
      </c>
      <c r="L703" t="s">
        <v>356</v>
      </c>
      <c r="M703" t="s">
        <v>351</v>
      </c>
      <c r="N703" t="s">
        <v>28</v>
      </c>
      <c r="O703" t="s">
        <v>356</v>
      </c>
      <c r="P703" t="s">
        <v>29</v>
      </c>
      <c r="Q703" t="s">
        <v>30</v>
      </c>
    </row>
    <row r="704" spans="1:17" x14ac:dyDescent="0.25">
      <c r="A704" t="s">
        <v>2449</v>
      </c>
      <c r="B704">
        <v>127853</v>
      </c>
      <c r="C704" t="s">
        <v>221</v>
      </c>
      <c r="D704" t="s">
        <v>19</v>
      </c>
      <c r="E704" t="s">
        <v>62</v>
      </c>
      <c r="F704" t="s">
        <v>393</v>
      </c>
      <c r="G704" t="s">
        <v>22</v>
      </c>
      <c r="H704" t="s">
        <v>2450</v>
      </c>
      <c r="I704" t="s">
        <v>2451</v>
      </c>
      <c r="J704">
        <v>1</v>
      </c>
      <c r="K704" t="s">
        <v>25</v>
      </c>
      <c r="L704" t="s">
        <v>157</v>
      </c>
      <c r="M704" t="s">
        <v>1013</v>
      </c>
      <c r="N704" t="s">
        <v>45</v>
      </c>
      <c r="O704" t="s">
        <v>661</v>
      </c>
      <c r="P704" t="s">
        <v>29</v>
      </c>
      <c r="Q704" t="s">
        <v>30</v>
      </c>
    </row>
    <row r="705" spans="1:17" x14ac:dyDescent="0.25">
      <c r="A705" t="s">
        <v>2452</v>
      </c>
      <c r="B705">
        <v>127988</v>
      </c>
      <c r="C705" t="s">
        <v>454</v>
      </c>
      <c r="D705" t="s">
        <v>32</v>
      </c>
      <c r="E705" t="s">
        <v>62</v>
      </c>
      <c r="F705" t="s">
        <v>109</v>
      </c>
      <c r="G705" t="s">
        <v>22</v>
      </c>
      <c r="H705" t="s">
        <v>2453</v>
      </c>
      <c r="I705" t="s">
        <v>2454</v>
      </c>
      <c r="J705">
        <v>1</v>
      </c>
      <c r="K705" t="s">
        <v>112</v>
      </c>
      <c r="L705" t="s">
        <v>612</v>
      </c>
      <c r="M705" t="s">
        <v>708</v>
      </c>
      <c r="N705" t="s">
        <v>975</v>
      </c>
      <c r="O705" t="s">
        <v>356</v>
      </c>
      <c r="P705" t="s">
        <v>29</v>
      </c>
      <c r="Q705" t="s">
        <v>30</v>
      </c>
    </row>
    <row r="706" spans="1:17" x14ac:dyDescent="0.25">
      <c r="A706" t="s">
        <v>2455</v>
      </c>
      <c r="B706">
        <v>101182</v>
      </c>
      <c r="C706" t="s">
        <v>1556</v>
      </c>
      <c r="D706" t="s">
        <v>19</v>
      </c>
      <c r="E706" t="s">
        <v>33</v>
      </c>
      <c r="F706" t="s">
        <v>685</v>
      </c>
      <c r="G706" t="s">
        <v>394</v>
      </c>
      <c r="H706" t="s">
        <v>2456</v>
      </c>
      <c r="I706" t="s">
        <v>2457</v>
      </c>
      <c r="J706">
        <v>1</v>
      </c>
      <c r="K706" t="s">
        <v>25</v>
      </c>
      <c r="L706" t="s">
        <v>612</v>
      </c>
      <c r="M706" t="s">
        <v>1215</v>
      </c>
      <c r="N706" t="s">
        <v>493</v>
      </c>
      <c r="O706" t="s">
        <v>683</v>
      </c>
      <c r="P706" t="s">
        <v>29</v>
      </c>
      <c r="Q706" t="s">
        <v>30</v>
      </c>
    </row>
    <row r="707" spans="1:17" x14ac:dyDescent="0.25">
      <c r="A707" t="s">
        <v>2458</v>
      </c>
      <c r="B707">
        <v>126434</v>
      </c>
      <c r="C707" t="s">
        <v>441</v>
      </c>
      <c r="D707" t="s">
        <v>32</v>
      </c>
      <c r="E707" t="s">
        <v>33</v>
      </c>
      <c r="F707" t="s">
        <v>700</v>
      </c>
      <c r="G707" t="s">
        <v>22</v>
      </c>
      <c r="H707" t="s">
        <v>2459</v>
      </c>
      <c r="I707" t="s">
        <v>2460</v>
      </c>
      <c r="J707">
        <v>1</v>
      </c>
      <c r="K707" t="s">
        <v>25</v>
      </c>
      <c r="L707" t="s">
        <v>213</v>
      </c>
      <c r="M707" t="s">
        <v>807</v>
      </c>
      <c r="N707" t="s">
        <v>493</v>
      </c>
      <c r="O707" t="s">
        <v>591</v>
      </c>
      <c r="P707" t="s">
        <v>29</v>
      </c>
      <c r="Q707" t="s">
        <v>30</v>
      </c>
    </row>
    <row r="708" spans="1:17" x14ac:dyDescent="0.25">
      <c r="A708" t="s">
        <v>2461</v>
      </c>
      <c r="B708">
        <v>128049</v>
      </c>
      <c r="C708" t="s">
        <v>108</v>
      </c>
      <c r="D708" t="s">
        <v>19</v>
      </c>
      <c r="E708" t="s">
        <v>33</v>
      </c>
      <c r="F708" t="s">
        <v>109</v>
      </c>
      <c r="G708" t="s">
        <v>22</v>
      </c>
      <c r="H708" t="s">
        <v>2462</v>
      </c>
      <c r="I708" t="s">
        <v>2463</v>
      </c>
      <c r="J708">
        <v>1</v>
      </c>
      <c r="K708" t="s">
        <v>25</v>
      </c>
      <c r="L708" t="s">
        <v>590</v>
      </c>
      <c r="M708" t="s">
        <v>472</v>
      </c>
      <c r="N708" t="s">
        <v>45</v>
      </c>
      <c r="O708" t="s">
        <v>661</v>
      </c>
      <c r="P708" t="s">
        <v>29</v>
      </c>
      <c r="Q708" t="s">
        <v>30</v>
      </c>
    </row>
    <row r="709" spans="1:17" x14ac:dyDescent="0.25">
      <c r="A709" t="s">
        <v>2464</v>
      </c>
      <c r="B709">
        <v>65942</v>
      </c>
      <c r="C709" t="s">
        <v>296</v>
      </c>
      <c r="D709" t="s">
        <v>32</v>
      </c>
      <c r="E709" t="s">
        <v>227</v>
      </c>
      <c r="F709" t="s">
        <v>123</v>
      </c>
      <c r="G709" t="s">
        <v>22</v>
      </c>
      <c r="H709" t="s">
        <v>2465</v>
      </c>
      <c r="I709" t="s">
        <v>2466</v>
      </c>
      <c r="J709">
        <v>1</v>
      </c>
      <c r="K709" t="s">
        <v>25</v>
      </c>
      <c r="L709" t="s">
        <v>604</v>
      </c>
      <c r="M709" t="s">
        <v>127</v>
      </c>
      <c r="N709" t="s">
        <v>45</v>
      </c>
      <c r="O709" t="s">
        <v>444</v>
      </c>
      <c r="P709" t="s">
        <v>29</v>
      </c>
      <c r="Q709" t="s">
        <v>30</v>
      </c>
    </row>
    <row r="710" spans="1:17" x14ac:dyDescent="0.25">
      <c r="A710" t="s">
        <v>2467</v>
      </c>
      <c r="B710">
        <v>128051</v>
      </c>
      <c r="C710" t="s">
        <v>1556</v>
      </c>
      <c r="D710" t="s">
        <v>32</v>
      </c>
      <c r="E710" t="s">
        <v>33</v>
      </c>
      <c r="F710" t="s">
        <v>700</v>
      </c>
      <c r="G710" t="s">
        <v>22</v>
      </c>
      <c r="H710" t="s">
        <v>2468</v>
      </c>
      <c r="I710" t="s">
        <v>2469</v>
      </c>
      <c r="J710">
        <v>1</v>
      </c>
      <c r="K710" t="s">
        <v>25</v>
      </c>
      <c r="L710" t="s">
        <v>612</v>
      </c>
      <c r="M710" t="s">
        <v>1226</v>
      </c>
      <c r="N710" t="s">
        <v>45</v>
      </c>
      <c r="O710" t="s">
        <v>591</v>
      </c>
      <c r="P710" t="s">
        <v>29</v>
      </c>
      <c r="Q710" t="s">
        <v>30</v>
      </c>
    </row>
    <row r="711" spans="1:17" x14ac:dyDescent="0.25">
      <c r="A711" t="s">
        <v>2470</v>
      </c>
      <c r="B711">
        <v>128062</v>
      </c>
      <c r="C711" t="s">
        <v>54</v>
      </c>
      <c r="D711" t="s">
        <v>32</v>
      </c>
      <c r="E711" t="s">
        <v>33</v>
      </c>
      <c r="F711" t="s">
        <v>123</v>
      </c>
      <c r="G711" t="s">
        <v>22</v>
      </c>
      <c r="H711" t="s">
        <v>2471</v>
      </c>
      <c r="I711" t="s">
        <v>2472</v>
      </c>
      <c r="J711">
        <v>1</v>
      </c>
      <c r="K711" t="s">
        <v>25</v>
      </c>
      <c r="L711" t="s">
        <v>612</v>
      </c>
      <c r="M711" t="s">
        <v>212</v>
      </c>
      <c r="N711" t="s">
        <v>45</v>
      </c>
      <c r="O711" t="s">
        <v>444</v>
      </c>
      <c r="P711" t="s">
        <v>29</v>
      </c>
      <c r="Q711" t="s">
        <v>30</v>
      </c>
    </row>
    <row r="712" spans="1:17" x14ac:dyDescent="0.25">
      <c r="A712" t="s">
        <v>2473</v>
      </c>
      <c r="B712">
        <v>128072</v>
      </c>
      <c r="C712" t="s">
        <v>147</v>
      </c>
      <c r="D712" t="s">
        <v>32</v>
      </c>
      <c r="E712" t="s">
        <v>130</v>
      </c>
      <c r="F712" t="s">
        <v>40</v>
      </c>
      <c r="G712" t="s">
        <v>22</v>
      </c>
      <c r="H712" t="s">
        <v>2474</v>
      </c>
      <c r="I712" t="s">
        <v>2475</v>
      </c>
      <c r="J712">
        <v>1</v>
      </c>
      <c r="K712" t="s">
        <v>25</v>
      </c>
      <c r="L712" t="s">
        <v>620</v>
      </c>
      <c r="M712" t="s">
        <v>341</v>
      </c>
      <c r="N712" t="s">
        <v>45</v>
      </c>
      <c r="O712" t="s">
        <v>46</v>
      </c>
      <c r="P712" t="s">
        <v>29</v>
      </c>
      <c r="Q712" t="s">
        <v>30</v>
      </c>
    </row>
    <row r="713" spans="1:17" x14ac:dyDescent="0.25">
      <c r="A713" t="s">
        <v>2476</v>
      </c>
      <c r="B713">
        <v>128065</v>
      </c>
      <c r="C713" t="s">
        <v>215</v>
      </c>
      <c r="D713" t="s">
        <v>32</v>
      </c>
      <c r="E713" t="s">
        <v>62</v>
      </c>
      <c r="F713" t="s">
        <v>40</v>
      </c>
      <c r="G713" t="s">
        <v>22</v>
      </c>
      <c r="H713" t="s">
        <v>2477</v>
      </c>
      <c r="I713" t="s">
        <v>2478</v>
      </c>
      <c r="J713">
        <v>1</v>
      </c>
      <c r="K713" t="s">
        <v>25</v>
      </c>
      <c r="L713" t="s">
        <v>866</v>
      </c>
      <c r="M713" t="s">
        <v>89</v>
      </c>
      <c r="N713" t="s">
        <v>45</v>
      </c>
      <c r="O713" t="s">
        <v>620</v>
      </c>
      <c r="P713" t="s">
        <v>29</v>
      </c>
      <c r="Q713" t="s">
        <v>30</v>
      </c>
    </row>
    <row r="714" spans="1:17" x14ac:dyDescent="0.25">
      <c r="A714" t="s">
        <v>2479</v>
      </c>
      <c r="B714">
        <v>51853</v>
      </c>
      <c r="C714" t="s">
        <v>68</v>
      </c>
      <c r="D714" t="s">
        <v>32</v>
      </c>
      <c r="E714" t="s">
        <v>227</v>
      </c>
      <c r="F714" t="s">
        <v>40</v>
      </c>
      <c r="G714" t="s">
        <v>22</v>
      </c>
      <c r="H714" t="s">
        <v>2480</v>
      </c>
      <c r="I714" t="s">
        <v>2481</v>
      </c>
      <c r="J714">
        <v>1</v>
      </c>
      <c r="K714" t="s">
        <v>25</v>
      </c>
      <c r="L714" t="s">
        <v>46</v>
      </c>
      <c r="M714" t="s">
        <v>71</v>
      </c>
      <c r="N714" t="s">
        <v>45</v>
      </c>
      <c r="O714" t="s">
        <v>620</v>
      </c>
      <c r="P714" t="s">
        <v>29</v>
      </c>
      <c r="Q714" t="s">
        <v>30</v>
      </c>
    </row>
    <row r="715" spans="1:17" x14ac:dyDescent="0.25">
      <c r="A715" t="s">
        <v>2482</v>
      </c>
      <c r="B715">
        <v>128112</v>
      </c>
      <c r="C715" t="s">
        <v>201</v>
      </c>
      <c r="D715" t="s">
        <v>32</v>
      </c>
      <c r="E715" t="s">
        <v>33</v>
      </c>
      <c r="F715" t="s">
        <v>40</v>
      </c>
      <c r="G715" t="s">
        <v>22</v>
      </c>
      <c r="H715" t="s">
        <v>2483</v>
      </c>
      <c r="I715" t="s">
        <v>2484</v>
      </c>
      <c r="J715">
        <v>1</v>
      </c>
      <c r="K715" t="s">
        <v>25</v>
      </c>
      <c r="L715" t="s">
        <v>290</v>
      </c>
      <c r="M715" t="s">
        <v>341</v>
      </c>
      <c r="N715" t="s">
        <v>45</v>
      </c>
      <c r="O715" t="s">
        <v>444</v>
      </c>
      <c r="P715" t="s">
        <v>29</v>
      </c>
      <c r="Q715" t="s">
        <v>30</v>
      </c>
    </row>
    <row r="716" spans="1:17" x14ac:dyDescent="0.25">
      <c r="A716" t="s">
        <v>2485</v>
      </c>
      <c r="B716">
        <v>75793</v>
      </c>
      <c r="C716" t="s">
        <v>193</v>
      </c>
      <c r="D716" t="s">
        <v>32</v>
      </c>
      <c r="E716" t="s">
        <v>227</v>
      </c>
      <c r="F716" t="s">
        <v>109</v>
      </c>
      <c r="G716" t="s">
        <v>394</v>
      </c>
      <c r="H716" t="s">
        <v>2486</v>
      </c>
      <c r="I716" t="s">
        <v>2487</v>
      </c>
      <c r="J716">
        <v>1</v>
      </c>
      <c r="K716" t="s">
        <v>25</v>
      </c>
      <c r="L716" t="s">
        <v>1639</v>
      </c>
      <c r="M716" t="s">
        <v>708</v>
      </c>
      <c r="N716" t="s">
        <v>493</v>
      </c>
      <c r="O716" t="s">
        <v>77</v>
      </c>
      <c r="P716" t="s">
        <v>29</v>
      </c>
      <c r="Q716" t="s">
        <v>30</v>
      </c>
    </row>
    <row r="717" spans="1:17" x14ac:dyDescent="0.25">
      <c r="A717" t="s">
        <v>1770</v>
      </c>
      <c r="B717">
        <v>3209</v>
      </c>
      <c r="C717" t="s">
        <v>68</v>
      </c>
      <c r="D717" t="s">
        <v>32</v>
      </c>
      <c r="E717" t="s">
        <v>754</v>
      </c>
      <c r="F717" t="s">
        <v>40</v>
      </c>
      <c r="G717" t="s">
        <v>394</v>
      </c>
      <c r="H717" t="s">
        <v>2488</v>
      </c>
      <c r="I717" t="s">
        <v>2489</v>
      </c>
      <c r="J717">
        <v>1</v>
      </c>
      <c r="K717" t="s">
        <v>25</v>
      </c>
      <c r="L717" t="s">
        <v>1112</v>
      </c>
      <c r="M717" t="s">
        <v>267</v>
      </c>
      <c r="N717" t="s">
        <v>493</v>
      </c>
      <c r="O717" t="s">
        <v>290</v>
      </c>
      <c r="P717" t="s">
        <v>29</v>
      </c>
      <c r="Q717" t="s">
        <v>30</v>
      </c>
    </row>
    <row r="718" spans="1:17" x14ac:dyDescent="0.25">
      <c r="A718" t="s">
        <v>2490</v>
      </c>
      <c r="B718">
        <v>34442</v>
      </c>
      <c r="C718" t="s">
        <v>39</v>
      </c>
      <c r="D718" t="s">
        <v>32</v>
      </c>
      <c r="E718" t="s">
        <v>227</v>
      </c>
      <c r="F718" t="s">
        <v>40</v>
      </c>
      <c r="G718" t="s">
        <v>394</v>
      </c>
      <c r="H718" t="s">
        <v>2491</v>
      </c>
      <c r="I718" t="s">
        <v>2492</v>
      </c>
      <c r="J718">
        <v>1</v>
      </c>
      <c r="K718" t="s">
        <v>25</v>
      </c>
      <c r="L718" t="s">
        <v>290</v>
      </c>
      <c r="M718" t="s">
        <v>89</v>
      </c>
      <c r="N718" t="s">
        <v>493</v>
      </c>
      <c r="O718" t="s">
        <v>46</v>
      </c>
      <c r="P718" t="s">
        <v>29</v>
      </c>
      <c r="Q718" t="s">
        <v>30</v>
      </c>
    </row>
    <row r="719" spans="1:17" x14ac:dyDescent="0.25">
      <c r="A719" t="s">
        <v>2493</v>
      </c>
      <c r="B719">
        <v>128173</v>
      </c>
      <c r="C719" t="s">
        <v>296</v>
      </c>
      <c r="D719" t="s">
        <v>32</v>
      </c>
      <c r="E719" t="s">
        <v>33</v>
      </c>
      <c r="F719" t="s">
        <v>40</v>
      </c>
      <c r="G719" t="s">
        <v>22</v>
      </c>
      <c r="H719" t="s">
        <v>2494</v>
      </c>
      <c r="I719" t="s">
        <v>2495</v>
      </c>
      <c r="J719">
        <v>1</v>
      </c>
      <c r="K719" t="s">
        <v>25</v>
      </c>
      <c r="L719" t="s">
        <v>620</v>
      </c>
      <c r="M719" t="s">
        <v>89</v>
      </c>
      <c r="N719" t="s">
        <v>493</v>
      </c>
      <c r="O719" t="s">
        <v>620</v>
      </c>
      <c r="P719" t="s">
        <v>29</v>
      </c>
      <c r="Q719" t="s">
        <v>30</v>
      </c>
    </row>
    <row r="720" spans="1:17" x14ac:dyDescent="0.25">
      <c r="A720" t="s">
        <v>1998</v>
      </c>
      <c r="B720">
        <v>127706</v>
      </c>
      <c r="C720" t="s">
        <v>74</v>
      </c>
      <c r="D720" t="s">
        <v>32</v>
      </c>
      <c r="E720" t="s">
        <v>33</v>
      </c>
      <c r="F720" t="s">
        <v>123</v>
      </c>
      <c r="G720" t="s">
        <v>22</v>
      </c>
      <c r="H720" t="s">
        <v>2496</v>
      </c>
      <c r="I720" t="s">
        <v>2497</v>
      </c>
      <c r="J720">
        <v>1</v>
      </c>
      <c r="K720" t="s">
        <v>25</v>
      </c>
      <c r="L720" t="s">
        <v>199</v>
      </c>
      <c r="M720" t="s">
        <v>89</v>
      </c>
      <c r="N720" t="s">
        <v>493</v>
      </c>
      <c r="O720" t="s">
        <v>620</v>
      </c>
      <c r="P720" t="s">
        <v>29</v>
      </c>
      <c r="Q720" t="s">
        <v>30</v>
      </c>
    </row>
    <row r="721" spans="1:17" x14ac:dyDescent="0.25">
      <c r="A721" t="s">
        <v>2498</v>
      </c>
      <c r="B721">
        <v>123624</v>
      </c>
      <c r="C721" t="s">
        <v>188</v>
      </c>
      <c r="D721" t="s">
        <v>32</v>
      </c>
      <c r="E721" t="s">
        <v>33</v>
      </c>
      <c r="F721" t="s">
        <v>123</v>
      </c>
      <c r="G721" t="s">
        <v>394</v>
      </c>
      <c r="H721" t="s">
        <v>2499</v>
      </c>
      <c r="I721" t="s">
        <v>2500</v>
      </c>
      <c r="J721">
        <v>1</v>
      </c>
      <c r="K721" t="s">
        <v>25</v>
      </c>
      <c r="L721" t="s">
        <v>612</v>
      </c>
      <c r="M721" t="s">
        <v>127</v>
      </c>
      <c r="N721" t="s">
        <v>493</v>
      </c>
      <c r="O721" t="s">
        <v>620</v>
      </c>
      <c r="P721" t="s">
        <v>29</v>
      </c>
      <c r="Q721" t="s">
        <v>30</v>
      </c>
    </row>
    <row r="722" spans="1:17" x14ac:dyDescent="0.25">
      <c r="A722" t="s">
        <v>2501</v>
      </c>
      <c r="B722">
        <v>128199</v>
      </c>
      <c r="C722" t="s">
        <v>215</v>
      </c>
      <c r="D722" t="s">
        <v>32</v>
      </c>
      <c r="E722" t="s">
        <v>33</v>
      </c>
      <c r="F722" t="s">
        <v>123</v>
      </c>
      <c r="G722" t="s">
        <v>22</v>
      </c>
      <c r="H722" t="s">
        <v>2502</v>
      </c>
      <c r="I722" t="s">
        <v>2503</v>
      </c>
      <c r="J722">
        <v>1</v>
      </c>
      <c r="K722" t="s">
        <v>25</v>
      </c>
      <c r="L722" t="s">
        <v>105</v>
      </c>
      <c r="M722" t="s">
        <v>219</v>
      </c>
      <c r="N722" t="s">
        <v>493</v>
      </c>
      <c r="O722" t="s">
        <v>620</v>
      </c>
      <c r="P722" t="s">
        <v>29</v>
      </c>
      <c r="Q722" t="s">
        <v>30</v>
      </c>
    </row>
    <row r="723" spans="1:17" x14ac:dyDescent="0.25">
      <c r="A723" t="s">
        <v>2504</v>
      </c>
      <c r="B723">
        <v>128285</v>
      </c>
      <c r="C723" t="s">
        <v>541</v>
      </c>
      <c r="D723" t="s">
        <v>32</v>
      </c>
      <c r="E723" t="s">
        <v>20</v>
      </c>
      <c r="F723" t="s">
        <v>700</v>
      </c>
      <c r="G723" t="s">
        <v>22</v>
      </c>
      <c r="H723" t="s">
        <v>2505</v>
      </c>
      <c r="I723" t="s">
        <v>2506</v>
      </c>
      <c r="J723">
        <v>1</v>
      </c>
      <c r="K723" t="s">
        <v>25</v>
      </c>
      <c r="L723" t="s">
        <v>590</v>
      </c>
      <c r="M723" t="s">
        <v>1132</v>
      </c>
      <c r="N723" t="s">
        <v>493</v>
      </c>
      <c r="O723" t="s">
        <v>591</v>
      </c>
      <c r="P723" t="s">
        <v>29</v>
      </c>
      <c r="Q723" t="s">
        <v>30</v>
      </c>
    </row>
    <row r="724" spans="1:17" x14ac:dyDescent="0.25">
      <c r="A724" t="s">
        <v>2507</v>
      </c>
      <c r="B724">
        <v>128315</v>
      </c>
      <c r="C724" t="s">
        <v>577</v>
      </c>
      <c r="D724" t="s">
        <v>19</v>
      </c>
      <c r="E724" t="s">
        <v>33</v>
      </c>
      <c r="F724" t="s">
        <v>484</v>
      </c>
      <c r="G724" t="s">
        <v>22</v>
      </c>
      <c r="H724" t="s">
        <v>2508</v>
      </c>
      <c r="I724" t="s">
        <v>2509</v>
      </c>
      <c r="J724">
        <v>1</v>
      </c>
      <c r="K724" t="s">
        <v>397</v>
      </c>
      <c r="L724" t="s">
        <v>590</v>
      </c>
      <c r="M724" t="s">
        <v>544</v>
      </c>
      <c r="N724" t="s">
        <v>493</v>
      </c>
      <c r="O724" t="s">
        <v>448</v>
      </c>
      <c r="P724" t="s">
        <v>29</v>
      </c>
      <c r="Q724" t="s">
        <v>30</v>
      </c>
    </row>
    <row r="725" spans="1:17" x14ac:dyDescent="0.25">
      <c r="A725" t="s">
        <v>2510</v>
      </c>
      <c r="B725">
        <v>105335</v>
      </c>
      <c r="C725" t="s">
        <v>296</v>
      </c>
      <c r="D725" t="s">
        <v>19</v>
      </c>
      <c r="E725" t="s">
        <v>260</v>
      </c>
      <c r="F725" t="s">
        <v>428</v>
      </c>
      <c r="G725" t="s">
        <v>22</v>
      </c>
      <c r="H725" t="s">
        <v>2511</v>
      </c>
      <c r="I725" t="s">
        <v>2512</v>
      </c>
      <c r="J725">
        <v>1</v>
      </c>
      <c r="K725" t="s">
        <v>112</v>
      </c>
      <c r="L725" t="s">
        <v>612</v>
      </c>
      <c r="M725" t="s">
        <v>971</v>
      </c>
      <c r="N725" t="s">
        <v>493</v>
      </c>
      <c r="O725" t="s">
        <v>77</v>
      </c>
      <c r="P725" t="s">
        <v>29</v>
      </c>
      <c r="Q725" t="s">
        <v>30</v>
      </c>
    </row>
    <row r="726" spans="1:17" x14ac:dyDescent="0.25">
      <c r="A726" t="s">
        <v>2513</v>
      </c>
      <c r="B726">
        <v>128230</v>
      </c>
      <c r="C726" t="s">
        <v>147</v>
      </c>
      <c r="D726" t="s">
        <v>32</v>
      </c>
      <c r="E726" t="s">
        <v>62</v>
      </c>
      <c r="F726" t="s">
        <v>123</v>
      </c>
      <c r="G726" t="s">
        <v>22</v>
      </c>
      <c r="H726" t="s">
        <v>2514</v>
      </c>
      <c r="I726" t="s">
        <v>2515</v>
      </c>
      <c r="J726">
        <v>1</v>
      </c>
      <c r="K726" t="s">
        <v>25</v>
      </c>
      <c r="L726" t="s">
        <v>548</v>
      </c>
      <c r="M726" t="s">
        <v>605</v>
      </c>
      <c r="N726" t="s">
        <v>45</v>
      </c>
      <c r="O726" t="s">
        <v>683</v>
      </c>
      <c r="P726" t="s">
        <v>29</v>
      </c>
      <c r="Q726" t="s">
        <v>30</v>
      </c>
    </row>
    <row r="727" spans="1:17" x14ac:dyDescent="0.25">
      <c r="A727" t="s">
        <v>2516</v>
      </c>
      <c r="B727">
        <v>12875</v>
      </c>
      <c r="C727" t="s">
        <v>2517</v>
      </c>
      <c r="D727" t="s">
        <v>19</v>
      </c>
      <c r="E727" t="s">
        <v>20</v>
      </c>
      <c r="F727" t="s">
        <v>484</v>
      </c>
      <c r="G727" t="s">
        <v>394</v>
      </c>
      <c r="H727" t="s">
        <v>2518</v>
      </c>
      <c r="I727" t="s">
        <v>2519</v>
      </c>
      <c r="J727">
        <v>1</v>
      </c>
      <c r="K727" t="s">
        <v>25</v>
      </c>
      <c r="L727" t="s">
        <v>213</v>
      </c>
      <c r="M727" t="s">
        <v>967</v>
      </c>
      <c r="N727" t="s">
        <v>45</v>
      </c>
      <c r="O727" t="s">
        <v>145</v>
      </c>
      <c r="P727" t="s">
        <v>29</v>
      </c>
      <c r="Q727" t="s">
        <v>30</v>
      </c>
    </row>
    <row r="728" spans="1:17" x14ac:dyDescent="0.25">
      <c r="A728" t="s">
        <v>2520</v>
      </c>
      <c r="B728">
        <v>128467</v>
      </c>
      <c r="C728" t="s">
        <v>142</v>
      </c>
      <c r="D728" t="s">
        <v>32</v>
      </c>
      <c r="E728" t="s">
        <v>33</v>
      </c>
      <c r="F728" t="s">
        <v>40</v>
      </c>
      <c r="G728" t="s">
        <v>22</v>
      </c>
      <c r="H728" t="s">
        <v>2521</v>
      </c>
      <c r="I728" t="s">
        <v>2522</v>
      </c>
      <c r="J728">
        <v>1</v>
      </c>
      <c r="K728" t="s">
        <v>25</v>
      </c>
      <c r="L728" t="s">
        <v>620</v>
      </c>
      <c r="M728" t="s">
        <v>89</v>
      </c>
      <c r="N728" t="s">
        <v>45</v>
      </c>
      <c r="O728" t="s">
        <v>590</v>
      </c>
      <c r="P728" t="s">
        <v>29</v>
      </c>
      <c r="Q728" t="s">
        <v>30</v>
      </c>
    </row>
    <row r="729" spans="1:17" x14ac:dyDescent="0.25">
      <c r="A729" t="s">
        <v>2523</v>
      </c>
      <c r="B729">
        <v>128466</v>
      </c>
      <c r="C729" t="s">
        <v>596</v>
      </c>
      <c r="D729" t="s">
        <v>19</v>
      </c>
      <c r="E729" t="s">
        <v>20</v>
      </c>
      <c r="F729" t="s">
        <v>484</v>
      </c>
      <c r="G729" t="s">
        <v>22</v>
      </c>
      <c r="H729" t="s">
        <v>2524</v>
      </c>
      <c r="I729" t="s">
        <v>2525</v>
      </c>
      <c r="J729">
        <v>1</v>
      </c>
      <c r="K729" t="s">
        <v>112</v>
      </c>
      <c r="L729" t="s">
        <v>761</v>
      </c>
      <c r="M729" t="s">
        <v>487</v>
      </c>
      <c r="N729" t="s">
        <v>45</v>
      </c>
      <c r="O729" t="s">
        <v>145</v>
      </c>
      <c r="P729" t="s">
        <v>29</v>
      </c>
      <c r="Q729" t="s">
        <v>30</v>
      </c>
    </row>
    <row r="730" spans="1:17" x14ac:dyDescent="0.25">
      <c r="A730" t="s">
        <v>2526</v>
      </c>
      <c r="B730">
        <v>128474</v>
      </c>
      <c r="C730" t="s">
        <v>622</v>
      </c>
      <c r="D730" t="s">
        <v>19</v>
      </c>
      <c r="E730" t="s">
        <v>33</v>
      </c>
      <c r="F730" t="s">
        <v>21</v>
      </c>
      <c r="G730" t="s">
        <v>22</v>
      </c>
      <c r="H730" t="s">
        <v>2527</v>
      </c>
      <c r="I730" t="s">
        <v>2528</v>
      </c>
      <c r="J730">
        <v>1</v>
      </c>
      <c r="K730" t="s">
        <v>25</v>
      </c>
      <c r="L730" t="s">
        <v>661</v>
      </c>
      <c r="M730" t="s">
        <v>351</v>
      </c>
      <c r="N730" t="s">
        <v>45</v>
      </c>
      <c r="O730" t="s">
        <v>356</v>
      </c>
      <c r="P730" t="s">
        <v>29</v>
      </c>
      <c r="Q730" t="s">
        <v>30</v>
      </c>
    </row>
    <row r="731" spans="1:17" x14ac:dyDescent="0.25">
      <c r="A731" t="s">
        <v>2529</v>
      </c>
      <c r="B731">
        <v>128475</v>
      </c>
      <c r="C731" t="s">
        <v>142</v>
      </c>
      <c r="D731" t="s">
        <v>19</v>
      </c>
      <c r="E731" t="s">
        <v>33</v>
      </c>
      <c r="F731" t="s">
        <v>428</v>
      </c>
      <c r="G731" t="s">
        <v>22</v>
      </c>
      <c r="H731" t="s">
        <v>2530</v>
      </c>
      <c r="I731" t="s">
        <v>2531</v>
      </c>
      <c r="J731">
        <v>1</v>
      </c>
      <c r="K731" t="s">
        <v>112</v>
      </c>
      <c r="L731" t="s">
        <v>213</v>
      </c>
      <c r="M731" t="s">
        <v>166</v>
      </c>
      <c r="N731" t="s">
        <v>45</v>
      </c>
      <c r="O731" t="s">
        <v>591</v>
      </c>
      <c r="P731" t="s">
        <v>29</v>
      </c>
      <c r="Q731" t="s">
        <v>30</v>
      </c>
    </row>
    <row r="732" spans="1:17" x14ac:dyDescent="0.25">
      <c r="A732" t="s">
        <v>2532</v>
      </c>
      <c r="B732">
        <v>128542</v>
      </c>
      <c r="C732" t="s">
        <v>122</v>
      </c>
      <c r="D732" t="s">
        <v>32</v>
      </c>
      <c r="E732" t="s">
        <v>33</v>
      </c>
      <c r="F732" t="s">
        <v>40</v>
      </c>
      <c r="G732" t="s">
        <v>22</v>
      </c>
      <c r="H732" t="s">
        <v>2533</v>
      </c>
      <c r="I732" t="s">
        <v>2534</v>
      </c>
      <c r="J732">
        <v>1</v>
      </c>
      <c r="K732" t="s">
        <v>25</v>
      </c>
      <c r="L732" t="s">
        <v>290</v>
      </c>
      <c r="M732" t="s">
        <v>89</v>
      </c>
      <c r="N732" t="s">
        <v>45</v>
      </c>
      <c r="O732" t="s">
        <v>590</v>
      </c>
      <c r="P732" t="s">
        <v>29</v>
      </c>
      <c r="Q732" t="s">
        <v>30</v>
      </c>
    </row>
    <row r="733" spans="1:17" x14ac:dyDescent="0.25">
      <c r="A733" t="s">
        <v>2535</v>
      </c>
      <c r="B733">
        <v>128571</v>
      </c>
      <c r="C733" t="s">
        <v>554</v>
      </c>
      <c r="D733" t="s">
        <v>32</v>
      </c>
      <c r="E733" t="s">
        <v>33</v>
      </c>
      <c r="F733" t="s">
        <v>700</v>
      </c>
      <c r="G733" t="s">
        <v>22</v>
      </c>
      <c r="H733" t="s">
        <v>2536</v>
      </c>
      <c r="I733" t="s">
        <v>2537</v>
      </c>
      <c r="J733">
        <v>1</v>
      </c>
      <c r="K733" t="s">
        <v>25</v>
      </c>
      <c r="L733" t="s">
        <v>161</v>
      </c>
      <c r="M733" t="s">
        <v>807</v>
      </c>
      <c r="N733" t="s">
        <v>45</v>
      </c>
      <c r="O733" t="s">
        <v>761</v>
      </c>
      <c r="P733" t="s">
        <v>29</v>
      </c>
      <c r="Q733" t="s">
        <v>30</v>
      </c>
    </row>
    <row r="734" spans="1:17" x14ac:dyDescent="0.25">
      <c r="A734" t="s">
        <v>2538</v>
      </c>
      <c r="B734">
        <v>128567</v>
      </c>
      <c r="C734" t="s">
        <v>622</v>
      </c>
      <c r="D734" t="s">
        <v>32</v>
      </c>
      <c r="E734" t="s">
        <v>20</v>
      </c>
      <c r="F734" t="s">
        <v>21</v>
      </c>
      <c r="G734" t="s">
        <v>22</v>
      </c>
      <c r="H734" t="s">
        <v>2539</v>
      </c>
      <c r="I734" t="s">
        <v>2540</v>
      </c>
      <c r="J734">
        <v>1</v>
      </c>
      <c r="K734" t="s">
        <v>25</v>
      </c>
      <c r="L734" t="s">
        <v>661</v>
      </c>
      <c r="M734" t="s">
        <v>346</v>
      </c>
      <c r="N734" t="s">
        <v>45</v>
      </c>
      <c r="O734" t="s">
        <v>77</v>
      </c>
      <c r="P734" t="s">
        <v>29</v>
      </c>
      <c r="Q734" t="s">
        <v>30</v>
      </c>
    </row>
    <row r="735" spans="1:17" x14ac:dyDescent="0.25">
      <c r="A735" t="s">
        <v>2541</v>
      </c>
      <c r="B735">
        <v>110383</v>
      </c>
      <c r="C735" t="s">
        <v>108</v>
      </c>
      <c r="D735" t="s">
        <v>32</v>
      </c>
      <c r="E735" t="s">
        <v>33</v>
      </c>
      <c r="F735" t="s">
        <v>109</v>
      </c>
      <c r="G735" t="s">
        <v>22</v>
      </c>
      <c r="H735" t="s">
        <v>2542</v>
      </c>
      <c r="I735" t="s">
        <v>2543</v>
      </c>
      <c r="J735">
        <v>1</v>
      </c>
      <c r="K735" t="s">
        <v>25</v>
      </c>
      <c r="L735" t="s">
        <v>548</v>
      </c>
      <c r="M735" t="s">
        <v>113</v>
      </c>
      <c r="N735" t="s">
        <v>45</v>
      </c>
      <c r="O735" t="s">
        <v>591</v>
      </c>
      <c r="P735" t="s">
        <v>29</v>
      </c>
      <c r="Q735" t="s">
        <v>30</v>
      </c>
    </row>
    <row r="736" spans="1:17" x14ac:dyDescent="0.25">
      <c r="A736" t="s">
        <v>2544</v>
      </c>
      <c r="B736">
        <v>58646</v>
      </c>
      <c r="C736" t="s">
        <v>1855</v>
      </c>
      <c r="D736" t="s">
        <v>19</v>
      </c>
      <c r="E736" t="s">
        <v>227</v>
      </c>
      <c r="F736" t="s">
        <v>685</v>
      </c>
      <c r="G736" t="s">
        <v>394</v>
      </c>
      <c r="H736" t="s">
        <v>2545</v>
      </c>
      <c r="I736" t="s">
        <v>2546</v>
      </c>
      <c r="J736">
        <v>1</v>
      </c>
      <c r="K736" t="s">
        <v>25</v>
      </c>
      <c r="L736" t="s">
        <v>661</v>
      </c>
      <c r="M736" t="s">
        <v>766</v>
      </c>
      <c r="N736" t="s">
        <v>45</v>
      </c>
      <c r="O736" t="s">
        <v>620</v>
      </c>
      <c r="P736" t="s">
        <v>29</v>
      </c>
      <c r="Q736" t="s">
        <v>30</v>
      </c>
    </row>
    <row r="737" spans="1:17" x14ac:dyDescent="0.25">
      <c r="A737" t="s">
        <v>1861</v>
      </c>
      <c r="B737">
        <v>86347</v>
      </c>
      <c r="C737" t="s">
        <v>454</v>
      </c>
      <c r="D737" t="s">
        <v>19</v>
      </c>
      <c r="E737" t="s">
        <v>33</v>
      </c>
      <c r="F737" t="s">
        <v>109</v>
      </c>
      <c r="G737" t="s">
        <v>22</v>
      </c>
      <c r="H737" t="s">
        <v>2547</v>
      </c>
      <c r="I737" t="s">
        <v>2548</v>
      </c>
      <c r="J737">
        <v>1</v>
      </c>
      <c r="K737" t="s">
        <v>25</v>
      </c>
      <c r="L737" t="s">
        <v>661</v>
      </c>
      <c r="M737" t="s">
        <v>113</v>
      </c>
      <c r="N737" t="s">
        <v>45</v>
      </c>
      <c r="O737" t="s">
        <v>290</v>
      </c>
      <c r="P737" t="s">
        <v>29</v>
      </c>
      <c r="Q737" t="s">
        <v>30</v>
      </c>
    </row>
    <row r="738" spans="1:17" x14ac:dyDescent="0.25">
      <c r="A738" t="s">
        <v>2549</v>
      </c>
      <c r="B738">
        <v>95439</v>
      </c>
      <c r="C738" t="s">
        <v>823</v>
      </c>
      <c r="D738" t="s">
        <v>19</v>
      </c>
      <c r="E738" t="s">
        <v>33</v>
      </c>
      <c r="F738" t="s">
        <v>393</v>
      </c>
      <c r="G738" t="s">
        <v>394</v>
      </c>
      <c r="H738" t="s">
        <v>2550</v>
      </c>
      <c r="I738" t="s">
        <v>2551</v>
      </c>
      <c r="J738">
        <v>1</v>
      </c>
      <c r="K738" t="s">
        <v>25</v>
      </c>
      <c r="L738" t="s">
        <v>52</v>
      </c>
      <c r="M738" t="s">
        <v>766</v>
      </c>
      <c r="N738" t="s">
        <v>28</v>
      </c>
      <c r="O738" t="s">
        <v>620</v>
      </c>
      <c r="P738" t="s">
        <v>29</v>
      </c>
      <c r="Q738" t="s">
        <v>30</v>
      </c>
    </row>
    <row r="739" spans="1:17" x14ac:dyDescent="0.25">
      <c r="A739" t="s">
        <v>2552</v>
      </c>
      <c r="B739">
        <v>128704</v>
      </c>
      <c r="C739" t="s">
        <v>622</v>
      </c>
      <c r="D739" t="s">
        <v>32</v>
      </c>
      <c r="E739" t="s">
        <v>62</v>
      </c>
      <c r="F739" t="s">
        <v>21</v>
      </c>
      <c r="G739" t="s">
        <v>22</v>
      </c>
      <c r="H739" t="s">
        <v>2553</v>
      </c>
      <c r="I739" t="s">
        <v>2554</v>
      </c>
      <c r="J739">
        <v>1</v>
      </c>
      <c r="K739" t="s">
        <v>211</v>
      </c>
      <c r="L739" t="s">
        <v>77</v>
      </c>
      <c r="M739" t="s">
        <v>943</v>
      </c>
      <c r="N739" t="s">
        <v>493</v>
      </c>
      <c r="O739" t="s">
        <v>77</v>
      </c>
      <c r="P739" t="s">
        <v>29</v>
      </c>
      <c r="Q739" t="s">
        <v>30</v>
      </c>
    </row>
    <row r="740" spans="1:17" x14ac:dyDescent="0.25">
      <c r="A740" t="s">
        <v>2555</v>
      </c>
      <c r="B740">
        <v>128727</v>
      </c>
      <c r="C740" t="s">
        <v>622</v>
      </c>
      <c r="D740" t="s">
        <v>19</v>
      </c>
      <c r="E740" t="s">
        <v>33</v>
      </c>
      <c r="F740" t="s">
        <v>21</v>
      </c>
      <c r="G740" t="s">
        <v>22</v>
      </c>
      <c r="H740" t="s">
        <v>2556</v>
      </c>
      <c r="I740" t="s">
        <v>2557</v>
      </c>
      <c r="J740">
        <v>1</v>
      </c>
      <c r="K740" t="s">
        <v>211</v>
      </c>
      <c r="L740" t="s">
        <v>77</v>
      </c>
      <c r="M740" t="s">
        <v>734</v>
      </c>
      <c r="N740" t="s">
        <v>28</v>
      </c>
      <c r="O740" t="s">
        <v>77</v>
      </c>
      <c r="P740" t="s">
        <v>29</v>
      </c>
      <c r="Q740" t="s">
        <v>30</v>
      </c>
    </row>
    <row r="741" spans="1:17" x14ac:dyDescent="0.25">
      <c r="A741" t="s">
        <v>2558</v>
      </c>
      <c r="B741">
        <v>128729</v>
      </c>
      <c r="C741" t="s">
        <v>215</v>
      </c>
      <c r="D741" t="s">
        <v>32</v>
      </c>
      <c r="E741" t="s">
        <v>33</v>
      </c>
      <c r="F741" t="s">
        <v>40</v>
      </c>
      <c r="G741" t="s">
        <v>22</v>
      </c>
      <c r="H741" t="s">
        <v>2559</v>
      </c>
      <c r="I741" t="s">
        <v>2560</v>
      </c>
      <c r="J741">
        <v>1</v>
      </c>
      <c r="K741" t="s">
        <v>25</v>
      </c>
      <c r="L741" t="s">
        <v>46</v>
      </c>
      <c r="M741" t="s">
        <v>590</v>
      </c>
      <c r="N741" t="s">
        <v>493</v>
      </c>
      <c r="O741" t="s">
        <v>683</v>
      </c>
      <c r="P741" t="s">
        <v>29</v>
      </c>
      <c r="Q741" t="s">
        <v>30</v>
      </c>
    </row>
    <row r="742" spans="1:17" x14ac:dyDescent="0.25">
      <c r="A742" t="s">
        <v>2561</v>
      </c>
      <c r="B742">
        <v>128730</v>
      </c>
      <c r="C742" t="s">
        <v>622</v>
      </c>
      <c r="D742" t="s">
        <v>19</v>
      </c>
      <c r="E742" t="s">
        <v>33</v>
      </c>
      <c r="F742" t="s">
        <v>21</v>
      </c>
      <c r="G742" t="s">
        <v>22</v>
      </c>
      <c r="H742" t="s">
        <v>2562</v>
      </c>
      <c r="I742" t="s">
        <v>2563</v>
      </c>
      <c r="J742">
        <v>1</v>
      </c>
      <c r="K742" t="s">
        <v>211</v>
      </c>
      <c r="L742" t="s">
        <v>290</v>
      </c>
      <c r="M742" t="s">
        <v>89</v>
      </c>
      <c r="N742" t="s">
        <v>493</v>
      </c>
      <c r="O742" t="s">
        <v>77</v>
      </c>
      <c r="P742" t="s">
        <v>29</v>
      </c>
      <c r="Q742" t="s">
        <v>30</v>
      </c>
    </row>
    <row r="743" spans="1:17" x14ac:dyDescent="0.25">
      <c r="A743" t="s">
        <v>2564</v>
      </c>
      <c r="B743">
        <v>128014</v>
      </c>
      <c r="C743" t="s">
        <v>296</v>
      </c>
      <c r="D743" t="s">
        <v>32</v>
      </c>
      <c r="E743" t="s">
        <v>33</v>
      </c>
      <c r="F743" t="s">
        <v>123</v>
      </c>
      <c r="G743" t="s">
        <v>394</v>
      </c>
      <c r="H743" t="s">
        <v>2565</v>
      </c>
      <c r="I743" t="s">
        <v>2566</v>
      </c>
      <c r="J743">
        <v>1</v>
      </c>
      <c r="K743" t="s">
        <v>25</v>
      </c>
      <c r="L743" t="s">
        <v>548</v>
      </c>
      <c r="M743" t="s">
        <v>605</v>
      </c>
      <c r="N743" t="s">
        <v>493</v>
      </c>
      <c r="O743" t="s">
        <v>590</v>
      </c>
      <c r="P743" t="s">
        <v>29</v>
      </c>
      <c r="Q743" t="s">
        <v>30</v>
      </c>
    </row>
    <row r="744" spans="1:17" x14ac:dyDescent="0.25">
      <c r="A744" t="s">
        <v>2567</v>
      </c>
      <c r="B744">
        <v>52230</v>
      </c>
      <c r="C744" t="s">
        <v>922</v>
      </c>
      <c r="D744" t="s">
        <v>19</v>
      </c>
      <c r="E744" t="s">
        <v>227</v>
      </c>
      <c r="F744" t="s">
        <v>685</v>
      </c>
      <c r="G744" t="s">
        <v>394</v>
      </c>
      <c r="H744" t="s">
        <v>2568</v>
      </c>
      <c r="I744" t="s">
        <v>2569</v>
      </c>
      <c r="J744">
        <v>1</v>
      </c>
      <c r="K744" t="s">
        <v>25</v>
      </c>
      <c r="L744" t="s">
        <v>548</v>
      </c>
      <c r="M744" t="s">
        <v>766</v>
      </c>
      <c r="N744" t="s">
        <v>493</v>
      </c>
      <c r="O744" t="s">
        <v>620</v>
      </c>
      <c r="P744" t="s">
        <v>29</v>
      </c>
      <c r="Q744" t="s">
        <v>30</v>
      </c>
    </row>
    <row r="745" spans="1:17" x14ac:dyDescent="0.25">
      <c r="A745" t="s">
        <v>2570</v>
      </c>
      <c r="B745">
        <v>128708</v>
      </c>
      <c r="C745" t="s">
        <v>1041</v>
      </c>
      <c r="D745" t="s">
        <v>19</v>
      </c>
      <c r="E745" t="s">
        <v>33</v>
      </c>
      <c r="F745" t="s">
        <v>685</v>
      </c>
      <c r="G745" t="s">
        <v>22</v>
      </c>
      <c r="H745" t="s">
        <v>2571</v>
      </c>
      <c r="I745" t="s">
        <v>2572</v>
      </c>
      <c r="J745">
        <v>1</v>
      </c>
      <c r="K745" t="s">
        <v>25</v>
      </c>
      <c r="L745" t="s">
        <v>548</v>
      </c>
      <c r="M745" t="s">
        <v>766</v>
      </c>
      <c r="N745" t="s">
        <v>493</v>
      </c>
      <c r="O745" t="s">
        <v>761</v>
      </c>
      <c r="P745" t="s">
        <v>29</v>
      </c>
      <c r="Q745" t="s">
        <v>30</v>
      </c>
    </row>
    <row r="746" spans="1:17" x14ac:dyDescent="0.25">
      <c r="A746" t="s">
        <v>2573</v>
      </c>
      <c r="B746">
        <v>128745</v>
      </c>
      <c r="C746" t="s">
        <v>622</v>
      </c>
      <c r="D746" t="s">
        <v>32</v>
      </c>
      <c r="E746" t="s">
        <v>33</v>
      </c>
      <c r="F746" t="s">
        <v>21</v>
      </c>
      <c r="G746" t="s">
        <v>22</v>
      </c>
      <c r="H746" t="s">
        <v>2574</v>
      </c>
      <c r="I746" t="s">
        <v>2575</v>
      </c>
      <c r="J746">
        <v>1</v>
      </c>
      <c r="K746" t="s">
        <v>25</v>
      </c>
      <c r="L746" t="s">
        <v>77</v>
      </c>
      <c r="M746" t="s">
        <v>628</v>
      </c>
      <c r="N746" t="s">
        <v>493</v>
      </c>
      <c r="O746" t="s">
        <v>77</v>
      </c>
      <c r="P746" t="s">
        <v>29</v>
      </c>
      <c r="Q746" t="s">
        <v>30</v>
      </c>
    </row>
    <row r="747" spans="1:17" x14ac:dyDescent="0.25">
      <c r="A747" t="s">
        <v>2576</v>
      </c>
      <c r="B747">
        <v>15037</v>
      </c>
      <c r="C747" t="s">
        <v>188</v>
      </c>
      <c r="D747" t="s">
        <v>32</v>
      </c>
      <c r="E747" t="s">
        <v>754</v>
      </c>
      <c r="F747" t="s">
        <v>40</v>
      </c>
      <c r="G747" t="s">
        <v>22</v>
      </c>
      <c r="H747" t="s">
        <v>2577</v>
      </c>
      <c r="I747" t="s">
        <v>2578</v>
      </c>
      <c r="J747">
        <v>1</v>
      </c>
      <c r="K747" t="s">
        <v>25</v>
      </c>
      <c r="L747" t="s">
        <v>590</v>
      </c>
      <c r="M747" t="s">
        <v>590</v>
      </c>
      <c r="N747" t="s">
        <v>493</v>
      </c>
      <c r="O747" t="s">
        <v>590</v>
      </c>
      <c r="P747" t="s">
        <v>29</v>
      </c>
      <c r="Q747" t="s">
        <v>30</v>
      </c>
    </row>
    <row r="748" spans="1:17" x14ac:dyDescent="0.25">
      <c r="A748" t="s">
        <v>2579</v>
      </c>
      <c r="B748">
        <v>39641</v>
      </c>
      <c r="C748" t="s">
        <v>175</v>
      </c>
      <c r="D748" t="s">
        <v>19</v>
      </c>
      <c r="E748" t="s">
        <v>227</v>
      </c>
      <c r="F748" t="s">
        <v>109</v>
      </c>
      <c r="G748" t="s">
        <v>394</v>
      </c>
      <c r="H748" t="s">
        <v>2580</v>
      </c>
      <c r="I748" t="s">
        <v>2581</v>
      </c>
      <c r="J748">
        <v>1</v>
      </c>
      <c r="K748" t="s">
        <v>25</v>
      </c>
      <c r="L748" t="s">
        <v>575</v>
      </c>
      <c r="M748" t="s">
        <v>906</v>
      </c>
      <c r="N748" t="s">
        <v>493</v>
      </c>
      <c r="O748" t="s">
        <v>591</v>
      </c>
      <c r="P748" t="s">
        <v>29</v>
      </c>
      <c r="Q748" t="s">
        <v>30</v>
      </c>
    </row>
    <row r="749" spans="1:17" x14ac:dyDescent="0.25">
      <c r="A749" t="s">
        <v>2582</v>
      </c>
      <c r="B749">
        <v>128787</v>
      </c>
      <c r="C749" t="s">
        <v>622</v>
      </c>
      <c r="D749" t="s">
        <v>32</v>
      </c>
      <c r="E749" t="s">
        <v>20</v>
      </c>
      <c r="F749" t="s">
        <v>21</v>
      </c>
      <c r="G749" t="s">
        <v>22</v>
      </c>
      <c r="H749" t="s">
        <v>2583</v>
      </c>
      <c r="I749" t="s">
        <v>2584</v>
      </c>
      <c r="J749">
        <v>1</v>
      </c>
      <c r="K749" t="s">
        <v>211</v>
      </c>
      <c r="L749" t="s">
        <v>548</v>
      </c>
      <c r="M749" t="s">
        <v>225</v>
      </c>
      <c r="N749" t="s">
        <v>493</v>
      </c>
      <c r="O749" t="s">
        <v>77</v>
      </c>
      <c r="P749" t="s">
        <v>29</v>
      </c>
      <c r="Q749" t="s">
        <v>30</v>
      </c>
    </row>
    <row r="750" spans="1:17" x14ac:dyDescent="0.25">
      <c r="A750" t="s">
        <v>2585</v>
      </c>
      <c r="B750">
        <v>128793</v>
      </c>
      <c r="C750" t="s">
        <v>296</v>
      </c>
      <c r="D750" t="s">
        <v>32</v>
      </c>
      <c r="E750" t="s">
        <v>33</v>
      </c>
      <c r="F750" t="s">
        <v>40</v>
      </c>
      <c r="G750" t="s">
        <v>22</v>
      </c>
      <c r="H750" t="s">
        <v>2586</v>
      </c>
      <c r="I750" t="s">
        <v>2587</v>
      </c>
      <c r="J750">
        <v>1</v>
      </c>
      <c r="K750" t="s">
        <v>25</v>
      </c>
      <c r="L750" t="s">
        <v>590</v>
      </c>
      <c r="M750" t="s">
        <v>590</v>
      </c>
      <c r="N750" t="s">
        <v>493</v>
      </c>
      <c r="O750" t="s">
        <v>683</v>
      </c>
      <c r="P750" t="s">
        <v>29</v>
      </c>
      <c r="Q750" t="s">
        <v>30</v>
      </c>
    </row>
    <row r="751" spans="1:17" x14ac:dyDescent="0.25">
      <c r="A751" t="s">
        <v>2588</v>
      </c>
      <c r="B751">
        <v>61937</v>
      </c>
      <c r="C751" t="s">
        <v>863</v>
      </c>
      <c r="D751" t="s">
        <v>19</v>
      </c>
      <c r="E751" t="s">
        <v>2589</v>
      </c>
      <c r="F751" t="s">
        <v>428</v>
      </c>
      <c r="G751" t="s">
        <v>394</v>
      </c>
      <c r="H751" t="s">
        <v>2590</v>
      </c>
      <c r="I751" t="s">
        <v>2591</v>
      </c>
      <c r="J751">
        <v>1</v>
      </c>
      <c r="K751" t="s">
        <v>25</v>
      </c>
      <c r="L751" t="s">
        <v>599</v>
      </c>
      <c r="M751" t="s">
        <v>2157</v>
      </c>
      <c r="N751" t="s">
        <v>493</v>
      </c>
      <c r="O751" t="s">
        <v>2592</v>
      </c>
      <c r="P751" t="s">
        <v>29</v>
      </c>
      <c r="Q751" t="s">
        <v>30</v>
      </c>
    </row>
    <row r="752" spans="1:17" x14ac:dyDescent="0.25">
      <c r="A752" t="s">
        <v>1666</v>
      </c>
      <c r="B752">
        <v>30963</v>
      </c>
      <c r="C752" t="s">
        <v>147</v>
      </c>
      <c r="D752" t="s">
        <v>32</v>
      </c>
      <c r="E752" t="s">
        <v>33</v>
      </c>
      <c r="F752" t="s">
        <v>40</v>
      </c>
      <c r="G752" t="s">
        <v>701</v>
      </c>
      <c r="H752" t="s">
        <v>2593</v>
      </c>
      <c r="I752" t="s">
        <v>2594</v>
      </c>
      <c r="J752">
        <v>1</v>
      </c>
      <c r="K752" t="s">
        <v>25</v>
      </c>
      <c r="L752" t="s">
        <v>1136</v>
      </c>
      <c r="M752" t="s">
        <v>106</v>
      </c>
      <c r="N752" t="s">
        <v>493</v>
      </c>
      <c r="O752" t="s">
        <v>46</v>
      </c>
      <c r="P752" t="s">
        <v>29</v>
      </c>
      <c r="Q752" t="s">
        <v>30</v>
      </c>
    </row>
    <row r="753" spans="1:17" x14ac:dyDescent="0.25">
      <c r="A753" t="s">
        <v>2595</v>
      </c>
      <c r="B753">
        <v>5148</v>
      </c>
      <c r="C753" t="s">
        <v>413</v>
      </c>
      <c r="D753" t="s">
        <v>19</v>
      </c>
      <c r="E753" t="s">
        <v>33</v>
      </c>
      <c r="F753" t="s">
        <v>393</v>
      </c>
      <c r="G753" t="s">
        <v>394</v>
      </c>
      <c r="H753" t="s">
        <v>2596</v>
      </c>
      <c r="I753" t="s">
        <v>2597</v>
      </c>
      <c r="J753">
        <v>1</v>
      </c>
      <c r="K753" t="s">
        <v>25</v>
      </c>
      <c r="L753" t="s">
        <v>213</v>
      </c>
      <c r="M753" t="s">
        <v>372</v>
      </c>
      <c r="N753" t="s">
        <v>493</v>
      </c>
      <c r="O753" t="s">
        <v>548</v>
      </c>
      <c r="P753" t="s">
        <v>29</v>
      </c>
      <c r="Q753" t="s">
        <v>30</v>
      </c>
    </row>
    <row r="754" spans="1:17" x14ac:dyDescent="0.25">
      <c r="A754" t="s">
        <v>2598</v>
      </c>
      <c r="B754">
        <v>125694</v>
      </c>
      <c r="C754" t="s">
        <v>68</v>
      </c>
      <c r="D754" t="s">
        <v>32</v>
      </c>
      <c r="E754" t="s">
        <v>33</v>
      </c>
      <c r="F754" t="s">
        <v>123</v>
      </c>
      <c r="G754" t="s">
        <v>22</v>
      </c>
      <c r="H754" t="s">
        <v>2599</v>
      </c>
      <c r="I754" t="s">
        <v>2600</v>
      </c>
      <c r="J754">
        <v>1</v>
      </c>
      <c r="K754" t="s">
        <v>25</v>
      </c>
      <c r="L754" t="s">
        <v>46</v>
      </c>
      <c r="M754" t="s">
        <v>127</v>
      </c>
      <c r="N754" t="s">
        <v>493</v>
      </c>
      <c r="O754" t="s">
        <v>590</v>
      </c>
      <c r="P754" t="s">
        <v>29</v>
      </c>
      <c r="Q754" t="s">
        <v>30</v>
      </c>
    </row>
    <row r="755" spans="1:17" x14ac:dyDescent="0.25">
      <c r="A755" t="s">
        <v>2601</v>
      </c>
      <c r="B755">
        <v>109405</v>
      </c>
      <c r="C755" t="s">
        <v>147</v>
      </c>
      <c r="D755" t="s">
        <v>32</v>
      </c>
      <c r="E755" t="s">
        <v>33</v>
      </c>
      <c r="F755" t="s">
        <v>40</v>
      </c>
      <c r="G755" t="s">
        <v>22</v>
      </c>
      <c r="H755" t="s">
        <v>2602</v>
      </c>
      <c r="I755" t="s">
        <v>2603</v>
      </c>
      <c r="J755">
        <v>1</v>
      </c>
      <c r="K755" t="s">
        <v>25</v>
      </c>
      <c r="L755" t="s">
        <v>46</v>
      </c>
      <c r="M755" t="s">
        <v>590</v>
      </c>
      <c r="N755" t="s">
        <v>493</v>
      </c>
      <c r="O755" t="s">
        <v>1337</v>
      </c>
      <c r="P755" t="s">
        <v>29</v>
      </c>
      <c r="Q755" t="s">
        <v>30</v>
      </c>
    </row>
    <row r="756" spans="1:17" x14ac:dyDescent="0.25">
      <c r="A756" t="s">
        <v>2604</v>
      </c>
      <c r="B756">
        <v>128995</v>
      </c>
      <c r="C756" t="s">
        <v>400</v>
      </c>
      <c r="D756" t="s">
        <v>32</v>
      </c>
      <c r="E756" t="s">
        <v>33</v>
      </c>
      <c r="F756" t="s">
        <v>685</v>
      </c>
      <c r="G756" t="s">
        <v>664</v>
      </c>
      <c r="H756" t="s">
        <v>2605</v>
      </c>
      <c r="I756" t="s">
        <v>2606</v>
      </c>
      <c r="J756">
        <v>1</v>
      </c>
      <c r="K756" t="s">
        <v>25</v>
      </c>
      <c r="L756" t="s">
        <v>548</v>
      </c>
      <c r="M756" t="s">
        <v>688</v>
      </c>
      <c r="N756" t="s">
        <v>493</v>
      </c>
      <c r="O756" t="s">
        <v>1141</v>
      </c>
      <c r="P756" t="s">
        <v>29</v>
      </c>
      <c r="Q756" t="s">
        <v>30</v>
      </c>
    </row>
    <row r="757" spans="1:17" x14ac:dyDescent="0.25">
      <c r="A757" t="s">
        <v>2607</v>
      </c>
      <c r="B757">
        <v>11217</v>
      </c>
      <c r="C757" t="s">
        <v>2435</v>
      </c>
      <c r="D757" t="s">
        <v>32</v>
      </c>
      <c r="E757" t="s">
        <v>754</v>
      </c>
      <c r="F757" t="s">
        <v>685</v>
      </c>
      <c r="G757" t="s">
        <v>394</v>
      </c>
      <c r="H757" t="s">
        <v>2608</v>
      </c>
      <c r="I757" t="s">
        <v>2609</v>
      </c>
      <c r="J757">
        <v>1</v>
      </c>
      <c r="K757" t="s">
        <v>25</v>
      </c>
      <c r="L757" t="s">
        <v>552</v>
      </c>
      <c r="M757" t="s">
        <v>1215</v>
      </c>
      <c r="N757" t="s">
        <v>493</v>
      </c>
      <c r="O757" t="s">
        <v>145</v>
      </c>
      <c r="P757" t="s">
        <v>29</v>
      </c>
      <c r="Q757" t="s">
        <v>30</v>
      </c>
    </row>
    <row r="758" spans="1:17" x14ac:dyDescent="0.25">
      <c r="A758" t="s">
        <v>2610</v>
      </c>
      <c r="B758">
        <v>129072</v>
      </c>
      <c r="C758" t="s">
        <v>622</v>
      </c>
      <c r="D758" t="s">
        <v>19</v>
      </c>
      <c r="E758" t="s">
        <v>33</v>
      </c>
      <c r="F758" t="s">
        <v>21</v>
      </c>
      <c r="G758" t="s">
        <v>22</v>
      </c>
      <c r="H758" t="s">
        <v>2611</v>
      </c>
      <c r="I758" t="s">
        <v>2612</v>
      </c>
      <c r="J758">
        <v>1</v>
      </c>
      <c r="K758" t="s">
        <v>397</v>
      </c>
      <c r="L758" t="s">
        <v>77</v>
      </c>
      <c r="M758" t="s">
        <v>225</v>
      </c>
      <c r="N758" t="s">
        <v>493</v>
      </c>
      <c r="O758" t="s">
        <v>77</v>
      </c>
      <c r="P758" t="s">
        <v>29</v>
      </c>
      <c r="Q758" t="s">
        <v>30</v>
      </c>
    </row>
    <row r="759" spans="1:17" x14ac:dyDescent="0.25">
      <c r="A759" t="s">
        <v>2613</v>
      </c>
      <c r="B759">
        <v>129078</v>
      </c>
      <c r="C759" t="s">
        <v>758</v>
      </c>
      <c r="D759" t="s">
        <v>19</v>
      </c>
      <c r="E759" t="s">
        <v>260</v>
      </c>
      <c r="F759" t="s">
        <v>484</v>
      </c>
      <c r="G759" t="s">
        <v>22</v>
      </c>
      <c r="H759" t="s">
        <v>2614</v>
      </c>
      <c r="I759" t="s">
        <v>2615</v>
      </c>
      <c r="J759">
        <v>1</v>
      </c>
      <c r="K759" t="s">
        <v>25</v>
      </c>
      <c r="L759" t="s">
        <v>213</v>
      </c>
      <c r="M759" t="s">
        <v>951</v>
      </c>
      <c r="N759" t="s">
        <v>493</v>
      </c>
      <c r="O759" t="s">
        <v>145</v>
      </c>
      <c r="P759" t="s">
        <v>29</v>
      </c>
      <c r="Q759" t="s">
        <v>30</v>
      </c>
    </row>
    <row r="760" spans="1:17" x14ac:dyDescent="0.25">
      <c r="A760" t="s">
        <v>2616</v>
      </c>
      <c r="B760">
        <v>38226</v>
      </c>
      <c r="C760" t="s">
        <v>530</v>
      </c>
      <c r="D760" t="s">
        <v>32</v>
      </c>
      <c r="E760" t="s">
        <v>227</v>
      </c>
      <c r="F760" t="s">
        <v>40</v>
      </c>
      <c r="G760" t="s">
        <v>394</v>
      </c>
      <c r="H760" t="s">
        <v>2617</v>
      </c>
      <c r="I760" t="s">
        <v>2618</v>
      </c>
      <c r="J760">
        <v>1</v>
      </c>
      <c r="K760" t="s">
        <v>25</v>
      </c>
      <c r="L760" t="s">
        <v>46</v>
      </c>
      <c r="M760" t="s">
        <v>2298</v>
      </c>
      <c r="N760" t="s">
        <v>493</v>
      </c>
      <c r="O760" t="s">
        <v>612</v>
      </c>
      <c r="P760" t="s">
        <v>29</v>
      </c>
      <c r="Q760" t="s">
        <v>30</v>
      </c>
    </row>
    <row r="761" spans="1:17" x14ac:dyDescent="0.25">
      <c r="A761" t="s">
        <v>2619</v>
      </c>
      <c r="B761">
        <v>35863</v>
      </c>
      <c r="C761" t="s">
        <v>823</v>
      </c>
      <c r="D761" t="s">
        <v>32</v>
      </c>
      <c r="E761" t="s">
        <v>227</v>
      </c>
      <c r="F761" t="s">
        <v>763</v>
      </c>
      <c r="G761" t="s">
        <v>394</v>
      </c>
      <c r="H761" t="s">
        <v>2620</v>
      </c>
      <c r="I761" t="s">
        <v>2621</v>
      </c>
      <c r="J761">
        <v>1</v>
      </c>
      <c r="K761" t="s">
        <v>397</v>
      </c>
      <c r="L761" t="s">
        <v>661</v>
      </c>
      <c r="M761" t="s">
        <v>1013</v>
      </c>
      <c r="N761" t="s">
        <v>45</v>
      </c>
      <c r="O761" t="s">
        <v>1189</v>
      </c>
      <c r="P761" t="s">
        <v>29</v>
      </c>
      <c r="Q761" t="s">
        <v>30</v>
      </c>
    </row>
    <row r="762" spans="1:17" x14ac:dyDescent="0.25">
      <c r="A762" t="s">
        <v>2622</v>
      </c>
      <c r="B762">
        <v>105636</v>
      </c>
      <c r="C762" t="s">
        <v>1061</v>
      </c>
      <c r="D762" t="s">
        <v>19</v>
      </c>
      <c r="E762" t="s">
        <v>33</v>
      </c>
      <c r="F762" t="s">
        <v>484</v>
      </c>
      <c r="G762" t="s">
        <v>394</v>
      </c>
      <c r="H762" t="s">
        <v>2623</v>
      </c>
      <c r="I762" t="s">
        <v>2624</v>
      </c>
      <c r="J762">
        <v>1</v>
      </c>
      <c r="K762" t="s">
        <v>25</v>
      </c>
      <c r="L762" t="s">
        <v>661</v>
      </c>
      <c r="M762" t="s">
        <v>867</v>
      </c>
      <c r="N762" t="s">
        <v>45</v>
      </c>
      <c r="O762" t="s">
        <v>620</v>
      </c>
      <c r="P762" t="s">
        <v>29</v>
      </c>
      <c r="Q762" t="s">
        <v>30</v>
      </c>
    </row>
    <row r="763" spans="1:17" x14ac:dyDescent="0.25">
      <c r="A763" t="s">
        <v>2625</v>
      </c>
      <c r="B763">
        <v>117084</v>
      </c>
      <c r="C763" t="s">
        <v>884</v>
      </c>
      <c r="D763" t="s">
        <v>19</v>
      </c>
      <c r="E763" t="s">
        <v>33</v>
      </c>
      <c r="F763" t="s">
        <v>484</v>
      </c>
      <c r="G763" t="s">
        <v>394</v>
      </c>
      <c r="H763" t="s">
        <v>2626</v>
      </c>
      <c r="I763" t="s">
        <v>2627</v>
      </c>
      <c r="J763">
        <v>1</v>
      </c>
      <c r="K763" t="s">
        <v>25</v>
      </c>
      <c r="L763" t="s">
        <v>866</v>
      </c>
      <c r="M763" t="s">
        <v>652</v>
      </c>
      <c r="N763" t="s">
        <v>45</v>
      </c>
      <c r="O763" t="s">
        <v>620</v>
      </c>
      <c r="P763" t="s">
        <v>29</v>
      </c>
      <c r="Q763" t="s">
        <v>30</v>
      </c>
    </row>
    <row r="764" spans="1:17" x14ac:dyDescent="0.25">
      <c r="A764" t="s">
        <v>2628</v>
      </c>
      <c r="B764">
        <v>52175</v>
      </c>
      <c r="C764" t="s">
        <v>1061</v>
      </c>
      <c r="D764" t="s">
        <v>32</v>
      </c>
      <c r="E764" t="s">
        <v>227</v>
      </c>
      <c r="F764" t="s">
        <v>685</v>
      </c>
      <c r="G764" t="s">
        <v>394</v>
      </c>
      <c r="H764" t="s">
        <v>2629</v>
      </c>
      <c r="I764" t="s">
        <v>2630</v>
      </c>
      <c r="J764">
        <v>1</v>
      </c>
      <c r="K764" t="s">
        <v>25</v>
      </c>
      <c r="L764" t="s">
        <v>661</v>
      </c>
      <c r="M764" t="s">
        <v>688</v>
      </c>
      <c r="N764" t="s">
        <v>45</v>
      </c>
      <c r="O764" t="s">
        <v>145</v>
      </c>
      <c r="P764" t="s">
        <v>29</v>
      </c>
      <c r="Q764" t="s">
        <v>30</v>
      </c>
    </row>
    <row r="765" spans="1:17" x14ac:dyDescent="0.25">
      <c r="A765" t="s">
        <v>2631</v>
      </c>
      <c r="B765">
        <v>129188</v>
      </c>
      <c r="C765" t="s">
        <v>622</v>
      </c>
      <c r="D765" t="s">
        <v>19</v>
      </c>
      <c r="E765" t="s">
        <v>260</v>
      </c>
      <c r="F765" t="s">
        <v>21</v>
      </c>
      <c r="G765" t="s">
        <v>22</v>
      </c>
      <c r="H765" t="s">
        <v>2632</v>
      </c>
      <c r="I765" t="s">
        <v>2633</v>
      </c>
      <c r="J765">
        <v>1</v>
      </c>
      <c r="K765" t="s">
        <v>25</v>
      </c>
      <c r="L765" t="s">
        <v>77</v>
      </c>
      <c r="M765" t="s">
        <v>225</v>
      </c>
      <c r="N765" t="s">
        <v>45</v>
      </c>
      <c r="O765" t="s">
        <v>77</v>
      </c>
      <c r="P765" t="s">
        <v>29</v>
      </c>
      <c r="Q765" t="s">
        <v>30</v>
      </c>
    </row>
    <row r="766" spans="1:17" x14ac:dyDescent="0.25">
      <c r="A766" t="s">
        <v>914</v>
      </c>
      <c r="B766">
        <v>6603</v>
      </c>
      <c r="C766" t="s">
        <v>572</v>
      </c>
      <c r="D766" t="s">
        <v>32</v>
      </c>
      <c r="E766" t="s">
        <v>33</v>
      </c>
      <c r="F766" t="s">
        <v>700</v>
      </c>
      <c r="G766" t="s">
        <v>394</v>
      </c>
      <c r="H766" t="s">
        <v>2634</v>
      </c>
      <c r="I766" t="s">
        <v>2635</v>
      </c>
      <c r="J766">
        <v>1</v>
      </c>
      <c r="K766" t="s">
        <v>397</v>
      </c>
      <c r="L766" t="s">
        <v>604</v>
      </c>
      <c r="M766" t="s">
        <v>36</v>
      </c>
      <c r="N766" t="s">
        <v>45</v>
      </c>
      <c r="O766" t="s">
        <v>761</v>
      </c>
      <c r="P766" t="s">
        <v>29</v>
      </c>
      <c r="Q766" t="s">
        <v>30</v>
      </c>
    </row>
    <row r="767" spans="1:17" x14ac:dyDescent="0.25">
      <c r="A767" t="s">
        <v>2636</v>
      </c>
      <c r="B767">
        <v>129191</v>
      </c>
      <c r="C767" t="s">
        <v>903</v>
      </c>
      <c r="D767" t="s">
        <v>32</v>
      </c>
      <c r="E767" t="s">
        <v>33</v>
      </c>
      <c r="F767" t="s">
        <v>109</v>
      </c>
      <c r="G767" t="s">
        <v>22</v>
      </c>
      <c r="H767" t="s">
        <v>2637</v>
      </c>
      <c r="I767" t="s">
        <v>2638</v>
      </c>
      <c r="J767">
        <v>1</v>
      </c>
      <c r="K767" t="s">
        <v>25</v>
      </c>
      <c r="L767" t="s">
        <v>548</v>
      </c>
      <c r="M767" t="s">
        <v>113</v>
      </c>
      <c r="N767" t="s">
        <v>45</v>
      </c>
      <c r="O767" t="s">
        <v>290</v>
      </c>
      <c r="P767" t="s">
        <v>29</v>
      </c>
      <c r="Q767" t="s">
        <v>30</v>
      </c>
    </row>
    <row r="768" spans="1:17" x14ac:dyDescent="0.25">
      <c r="A768" t="s">
        <v>2639</v>
      </c>
      <c r="B768">
        <v>129225</v>
      </c>
      <c r="C768" t="s">
        <v>922</v>
      </c>
      <c r="D768" t="s">
        <v>32</v>
      </c>
      <c r="E768" t="s">
        <v>130</v>
      </c>
      <c r="F768" t="s">
        <v>123</v>
      </c>
      <c r="G768" t="s">
        <v>394</v>
      </c>
      <c r="H768" t="s">
        <v>2640</v>
      </c>
      <c r="I768" t="s">
        <v>2641</v>
      </c>
      <c r="J768">
        <v>1</v>
      </c>
      <c r="K768" t="s">
        <v>25</v>
      </c>
      <c r="L768" t="s">
        <v>444</v>
      </c>
      <c r="M768" t="s">
        <v>929</v>
      </c>
      <c r="N768" t="s">
        <v>45</v>
      </c>
      <c r="O768" t="s">
        <v>683</v>
      </c>
      <c r="P768" t="s">
        <v>29</v>
      </c>
      <c r="Q768" t="s">
        <v>30</v>
      </c>
    </row>
    <row r="769" spans="1:17" x14ac:dyDescent="0.25">
      <c r="A769" t="s">
        <v>2642</v>
      </c>
      <c r="B769">
        <v>46046</v>
      </c>
      <c r="C769" t="s">
        <v>400</v>
      </c>
      <c r="D769" t="s">
        <v>32</v>
      </c>
      <c r="E769" t="s">
        <v>62</v>
      </c>
      <c r="F769" t="s">
        <v>40</v>
      </c>
      <c r="G769" t="s">
        <v>394</v>
      </c>
      <c r="H769" t="s">
        <v>2643</v>
      </c>
      <c r="I769" t="s">
        <v>2644</v>
      </c>
      <c r="J769">
        <v>1</v>
      </c>
      <c r="K769" t="s">
        <v>25</v>
      </c>
      <c r="L769" t="s">
        <v>612</v>
      </c>
      <c r="M769" t="s">
        <v>89</v>
      </c>
      <c r="N769" t="s">
        <v>45</v>
      </c>
      <c r="O769" t="s">
        <v>46</v>
      </c>
      <c r="P769" t="s">
        <v>29</v>
      </c>
      <c r="Q769" t="s">
        <v>30</v>
      </c>
    </row>
    <row r="770" spans="1:17" x14ac:dyDescent="0.25">
      <c r="A770" t="s">
        <v>2645</v>
      </c>
      <c r="B770">
        <v>129232</v>
      </c>
      <c r="C770" t="s">
        <v>572</v>
      </c>
      <c r="D770" t="s">
        <v>32</v>
      </c>
      <c r="E770" t="s">
        <v>33</v>
      </c>
      <c r="F770" t="s">
        <v>700</v>
      </c>
      <c r="G770" t="s">
        <v>22</v>
      </c>
      <c r="H770" t="s">
        <v>2646</v>
      </c>
      <c r="I770" t="s">
        <v>2647</v>
      </c>
      <c r="J770">
        <v>1</v>
      </c>
      <c r="K770" t="s">
        <v>25</v>
      </c>
      <c r="L770" t="s">
        <v>356</v>
      </c>
      <c r="M770" t="s">
        <v>331</v>
      </c>
      <c r="N770" t="s">
        <v>493</v>
      </c>
      <c r="O770" t="s">
        <v>761</v>
      </c>
      <c r="P770" t="s">
        <v>29</v>
      </c>
      <c r="Q770" t="s">
        <v>30</v>
      </c>
    </row>
    <row r="771" spans="1:17" x14ac:dyDescent="0.25">
      <c r="A771" t="s">
        <v>2648</v>
      </c>
      <c r="B771">
        <v>52635</v>
      </c>
      <c r="C771" t="s">
        <v>577</v>
      </c>
      <c r="D771" t="s">
        <v>32</v>
      </c>
      <c r="E771" t="s">
        <v>227</v>
      </c>
      <c r="F771" t="s">
        <v>700</v>
      </c>
      <c r="G771" t="s">
        <v>22</v>
      </c>
      <c r="H771" t="s">
        <v>2649</v>
      </c>
      <c r="I771" t="s">
        <v>2650</v>
      </c>
      <c r="J771">
        <v>1</v>
      </c>
      <c r="K771" t="s">
        <v>25</v>
      </c>
      <c r="L771" t="s">
        <v>356</v>
      </c>
      <c r="M771" t="s">
        <v>1285</v>
      </c>
      <c r="N771" t="s">
        <v>493</v>
      </c>
      <c r="O771" t="s">
        <v>761</v>
      </c>
      <c r="P771" t="s">
        <v>29</v>
      </c>
      <c r="Q771" t="s">
        <v>30</v>
      </c>
    </row>
    <row r="772" spans="1:17" x14ac:dyDescent="0.25">
      <c r="A772" t="s">
        <v>2651</v>
      </c>
      <c r="B772">
        <v>129295</v>
      </c>
      <c r="C772" t="s">
        <v>221</v>
      </c>
      <c r="D772" t="s">
        <v>32</v>
      </c>
      <c r="E772" t="s">
        <v>62</v>
      </c>
      <c r="F772" t="s">
        <v>109</v>
      </c>
      <c r="G772" t="s">
        <v>22</v>
      </c>
      <c r="H772" t="s">
        <v>2652</v>
      </c>
      <c r="I772" t="s">
        <v>2653</v>
      </c>
      <c r="J772">
        <v>1</v>
      </c>
      <c r="K772" t="s">
        <v>112</v>
      </c>
      <c r="L772" t="s">
        <v>356</v>
      </c>
      <c r="M772" t="s">
        <v>906</v>
      </c>
      <c r="N772" t="s">
        <v>493</v>
      </c>
      <c r="O772" t="s">
        <v>290</v>
      </c>
      <c r="P772" t="s">
        <v>29</v>
      </c>
      <c r="Q772" t="s">
        <v>30</v>
      </c>
    </row>
    <row r="773" spans="1:17" x14ac:dyDescent="0.25">
      <c r="A773" t="s">
        <v>2654</v>
      </c>
      <c r="B773">
        <v>129293</v>
      </c>
      <c r="C773" t="s">
        <v>193</v>
      </c>
      <c r="D773" t="s">
        <v>32</v>
      </c>
      <c r="E773" t="s">
        <v>33</v>
      </c>
      <c r="F773" t="s">
        <v>109</v>
      </c>
      <c r="G773" t="s">
        <v>22</v>
      </c>
      <c r="H773" t="s">
        <v>2655</v>
      </c>
      <c r="I773" t="s">
        <v>2656</v>
      </c>
      <c r="J773">
        <v>1</v>
      </c>
      <c r="K773" t="s">
        <v>25</v>
      </c>
      <c r="L773" t="s">
        <v>356</v>
      </c>
      <c r="M773" t="s">
        <v>372</v>
      </c>
      <c r="N773" t="s">
        <v>493</v>
      </c>
      <c r="O773" t="s">
        <v>290</v>
      </c>
      <c r="P773" t="s">
        <v>29</v>
      </c>
      <c r="Q773" t="s">
        <v>30</v>
      </c>
    </row>
    <row r="774" spans="1:17" x14ac:dyDescent="0.25">
      <c r="A774" t="s">
        <v>2657</v>
      </c>
      <c r="B774">
        <v>129310</v>
      </c>
      <c r="C774" t="s">
        <v>622</v>
      </c>
      <c r="D774" t="s">
        <v>32</v>
      </c>
      <c r="E774" t="s">
        <v>62</v>
      </c>
      <c r="F774" t="s">
        <v>21</v>
      </c>
      <c r="G774" t="s">
        <v>22</v>
      </c>
      <c r="H774" t="s">
        <v>2658</v>
      </c>
      <c r="I774" t="s">
        <v>2659</v>
      </c>
      <c r="J774">
        <v>1</v>
      </c>
      <c r="K774" t="s">
        <v>112</v>
      </c>
      <c r="L774" t="s">
        <v>77</v>
      </c>
      <c r="M774" t="s">
        <v>943</v>
      </c>
      <c r="N774" t="s">
        <v>493</v>
      </c>
      <c r="O774" t="s">
        <v>77</v>
      </c>
      <c r="P774" t="s">
        <v>29</v>
      </c>
      <c r="Q774" t="s">
        <v>30</v>
      </c>
    </row>
    <row r="775" spans="1:17" x14ac:dyDescent="0.25">
      <c r="A775" t="s">
        <v>2660</v>
      </c>
      <c r="B775">
        <v>129305</v>
      </c>
      <c r="C775" t="s">
        <v>2435</v>
      </c>
      <c r="D775" t="s">
        <v>19</v>
      </c>
      <c r="E775" t="s">
        <v>33</v>
      </c>
      <c r="F775" t="s">
        <v>484</v>
      </c>
      <c r="G775" t="s">
        <v>22</v>
      </c>
      <c r="H775" t="s">
        <v>2661</v>
      </c>
      <c r="I775" t="s">
        <v>2662</v>
      </c>
      <c r="J775">
        <v>1</v>
      </c>
      <c r="K775" t="s">
        <v>25</v>
      </c>
      <c r="L775" t="s">
        <v>661</v>
      </c>
      <c r="M775" t="s">
        <v>967</v>
      </c>
      <c r="N775" t="s">
        <v>493</v>
      </c>
      <c r="O775" t="s">
        <v>620</v>
      </c>
      <c r="P775" t="s">
        <v>29</v>
      </c>
      <c r="Q775" t="s">
        <v>30</v>
      </c>
    </row>
    <row r="776" spans="1:17" x14ac:dyDescent="0.25">
      <c r="A776" t="s">
        <v>2663</v>
      </c>
      <c r="B776">
        <v>90839</v>
      </c>
      <c r="C776" t="s">
        <v>18</v>
      </c>
      <c r="D776" t="s">
        <v>19</v>
      </c>
      <c r="E776" t="s">
        <v>33</v>
      </c>
      <c r="F776" t="s">
        <v>109</v>
      </c>
      <c r="G776" t="s">
        <v>394</v>
      </c>
      <c r="H776" t="s">
        <v>2664</v>
      </c>
      <c r="I776" t="s">
        <v>2665</v>
      </c>
      <c r="J776">
        <v>1</v>
      </c>
      <c r="K776" t="s">
        <v>112</v>
      </c>
      <c r="L776" t="s">
        <v>552</v>
      </c>
      <c r="M776" t="s">
        <v>906</v>
      </c>
      <c r="N776" t="s">
        <v>493</v>
      </c>
      <c r="O776" t="s">
        <v>290</v>
      </c>
      <c r="P776" t="s">
        <v>29</v>
      </c>
      <c r="Q776" t="s">
        <v>30</v>
      </c>
    </row>
    <row r="777" spans="1:17" x14ac:dyDescent="0.25">
      <c r="A777" t="s">
        <v>2666</v>
      </c>
      <c r="B777">
        <v>69294</v>
      </c>
      <c r="C777" t="s">
        <v>108</v>
      </c>
      <c r="D777" t="s">
        <v>32</v>
      </c>
      <c r="E777" t="s">
        <v>33</v>
      </c>
      <c r="F777" t="s">
        <v>109</v>
      </c>
      <c r="G777" t="s">
        <v>394</v>
      </c>
      <c r="H777" t="s">
        <v>2667</v>
      </c>
      <c r="I777" t="s">
        <v>2668</v>
      </c>
      <c r="J777">
        <v>1</v>
      </c>
      <c r="K777" t="s">
        <v>112</v>
      </c>
      <c r="L777" t="s">
        <v>575</v>
      </c>
      <c r="M777" t="s">
        <v>113</v>
      </c>
      <c r="N777" t="s">
        <v>493</v>
      </c>
      <c r="O777" t="s">
        <v>290</v>
      </c>
      <c r="P777" t="s">
        <v>29</v>
      </c>
      <c r="Q777" t="s">
        <v>30</v>
      </c>
    </row>
    <row r="778" spans="1:17" x14ac:dyDescent="0.25">
      <c r="A778" t="s">
        <v>2669</v>
      </c>
      <c r="B778">
        <v>74558</v>
      </c>
      <c r="C778" t="s">
        <v>108</v>
      </c>
      <c r="D778" t="s">
        <v>19</v>
      </c>
      <c r="E778" t="s">
        <v>227</v>
      </c>
      <c r="F778" t="s">
        <v>109</v>
      </c>
      <c r="G778" t="s">
        <v>394</v>
      </c>
      <c r="H778" t="s">
        <v>2670</v>
      </c>
      <c r="I778" t="s">
        <v>2671</v>
      </c>
      <c r="J778">
        <v>1</v>
      </c>
      <c r="K778" t="s">
        <v>25</v>
      </c>
      <c r="L778" t="s">
        <v>575</v>
      </c>
      <c r="M778" t="s">
        <v>113</v>
      </c>
      <c r="N778" t="s">
        <v>493</v>
      </c>
      <c r="O778" t="s">
        <v>290</v>
      </c>
      <c r="P778" t="s">
        <v>29</v>
      </c>
      <c r="Q778" t="s">
        <v>30</v>
      </c>
    </row>
    <row r="779" spans="1:17" x14ac:dyDescent="0.25">
      <c r="A779" t="s">
        <v>2672</v>
      </c>
      <c r="B779">
        <v>129385</v>
      </c>
      <c r="C779" t="s">
        <v>108</v>
      </c>
      <c r="D779" t="s">
        <v>19</v>
      </c>
      <c r="E779" t="s">
        <v>33</v>
      </c>
      <c r="F779" t="s">
        <v>109</v>
      </c>
      <c r="G779" t="s">
        <v>22</v>
      </c>
      <c r="H779" t="s">
        <v>2673</v>
      </c>
      <c r="I779" t="s">
        <v>2674</v>
      </c>
      <c r="J779">
        <v>1</v>
      </c>
      <c r="K779" t="s">
        <v>25</v>
      </c>
      <c r="L779" t="s">
        <v>230</v>
      </c>
      <c r="M779" t="s">
        <v>372</v>
      </c>
      <c r="N779" t="s">
        <v>493</v>
      </c>
      <c r="O779" t="s">
        <v>591</v>
      </c>
      <c r="P779" t="s">
        <v>29</v>
      </c>
      <c r="Q779" t="s">
        <v>30</v>
      </c>
    </row>
    <row r="780" spans="1:17" x14ac:dyDescent="0.25">
      <c r="A780" t="s">
        <v>2675</v>
      </c>
      <c r="B780">
        <v>123958</v>
      </c>
      <c r="C780" t="s">
        <v>80</v>
      </c>
      <c r="D780" t="s">
        <v>32</v>
      </c>
      <c r="E780" t="s">
        <v>33</v>
      </c>
      <c r="F780" t="s">
        <v>40</v>
      </c>
      <c r="G780" t="s">
        <v>22</v>
      </c>
      <c r="H780" t="s">
        <v>2676</v>
      </c>
      <c r="I780" t="s">
        <v>2677</v>
      </c>
      <c r="J780">
        <v>1</v>
      </c>
      <c r="K780" t="s">
        <v>25</v>
      </c>
      <c r="L780" t="s">
        <v>46</v>
      </c>
      <c r="M780" t="s">
        <v>1047</v>
      </c>
      <c r="N780" t="s">
        <v>493</v>
      </c>
      <c r="O780" t="s">
        <v>612</v>
      </c>
      <c r="P780" t="s">
        <v>29</v>
      </c>
      <c r="Q780" t="s">
        <v>30</v>
      </c>
    </row>
    <row r="781" spans="1:17" x14ac:dyDescent="0.25">
      <c r="A781" t="s">
        <v>2678</v>
      </c>
      <c r="B781">
        <v>129437</v>
      </c>
      <c r="C781" t="s">
        <v>151</v>
      </c>
      <c r="D781" t="s">
        <v>32</v>
      </c>
      <c r="E781" t="s">
        <v>260</v>
      </c>
      <c r="F781" t="s">
        <v>40</v>
      </c>
      <c r="G781" t="s">
        <v>22</v>
      </c>
      <c r="H781" t="s">
        <v>2679</v>
      </c>
      <c r="I781" t="s">
        <v>2680</v>
      </c>
      <c r="J781">
        <v>1</v>
      </c>
      <c r="K781" t="s">
        <v>25</v>
      </c>
      <c r="L781" t="s">
        <v>105</v>
      </c>
      <c r="M781" t="s">
        <v>1039</v>
      </c>
      <c r="N781" t="s">
        <v>493</v>
      </c>
      <c r="O781" t="s">
        <v>612</v>
      </c>
      <c r="P781" t="s">
        <v>29</v>
      </c>
      <c r="Q781" t="s">
        <v>30</v>
      </c>
    </row>
    <row r="782" spans="1:17" x14ac:dyDescent="0.25">
      <c r="A782" t="s">
        <v>2681</v>
      </c>
      <c r="B782">
        <v>123042</v>
      </c>
      <c r="C782" t="s">
        <v>215</v>
      </c>
      <c r="D782" t="s">
        <v>32</v>
      </c>
      <c r="E782" t="s">
        <v>62</v>
      </c>
      <c r="F782" t="s">
        <v>123</v>
      </c>
      <c r="G782" t="s">
        <v>22</v>
      </c>
      <c r="H782" t="s">
        <v>2682</v>
      </c>
      <c r="I782" t="s">
        <v>2683</v>
      </c>
      <c r="J782">
        <v>1</v>
      </c>
      <c r="K782" t="s">
        <v>25</v>
      </c>
      <c r="L782" t="s">
        <v>356</v>
      </c>
      <c r="M782" t="s">
        <v>127</v>
      </c>
      <c r="N782" t="s">
        <v>493</v>
      </c>
      <c r="O782" t="s">
        <v>548</v>
      </c>
      <c r="P782" t="s">
        <v>29</v>
      </c>
      <c r="Q782" t="s">
        <v>30</v>
      </c>
    </row>
    <row r="783" spans="1:17" x14ac:dyDescent="0.25">
      <c r="A783" t="s">
        <v>2684</v>
      </c>
      <c r="B783">
        <v>39163</v>
      </c>
      <c r="C783" t="s">
        <v>122</v>
      </c>
      <c r="D783" t="s">
        <v>32</v>
      </c>
      <c r="E783" t="s">
        <v>227</v>
      </c>
      <c r="F783" t="s">
        <v>40</v>
      </c>
      <c r="G783" t="s">
        <v>22</v>
      </c>
      <c r="H783" t="s">
        <v>2685</v>
      </c>
      <c r="I783" t="s">
        <v>2686</v>
      </c>
      <c r="J783">
        <v>1</v>
      </c>
      <c r="K783" t="s">
        <v>25</v>
      </c>
      <c r="L783" t="s">
        <v>683</v>
      </c>
      <c r="M783" t="s">
        <v>1039</v>
      </c>
      <c r="N783" t="s">
        <v>493</v>
      </c>
      <c r="O783" t="s">
        <v>590</v>
      </c>
      <c r="P783" t="s">
        <v>29</v>
      </c>
      <c r="Q783" t="s">
        <v>30</v>
      </c>
    </row>
    <row r="784" spans="1:17" x14ac:dyDescent="0.25">
      <c r="A784" t="s">
        <v>2687</v>
      </c>
      <c r="B784">
        <v>129472</v>
      </c>
      <c r="C784" t="s">
        <v>670</v>
      </c>
      <c r="D784" t="s">
        <v>32</v>
      </c>
      <c r="E784" t="s">
        <v>20</v>
      </c>
      <c r="F784" t="s">
        <v>123</v>
      </c>
      <c r="G784" t="s">
        <v>22</v>
      </c>
      <c r="H784" t="s">
        <v>2688</v>
      </c>
      <c r="I784" t="s">
        <v>2689</v>
      </c>
      <c r="J784">
        <v>1</v>
      </c>
      <c r="K784" t="s">
        <v>25</v>
      </c>
      <c r="L784" t="s">
        <v>548</v>
      </c>
      <c r="M784" t="s">
        <v>504</v>
      </c>
      <c r="N784" t="s">
        <v>493</v>
      </c>
      <c r="O784" t="s">
        <v>548</v>
      </c>
      <c r="P784" t="s">
        <v>29</v>
      </c>
      <c r="Q784" t="s">
        <v>30</v>
      </c>
    </row>
    <row r="785" spans="1:17" x14ac:dyDescent="0.25">
      <c r="A785" t="s">
        <v>2690</v>
      </c>
      <c r="B785">
        <v>129453</v>
      </c>
      <c r="C785" t="s">
        <v>816</v>
      </c>
      <c r="D785" t="s">
        <v>32</v>
      </c>
      <c r="E785" t="s">
        <v>20</v>
      </c>
      <c r="F785" t="s">
        <v>700</v>
      </c>
      <c r="G785" t="s">
        <v>22</v>
      </c>
      <c r="H785" t="s">
        <v>2691</v>
      </c>
      <c r="I785" t="s">
        <v>2692</v>
      </c>
      <c r="J785">
        <v>1</v>
      </c>
      <c r="K785" t="s">
        <v>25</v>
      </c>
      <c r="L785" t="s">
        <v>548</v>
      </c>
      <c r="M785" t="s">
        <v>1841</v>
      </c>
      <c r="N785" t="s">
        <v>493</v>
      </c>
      <c r="O785" t="s">
        <v>761</v>
      </c>
      <c r="P785" t="s">
        <v>29</v>
      </c>
      <c r="Q785" t="s">
        <v>30</v>
      </c>
    </row>
    <row r="786" spans="1:17" x14ac:dyDescent="0.25">
      <c r="A786" t="s">
        <v>2693</v>
      </c>
      <c r="B786">
        <v>129497</v>
      </c>
      <c r="C786" t="s">
        <v>68</v>
      </c>
      <c r="D786" t="s">
        <v>32</v>
      </c>
      <c r="E786" t="s">
        <v>33</v>
      </c>
      <c r="F786" t="s">
        <v>123</v>
      </c>
      <c r="G786" t="s">
        <v>22</v>
      </c>
      <c r="H786" t="s">
        <v>2694</v>
      </c>
      <c r="I786" t="s">
        <v>2695</v>
      </c>
      <c r="J786">
        <v>1</v>
      </c>
      <c r="K786" t="s">
        <v>25</v>
      </c>
      <c r="L786" t="s">
        <v>356</v>
      </c>
      <c r="M786" t="s">
        <v>751</v>
      </c>
      <c r="N786" t="s">
        <v>493</v>
      </c>
      <c r="O786" t="s">
        <v>590</v>
      </c>
      <c r="P786" t="s">
        <v>29</v>
      </c>
      <c r="Q786" t="s">
        <v>30</v>
      </c>
    </row>
    <row r="787" spans="1:17" x14ac:dyDescent="0.25">
      <c r="A787" t="s">
        <v>2696</v>
      </c>
      <c r="B787">
        <v>129109</v>
      </c>
      <c r="C787" t="s">
        <v>188</v>
      </c>
      <c r="D787" t="s">
        <v>32</v>
      </c>
      <c r="E787" t="s">
        <v>62</v>
      </c>
      <c r="F787" t="s">
        <v>393</v>
      </c>
      <c r="G787" t="s">
        <v>216</v>
      </c>
      <c r="H787" t="s">
        <v>2697</v>
      </c>
      <c r="I787" t="s">
        <v>2698</v>
      </c>
      <c r="J787">
        <v>1</v>
      </c>
      <c r="K787" t="s">
        <v>25</v>
      </c>
      <c r="L787" t="s">
        <v>356</v>
      </c>
      <c r="M787" t="s">
        <v>1215</v>
      </c>
      <c r="N787" t="s">
        <v>493</v>
      </c>
      <c r="O787" t="s">
        <v>1559</v>
      </c>
      <c r="P787" t="s">
        <v>29</v>
      </c>
      <c r="Q787" t="s">
        <v>30</v>
      </c>
    </row>
    <row r="788" spans="1:17" x14ac:dyDescent="0.25">
      <c r="A788" t="s">
        <v>2699</v>
      </c>
      <c r="B788">
        <v>88227</v>
      </c>
      <c r="C788" t="s">
        <v>869</v>
      </c>
      <c r="D788" t="s">
        <v>19</v>
      </c>
      <c r="E788" t="s">
        <v>33</v>
      </c>
      <c r="F788" t="s">
        <v>685</v>
      </c>
      <c r="G788" t="s">
        <v>394</v>
      </c>
      <c r="H788" t="s">
        <v>2700</v>
      </c>
      <c r="I788" t="s">
        <v>2701</v>
      </c>
      <c r="J788">
        <v>1</v>
      </c>
      <c r="K788" t="s">
        <v>25</v>
      </c>
      <c r="L788" t="s">
        <v>52</v>
      </c>
      <c r="M788" t="s">
        <v>688</v>
      </c>
      <c r="N788" t="s">
        <v>493</v>
      </c>
      <c r="O788" t="s">
        <v>761</v>
      </c>
      <c r="P788" t="s">
        <v>29</v>
      </c>
      <c r="Q788" t="s">
        <v>30</v>
      </c>
    </row>
    <row r="789" spans="1:17" x14ac:dyDescent="0.25">
      <c r="A789" t="s">
        <v>2702</v>
      </c>
      <c r="B789">
        <v>129500</v>
      </c>
      <c r="C789" t="s">
        <v>622</v>
      </c>
      <c r="D789" t="s">
        <v>19</v>
      </c>
      <c r="E789" t="s">
        <v>33</v>
      </c>
      <c r="F789" t="s">
        <v>21</v>
      </c>
      <c r="G789" t="s">
        <v>22</v>
      </c>
      <c r="H789" t="s">
        <v>2703</v>
      </c>
      <c r="I789" t="s">
        <v>2704</v>
      </c>
      <c r="J789">
        <v>1</v>
      </c>
      <c r="K789" t="s">
        <v>25</v>
      </c>
      <c r="L789" t="s">
        <v>77</v>
      </c>
      <c r="M789" t="s">
        <v>308</v>
      </c>
      <c r="N789" t="s">
        <v>493</v>
      </c>
      <c r="O789" t="s">
        <v>77</v>
      </c>
      <c r="P789" t="s">
        <v>29</v>
      </c>
      <c r="Q789" t="s">
        <v>30</v>
      </c>
    </row>
    <row r="790" spans="1:17" x14ac:dyDescent="0.25">
      <c r="A790" t="s">
        <v>2579</v>
      </c>
      <c r="B790">
        <v>39641</v>
      </c>
      <c r="C790" t="s">
        <v>175</v>
      </c>
      <c r="D790" t="s">
        <v>19</v>
      </c>
      <c r="E790" t="s">
        <v>227</v>
      </c>
      <c r="F790" t="s">
        <v>109</v>
      </c>
      <c r="G790" t="s">
        <v>394</v>
      </c>
      <c r="H790" t="s">
        <v>2705</v>
      </c>
      <c r="I790" t="s">
        <v>2706</v>
      </c>
      <c r="J790">
        <v>1</v>
      </c>
      <c r="K790" t="s">
        <v>25</v>
      </c>
      <c r="L790" t="s">
        <v>224</v>
      </c>
      <c r="M790" t="s">
        <v>708</v>
      </c>
      <c r="N790" t="s">
        <v>493</v>
      </c>
      <c r="O790" t="s">
        <v>591</v>
      </c>
      <c r="P790" t="s">
        <v>29</v>
      </c>
      <c r="Q790" t="s">
        <v>30</v>
      </c>
    </row>
    <row r="791" spans="1:17" x14ac:dyDescent="0.25">
      <c r="A791" t="s">
        <v>2707</v>
      </c>
      <c r="B791">
        <v>129376</v>
      </c>
      <c r="C791" t="s">
        <v>1197</v>
      </c>
      <c r="D791" t="s">
        <v>32</v>
      </c>
      <c r="E791" t="s">
        <v>20</v>
      </c>
      <c r="F791" t="s">
        <v>700</v>
      </c>
      <c r="G791" t="s">
        <v>22</v>
      </c>
      <c r="H791" t="s">
        <v>2708</v>
      </c>
      <c r="I791" t="s">
        <v>2709</v>
      </c>
      <c r="J791">
        <v>1</v>
      </c>
      <c r="K791" t="s">
        <v>25</v>
      </c>
      <c r="L791" t="s">
        <v>161</v>
      </c>
      <c r="M791" t="s">
        <v>1226</v>
      </c>
      <c r="N791" t="s">
        <v>493</v>
      </c>
      <c r="O791" t="s">
        <v>761</v>
      </c>
      <c r="P791" t="s">
        <v>29</v>
      </c>
      <c r="Q791" t="s">
        <v>30</v>
      </c>
    </row>
    <row r="792" spans="1:17" x14ac:dyDescent="0.25">
      <c r="A792" t="s">
        <v>2710</v>
      </c>
      <c r="B792">
        <v>129426</v>
      </c>
      <c r="C792" t="s">
        <v>315</v>
      </c>
      <c r="D792" t="s">
        <v>32</v>
      </c>
      <c r="E792" t="s">
        <v>33</v>
      </c>
      <c r="F792" t="s">
        <v>40</v>
      </c>
      <c r="G792" t="s">
        <v>22</v>
      </c>
      <c r="H792" t="s">
        <v>2711</v>
      </c>
      <c r="I792" t="s">
        <v>2712</v>
      </c>
      <c r="J792">
        <v>1</v>
      </c>
      <c r="K792" t="s">
        <v>25</v>
      </c>
      <c r="L792" t="s">
        <v>199</v>
      </c>
      <c r="M792" t="s">
        <v>78</v>
      </c>
      <c r="N792" t="s">
        <v>493</v>
      </c>
      <c r="O792" t="s">
        <v>612</v>
      </c>
      <c r="P792" t="s">
        <v>29</v>
      </c>
      <c r="Q792" t="s">
        <v>30</v>
      </c>
    </row>
    <row r="793" spans="1:17" x14ac:dyDescent="0.25">
      <c r="A793" t="s">
        <v>2713</v>
      </c>
      <c r="B793">
        <v>128237</v>
      </c>
      <c r="C793" t="s">
        <v>541</v>
      </c>
      <c r="D793" t="s">
        <v>32</v>
      </c>
      <c r="E793" t="s">
        <v>33</v>
      </c>
      <c r="F793" t="s">
        <v>700</v>
      </c>
      <c r="G793" t="s">
        <v>22</v>
      </c>
      <c r="H793" t="s">
        <v>2714</v>
      </c>
      <c r="I793" t="s">
        <v>2715</v>
      </c>
      <c r="J793">
        <v>1</v>
      </c>
      <c r="K793" t="s">
        <v>25</v>
      </c>
      <c r="L793" t="s">
        <v>161</v>
      </c>
      <c r="M793" t="s">
        <v>1226</v>
      </c>
      <c r="N793" t="s">
        <v>493</v>
      </c>
      <c r="O793" t="s">
        <v>761</v>
      </c>
      <c r="P793" t="s">
        <v>29</v>
      </c>
      <c r="Q793" t="s">
        <v>30</v>
      </c>
    </row>
    <row r="794" spans="1:17" x14ac:dyDescent="0.25">
      <c r="A794" t="s">
        <v>2716</v>
      </c>
      <c r="B794">
        <v>129554</v>
      </c>
      <c r="C794" t="s">
        <v>18</v>
      </c>
      <c r="D794" t="s">
        <v>19</v>
      </c>
      <c r="E794" t="s">
        <v>33</v>
      </c>
      <c r="F794" t="s">
        <v>109</v>
      </c>
      <c r="G794" t="s">
        <v>22</v>
      </c>
      <c r="H794" t="s">
        <v>2717</v>
      </c>
      <c r="I794" t="s">
        <v>2718</v>
      </c>
      <c r="J794">
        <v>1</v>
      </c>
      <c r="K794" t="s">
        <v>211</v>
      </c>
      <c r="L794" t="s">
        <v>161</v>
      </c>
      <c r="M794" t="s">
        <v>708</v>
      </c>
      <c r="N794" t="s">
        <v>493</v>
      </c>
      <c r="O794" t="s">
        <v>157</v>
      </c>
      <c r="P794" t="s">
        <v>29</v>
      </c>
      <c r="Q794" t="s">
        <v>30</v>
      </c>
    </row>
    <row r="795" spans="1:17" x14ac:dyDescent="0.25">
      <c r="A795" t="s">
        <v>2719</v>
      </c>
      <c r="B795">
        <v>35956</v>
      </c>
      <c r="C795" t="s">
        <v>74</v>
      </c>
      <c r="D795" t="s">
        <v>32</v>
      </c>
      <c r="E795" t="s">
        <v>227</v>
      </c>
      <c r="F795" t="s">
        <v>40</v>
      </c>
      <c r="G795" t="s">
        <v>394</v>
      </c>
      <c r="H795" t="s">
        <v>2720</v>
      </c>
      <c r="I795" t="s">
        <v>2721</v>
      </c>
      <c r="J795">
        <v>1</v>
      </c>
      <c r="K795" t="s">
        <v>25</v>
      </c>
      <c r="L795" t="s">
        <v>612</v>
      </c>
      <c r="M795" t="s">
        <v>1226</v>
      </c>
      <c r="N795" t="s">
        <v>493</v>
      </c>
      <c r="O795" t="s">
        <v>590</v>
      </c>
      <c r="P795" t="s">
        <v>29</v>
      </c>
      <c r="Q795" t="s">
        <v>30</v>
      </c>
    </row>
    <row r="796" spans="1:17" x14ac:dyDescent="0.25">
      <c r="A796" t="s">
        <v>2722</v>
      </c>
      <c r="B796">
        <v>129350</v>
      </c>
      <c r="C796" t="s">
        <v>188</v>
      </c>
      <c r="D796" t="s">
        <v>32</v>
      </c>
      <c r="E796" t="s">
        <v>33</v>
      </c>
      <c r="F796" t="s">
        <v>40</v>
      </c>
      <c r="G796" t="s">
        <v>22</v>
      </c>
      <c r="H796" t="s">
        <v>2723</v>
      </c>
      <c r="I796" t="s">
        <v>2724</v>
      </c>
      <c r="J796">
        <v>1</v>
      </c>
      <c r="K796" t="s">
        <v>25</v>
      </c>
      <c r="L796" t="s">
        <v>1281</v>
      </c>
      <c r="M796" t="s">
        <v>2725</v>
      </c>
      <c r="N796" t="s">
        <v>493</v>
      </c>
      <c r="O796" t="s">
        <v>590</v>
      </c>
      <c r="P796" t="s">
        <v>29</v>
      </c>
      <c r="Q796" t="s">
        <v>30</v>
      </c>
    </row>
    <row r="797" spans="1:17" x14ac:dyDescent="0.25">
      <c r="A797" t="s">
        <v>2726</v>
      </c>
      <c r="B797">
        <v>121498</v>
      </c>
      <c r="C797" t="s">
        <v>1100</v>
      </c>
      <c r="D797" t="s">
        <v>19</v>
      </c>
      <c r="E797" t="s">
        <v>33</v>
      </c>
      <c r="F797" t="s">
        <v>484</v>
      </c>
      <c r="G797" t="s">
        <v>22</v>
      </c>
      <c r="H797" t="s">
        <v>2727</v>
      </c>
      <c r="I797" t="s">
        <v>2728</v>
      </c>
      <c r="J797">
        <v>1</v>
      </c>
      <c r="K797" t="s">
        <v>25</v>
      </c>
      <c r="L797" t="s">
        <v>661</v>
      </c>
      <c r="M797" t="s">
        <v>967</v>
      </c>
      <c r="N797" t="s">
        <v>493</v>
      </c>
      <c r="O797" t="s">
        <v>620</v>
      </c>
      <c r="P797" t="s">
        <v>29</v>
      </c>
      <c r="Q797" t="s">
        <v>30</v>
      </c>
    </row>
    <row r="798" spans="1:17" x14ac:dyDescent="0.25">
      <c r="A798" t="s">
        <v>2729</v>
      </c>
      <c r="B798">
        <v>72615</v>
      </c>
      <c r="C798" t="s">
        <v>2730</v>
      </c>
      <c r="D798" t="s">
        <v>32</v>
      </c>
      <c r="E798" t="s">
        <v>227</v>
      </c>
      <c r="F798" t="s">
        <v>109</v>
      </c>
      <c r="G798" t="s">
        <v>22</v>
      </c>
      <c r="H798" t="s">
        <v>2731</v>
      </c>
      <c r="I798" t="s">
        <v>2732</v>
      </c>
      <c r="J798">
        <v>1</v>
      </c>
      <c r="K798" t="s">
        <v>397</v>
      </c>
      <c r="L798" t="s">
        <v>661</v>
      </c>
      <c r="M798" t="s">
        <v>457</v>
      </c>
      <c r="N798" t="s">
        <v>45</v>
      </c>
      <c r="O798" t="s">
        <v>591</v>
      </c>
      <c r="P798" t="s">
        <v>29</v>
      </c>
      <c r="Q798" t="s">
        <v>30</v>
      </c>
    </row>
    <row r="799" spans="1:17" x14ac:dyDescent="0.25">
      <c r="A799" t="s">
        <v>2733</v>
      </c>
      <c r="B799">
        <v>129644</v>
      </c>
      <c r="C799" t="s">
        <v>922</v>
      </c>
      <c r="D799" t="s">
        <v>19</v>
      </c>
      <c r="E799" t="s">
        <v>20</v>
      </c>
      <c r="F799" t="s">
        <v>484</v>
      </c>
      <c r="G799" t="s">
        <v>22</v>
      </c>
      <c r="H799" t="s">
        <v>2734</v>
      </c>
      <c r="I799" t="s">
        <v>2735</v>
      </c>
      <c r="J799">
        <v>1</v>
      </c>
      <c r="K799" t="s">
        <v>25</v>
      </c>
      <c r="L799" t="s">
        <v>548</v>
      </c>
      <c r="M799" t="s">
        <v>967</v>
      </c>
      <c r="N799" t="s">
        <v>45</v>
      </c>
      <c r="O799" t="s">
        <v>620</v>
      </c>
      <c r="P799" t="s">
        <v>29</v>
      </c>
      <c r="Q799" t="s">
        <v>30</v>
      </c>
    </row>
    <row r="800" spans="1:17" x14ac:dyDescent="0.25">
      <c r="A800" t="s">
        <v>2736</v>
      </c>
      <c r="B800">
        <v>129628</v>
      </c>
      <c r="C800" t="s">
        <v>758</v>
      </c>
      <c r="D800" t="s">
        <v>32</v>
      </c>
      <c r="E800" t="s">
        <v>33</v>
      </c>
      <c r="F800" t="s">
        <v>700</v>
      </c>
      <c r="G800" t="s">
        <v>22</v>
      </c>
      <c r="H800" t="s">
        <v>2737</v>
      </c>
      <c r="I800" t="s">
        <v>2738</v>
      </c>
      <c r="J800">
        <v>1</v>
      </c>
      <c r="K800" t="s">
        <v>25</v>
      </c>
      <c r="L800" t="s">
        <v>548</v>
      </c>
      <c r="M800" t="s">
        <v>807</v>
      </c>
      <c r="N800" t="s">
        <v>45</v>
      </c>
      <c r="O800" t="s">
        <v>761</v>
      </c>
      <c r="P800" t="s">
        <v>29</v>
      </c>
      <c r="Q800" t="s">
        <v>30</v>
      </c>
    </row>
    <row r="801" spans="1:17" x14ac:dyDescent="0.25">
      <c r="A801" t="s">
        <v>2739</v>
      </c>
      <c r="B801">
        <v>129051</v>
      </c>
      <c r="C801" t="s">
        <v>301</v>
      </c>
      <c r="D801" t="s">
        <v>32</v>
      </c>
      <c r="E801" t="s">
        <v>33</v>
      </c>
      <c r="F801" t="s">
        <v>685</v>
      </c>
      <c r="G801" t="s">
        <v>394</v>
      </c>
      <c r="H801" t="s">
        <v>2740</v>
      </c>
      <c r="I801" t="s">
        <v>2741</v>
      </c>
      <c r="J801">
        <v>1</v>
      </c>
      <c r="K801" t="s">
        <v>25</v>
      </c>
      <c r="L801" t="s">
        <v>213</v>
      </c>
      <c r="M801" t="s">
        <v>2742</v>
      </c>
      <c r="N801" t="s">
        <v>45</v>
      </c>
      <c r="O801" t="s">
        <v>145</v>
      </c>
      <c r="P801" t="s">
        <v>29</v>
      </c>
      <c r="Q801" t="s">
        <v>30</v>
      </c>
    </row>
    <row r="802" spans="1:17" x14ac:dyDescent="0.25">
      <c r="A802" t="s">
        <v>2743</v>
      </c>
      <c r="B802">
        <v>36613</v>
      </c>
      <c r="C802" t="s">
        <v>392</v>
      </c>
      <c r="D802" t="s">
        <v>32</v>
      </c>
      <c r="E802" t="s">
        <v>33</v>
      </c>
      <c r="F802" t="s">
        <v>685</v>
      </c>
      <c r="G802" t="s">
        <v>394</v>
      </c>
      <c r="H802" t="s">
        <v>2744</v>
      </c>
      <c r="I802" t="s">
        <v>2745</v>
      </c>
      <c r="J802">
        <v>1</v>
      </c>
      <c r="K802" t="s">
        <v>25</v>
      </c>
      <c r="L802" t="s">
        <v>213</v>
      </c>
      <c r="M802" t="s">
        <v>2742</v>
      </c>
      <c r="N802" t="s">
        <v>45</v>
      </c>
      <c r="O802" t="s">
        <v>145</v>
      </c>
      <c r="P802" t="s">
        <v>29</v>
      </c>
      <c r="Q802" t="s">
        <v>30</v>
      </c>
    </row>
    <row r="803" spans="1:17" x14ac:dyDescent="0.25">
      <c r="A803" t="s">
        <v>2746</v>
      </c>
      <c r="B803">
        <v>129675</v>
      </c>
      <c r="C803" t="s">
        <v>614</v>
      </c>
      <c r="D803" t="s">
        <v>32</v>
      </c>
      <c r="E803" t="s">
        <v>260</v>
      </c>
      <c r="F803" t="s">
        <v>123</v>
      </c>
      <c r="G803" t="s">
        <v>216</v>
      </c>
      <c r="H803" t="s">
        <v>2747</v>
      </c>
      <c r="I803" t="s">
        <v>2748</v>
      </c>
      <c r="J803">
        <v>1</v>
      </c>
      <c r="K803" t="s">
        <v>397</v>
      </c>
      <c r="L803" t="s">
        <v>37</v>
      </c>
      <c r="M803" t="s">
        <v>929</v>
      </c>
      <c r="N803" t="s">
        <v>45</v>
      </c>
      <c r="O803" t="s">
        <v>213</v>
      </c>
      <c r="P803" t="s">
        <v>29</v>
      </c>
      <c r="Q803" t="s">
        <v>30</v>
      </c>
    </row>
    <row r="804" spans="1:17" x14ac:dyDescent="0.25">
      <c r="A804" t="s">
        <v>2749</v>
      </c>
      <c r="B804">
        <v>129692</v>
      </c>
      <c r="C804" t="s">
        <v>74</v>
      </c>
      <c r="D804" t="s">
        <v>32</v>
      </c>
      <c r="E804" t="s">
        <v>20</v>
      </c>
      <c r="F804" t="s">
        <v>40</v>
      </c>
      <c r="G804" t="s">
        <v>22</v>
      </c>
      <c r="H804" t="s">
        <v>2750</v>
      </c>
      <c r="I804" t="s">
        <v>2751</v>
      </c>
      <c r="J804">
        <v>1</v>
      </c>
      <c r="K804" t="s">
        <v>25</v>
      </c>
      <c r="L804" t="s">
        <v>683</v>
      </c>
      <c r="M804" t="s">
        <v>1039</v>
      </c>
      <c r="N804" t="s">
        <v>45</v>
      </c>
      <c r="O804" t="s">
        <v>683</v>
      </c>
      <c r="P804" t="s">
        <v>29</v>
      </c>
      <c r="Q804" t="s">
        <v>30</v>
      </c>
    </row>
    <row r="805" spans="1:17" x14ac:dyDescent="0.25">
      <c r="A805" t="s">
        <v>2752</v>
      </c>
      <c r="B805">
        <v>129757</v>
      </c>
      <c r="C805" t="s">
        <v>80</v>
      </c>
      <c r="D805" t="s">
        <v>32</v>
      </c>
      <c r="E805" t="s">
        <v>33</v>
      </c>
      <c r="F805" t="s">
        <v>40</v>
      </c>
      <c r="G805" t="s">
        <v>22</v>
      </c>
      <c r="H805" t="s">
        <v>2753</v>
      </c>
      <c r="I805" t="s">
        <v>2754</v>
      </c>
      <c r="J805">
        <v>1</v>
      </c>
      <c r="K805" t="s">
        <v>25</v>
      </c>
      <c r="L805" t="s">
        <v>46</v>
      </c>
      <c r="M805" t="s">
        <v>71</v>
      </c>
      <c r="N805" t="s">
        <v>45</v>
      </c>
      <c r="O805" t="s">
        <v>683</v>
      </c>
      <c r="P805" t="s">
        <v>29</v>
      </c>
      <c r="Q805" t="s">
        <v>30</v>
      </c>
    </row>
    <row r="806" spans="1:17" x14ac:dyDescent="0.25">
      <c r="A806" t="s">
        <v>2755</v>
      </c>
      <c r="B806">
        <v>6438</v>
      </c>
      <c r="C806" t="s">
        <v>74</v>
      </c>
      <c r="D806" t="s">
        <v>32</v>
      </c>
      <c r="E806" t="s">
        <v>33</v>
      </c>
      <c r="F806" t="s">
        <v>123</v>
      </c>
      <c r="G806" t="s">
        <v>394</v>
      </c>
      <c r="H806" t="s">
        <v>2756</v>
      </c>
      <c r="I806" t="s">
        <v>2757</v>
      </c>
      <c r="J806">
        <v>1</v>
      </c>
      <c r="K806" t="s">
        <v>25</v>
      </c>
      <c r="L806" t="s">
        <v>1281</v>
      </c>
      <c r="M806" t="s">
        <v>751</v>
      </c>
      <c r="N806" t="s">
        <v>493</v>
      </c>
      <c r="O806" t="s">
        <v>590</v>
      </c>
      <c r="P806" t="s">
        <v>29</v>
      </c>
      <c r="Q806" t="s">
        <v>30</v>
      </c>
    </row>
    <row r="807" spans="1:17" x14ac:dyDescent="0.25">
      <c r="A807" t="s">
        <v>2758</v>
      </c>
      <c r="B807">
        <v>129774</v>
      </c>
      <c r="C807" t="s">
        <v>441</v>
      </c>
      <c r="D807" t="s">
        <v>32</v>
      </c>
      <c r="E807" t="s">
        <v>33</v>
      </c>
      <c r="F807" t="s">
        <v>123</v>
      </c>
      <c r="G807" t="s">
        <v>22</v>
      </c>
      <c r="H807" t="s">
        <v>2759</v>
      </c>
      <c r="I807" t="s">
        <v>2760</v>
      </c>
      <c r="J807">
        <v>1</v>
      </c>
      <c r="K807" t="s">
        <v>112</v>
      </c>
      <c r="L807" t="s">
        <v>356</v>
      </c>
      <c r="M807" t="s">
        <v>127</v>
      </c>
      <c r="N807" t="s">
        <v>493</v>
      </c>
      <c r="O807" t="s">
        <v>548</v>
      </c>
      <c r="P807" t="s">
        <v>29</v>
      </c>
      <c r="Q807" t="s">
        <v>30</v>
      </c>
    </row>
    <row r="808" spans="1:17" x14ac:dyDescent="0.25">
      <c r="A808" t="s">
        <v>2761</v>
      </c>
      <c r="B808">
        <v>129797</v>
      </c>
      <c r="C808" t="s">
        <v>1172</v>
      </c>
      <c r="D808" t="s">
        <v>19</v>
      </c>
      <c r="E808" t="s">
        <v>33</v>
      </c>
      <c r="F808" t="s">
        <v>21</v>
      </c>
      <c r="G808" t="s">
        <v>22</v>
      </c>
      <c r="H808" t="s">
        <v>2762</v>
      </c>
      <c r="I808" t="s">
        <v>2763</v>
      </c>
      <c r="J808">
        <v>1</v>
      </c>
      <c r="K808" t="s">
        <v>25</v>
      </c>
      <c r="L808" t="s">
        <v>77</v>
      </c>
      <c r="M808" t="s">
        <v>662</v>
      </c>
      <c r="N808" t="s">
        <v>493</v>
      </c>
      <c r="O808" t="s">
        <v>77</v>
      </c>
      <c r="P808" t="s">
        <v>29</v>
      </c>
      <c r="Q808" t="s">
        <v>30</v>
      </c>
    </row>
    <row r="809" spans="1:17" x14ac:dyDescent="0.25">
      <c r="A809" t="s">
        <v>2764</v>
      </c>
      <c r="B809">
        <v>123083</v>
      </c>
      <c r="C809" t="s">
        <v>2765</v>
      </c>
      <c r="D809" t="s">
        <v>32</v>
      </c>
      <c r="E809" t="s">
        <v>260</v>
      </c>
      <c r="F809" t="s">
        <v>109</v>
      </c>
      <c r="G809" t="s">
        <v>2766</v>
      </c>
      <c r="H809" t="s">
        <v>2767</v>
      </c>
      <c r="I809" t="s">
        <v>2768</v>
      </c>
      <c r="J809">
        <v>1</v>
      </c>
      <c r="K809" t="s">
        <v>25</v>
      </c>
      <c r="L809" t="s">
        <v>591</v>
      </c>
      <c r="M809" t="s">
        <v>708</v>
      </c>
      <c r="N809" t="s">
        <v>493</v>
      </c>
      <c r="O809" t="s">
        <v>591</v>
      </c>
      <c r="P809" t="s">
        <v>29</v>
      </c>
      <c r="Q809" t="s">
        <v>30</v>
      </c>
    </row>
    <row r="810" spans="1:17" x14ac:dyDescent="0.25">
      <c r="A810" t="s">
        <v>2769</v>
      </c>
      <c r="B810">
        <v>129822</v>
      </c>
      <c r="C810" t="s">
        <v>1172</v>
      </c>
      <c r="D810" t="s">
        <v>19</v>
      </c>
      <c r="E810" t="s">
        <v>33</v>
      </c>
      <c r="F810" t="s">
        <v>21</v>
      </c>
      <c r="G810" t="s">
        <v>22</v>
      </c>
      <c r="H810" t="s">
        <v>2770</v>
      </c>
      <c r="I810" t="s">
        <v>2771</v>
      </c>
      <c r="J810">
        <v>1</v>
      </c>
      <c r="K810" t="s">
        <v>211</v>
      </c>
      <c r="L810" t="s">
        <v>77</v>
      </c>
      <c r="M810" t="s">
        <v>368</v>
      </c>
      <c r="N810" t="s">
        <v>493</v>
      </c>
      <c r="O810" t="s">
        <v>77</v>
      </c>
      <c r="P810" t="s">
        <v>29</v>
      </c>
      <c r="Q810" t="s">
        <v>30</v>
      </c>
    </row>
    <row r="811" spans="1:17" x14ac:dyDescent="0.25">
      <c r="A811" t="s">
        <v>2772</v>
      </c>
      <c r="B811">
        <v>114771</v>
      </c>
      <c r="C811" t="s">
        <v>61</v>
      </c>
      <c r="D811" t="s">
        <v>32</v>
      </c>
      <c r="E811" t="s">
        <v>62</v>
      </c>
      <c r="F811" t="s">
        <v>40</v>
      </c>
      <c r="G811" t="s">
        <v>22</v>
      </c>
      <c r="H811" t="s">
        <v>2773</v>
      </c>
      <c r="I811" t="s">
        <v>2774</v>
      </c>
      <c r="J811">
        <v>1</v>
      </c>
      <c r="K811" t="s">
        <v>25</v>
      </c>
      <c r="L811" t="s">
        <v>590</v>
      </c>
      <c r="M811" t="s">
        <v>590</v>
      </c>
      <c r="N811" t="s">
        <v>45</v>
      </c>
      <c r="O811" t="s">
        <v>590</v>
      </c>
      <c r="P811" t="s">
        <v>29</v>
      </c>
      <c r="Q811" t="s">
        <v>30</v>
      </c>
    </row>
    <row r="812" spans="1:17" x14ac:dyDescent="0.25">
      <c r="A812" t="s">
        <v>2775</v>
      </c>
      <c r="B812">
        <v>129848</v>
      </c>
      <c r="C812" t="s">
        <v>413</v>
      </c>
      <c r="D812" t="s">
        <v>32</v>
      </c>
      <c r="E812" t="s">
        <v>33</v>
      </c>
      <c r="F812" t="s">
        <v>109</v>
      </c>
      <c r="G812" t="s">
        <v>22</v>
      </c>
      <c r="H812" t="s">
        <v>2776</v>
      </c>
      <c r="I812" t="s">
        <v>2777</v>
      </c>
      <c r="J812">
        <v>1</v>
      </c>
      <c r="K812" t="s">
        <v>25</v>
      </c>
      <c r="L812" t="s">
        <v>356</v>
      </c>
      <c r="M812" t="s">
        <v>372</v>
      </c>
      <c r="N812" t="s">
        <v>45</v>
      </c>
      <c r="O812" t="s">
        <v>290</v>
      </c>
      <c r="P812" t="s">
        <v>29</v>
      </c>
      <c r="Q812" t="s">
        <v>30</v>
      </c>
    </row>
    <row r="813" spans="1:17" x14ac:dyDescent="0.25">
      <c r="A813" t="s">
        <v>2778</v>
      </c>
      <c r="B813">
        <v>129919</v>
      </c>
      <c r="C813" t="s">
        <v>884</v>
      </c>
      <c r="D813" t="s">
        <v>19</v>
      </c>
      <c r="E813" t="s">
        <v>33</v>
      </c>
      <c r="F813" t="s">
        <v>484</v>
      </c>
      <c r="G813" t="s">
        <v>22</v>
      </c>
      <c r="H813" t="s">
        <v>2779</v>
      </c>
      <c r="I813" t="s">
        <v>2780</v>
      </c>
      <c r="J813">
        <v>1</v>
      </c>
      <c r="K813" t="s">
        <v>25</v>
      </c>
      <c r="L813" t="s">
        <v>356</v>
      </c>
      <c r="M813" t="s">
        <v>487</v>
      </c>
      <c r="N813" t="s">
        <v>45</v>
      </c>
      <c r="O813" t="s">
        <v>620</v>
      </c>
      <c r="P813" t="s">
        <v>29</v>
      </c>
      <c r="Q813" t="s">
        <v>30</v>
      </c>
    </row>
    <row r="814" spans="1:17" x14ac:dyDescent="0.25">
      <c r="A814" t="s">
        <v>2781</v>
      </c>
      <c r="B814">
        <v>129935</v>
      </c>
      <c r="C814" t="s">
        <v>572</v>
      </c>
      <c r="D814" t="s">
        <v>19</v>
      </c>
      <c r="E814" t="s">
        <v>20</v>
      </c>
      <c r="F814" t="s">
        <v>484</v>
      </c>
      <c r="G814" t="s">
        <v>22</v>
      </c>
      <c r="H814" t="s">
        <v>2782</v>
      </c>
      <c r="I814" t="s">
        <v>2783</v>
      </c>
      <c r="J814">
        <v>1</v>
      </c>
      <c r="K814" t="s">
        <v>25</v>
      </c>
      <c r="L814" t="s">
        <v>477</v>
      </c>
      <c r="M814" t="s">
        <v>652</v>
      </c>
      <c r="N814" t="s">
        <v>45</v>
      </c>
      <c r="O814" t="s">
        <v>620</v>
      </c>
      <c r="P814" t="s">
        <v>29</v>
      </c>
      <c r="Q814" t="s">
        <v>30</v>
      </c>
    </row>
    <row r="815" spans="1:17" x14ac:dyDescent="0.25">
      <c r="A815" t="s">
        <v>2784</v>
      </c>
      <c r="B815">
        <v>130056</v>
      </c>
      <c r="C815" t="s">
        <v>1172</v>
      </c>
      <c r="D815" t="s">
        <v>32</v>
      </c>
      <c r="E815" t="s">
        <v>260</v>
      </c>
      <c r="F815" t="s">
        <v>21</v>
      </c>
      <c r="G815" t="s">
        <v>22</v>
      </c>
      <c r="H815" t="s">
        <v>2785</v>
      </c>
      <c r="I815" t="s">
        <v>2786</v>
      </c>
      <c r="J815">
        <v>1</v>
      </c>
      <c r="K815" t="s">
        <v>25</v>
      </c>
      <c r="L815" t="s">
        <v>77</v>
      </c>
      <c r="M815" t="s">
        <v>346</v>
      </c>
      <c r="N815" t="s">
        <v>45</v>
      </c>
      <c r="O815" t="s">
        <v>77</v>
      </c>
      <c r="P815" t="s">
        <v>29</v>
      </c>
      <c r="Q815" t="s">
        <v>30</v>
      </c>
    </row>
    <row r="816" spans="1:17" x14ac:dyDescent="0.25">
      <c r="A816" t="s">
        <v>2787</v>
      </c>
      <c r="B816">
        <v>130059</v>
      </c>
      <c r="C816" t="s">
        <v>18</v>
      </c>
      <c r="D816" t="s">
        <v>32</v>
      </c>
      <c r="E816" t="s">
        <v>33</v>
      </c>
      <c r="F816" t="s">
        <v>109</v>
      </c>
      <c r="G816" t="s">
        <v>22</v>
      </c>
      <c r="H816" t="s">
        <v>2788</v>
      </c>
      <c r="I816" t="s">
        <v>2789</v>
      </c>
      <c r="J816">
        <v>1</v>
      </c>
      <c r="K816" t="s">
        <v>112</v>
      </c>
      <c r="L816" t="s">
        <v>213</v>
      </c>
      <c r="M816" t="s">
        <v>536</v>
      </c>
      <c r="N816" t="s">
        <v>45</v>
      </c>
      <c r="O816" t="s">
        <v>290</v>
      </c>
      <c r="P816" t="s">
        <v>29</v>
      </c>
      <c r="Q816" t="s">
        <v>30</v>
      </c>
    </row>
    <row r="817" spans="1:17" x14ac:dyDescent="0.25">
      <c r="A817" t="s">
        <v>2790</v>
      </c>
      <c r="B817">
        <v>92684</v>
      </c>
      <c r="C817" t="s">
        <v>670</v>
      </c>
      <c r="D817" t="s">
        <v>32</v>
      </c>
      <c r="E817" t="s">
        <v>33</v>
      </c>
      <c r="F817" t="s">
        <v>685</v>
      </c>
      <c r="G817" t="s">
        <v>664</v>
      </c>
      <c r="H817" t="s">
        <v>2791</v>
      </c>
      <c r="I817" t="s">
        <v>2792</v>
      </c>
      <c r="J817">
        <v>1</v>
      </c>
      <c r="K817" t="s">
        <v>25</v>
      </c>
      <c r="L817" t="s">
        <v>767</v>
      </c>
      <c r="M817" t="s">
        <v>1646</v>
      </c>
      <c r="N817" t="s">
        <v>45</v>
      </c>
      <c r="O817" t="s">
        <v>145</v>
      </c>
      <c r="P817" t="s">
        <v>29</v>
      </c>
      <c r="Q817" t="s">
        <v>30</v>
      </c>
    </row>
    <row r="818" spans="1:17" x14ac:dyDescent="0.25">
      <c r="A818" t="s">
        <v>2344</v>
      </c>
      <c r="B818">
        <v>126898</v>
      </c>
      <c r="C818" t="s">
        <v>80</v>
      </c>
      <c r="D818" t="s">
        <v>32</v>
      </c>
      <c r="E818" t="s">
        <v>33</v>
      </c>
      <c r="F818" t="s">
        <v>40</v>
      </c>
      <c r="G818" t="s">
        <v>22</v>
      </c>
      <c r="H818" t="s">
        <v>2793</v>
      </c>
      <c r="I818" t="s">
        <v>2794</v>
      </c>
      <c r="J818">
        <v>0</v>
      </c>
      <c r="K818" t="s">
        <v>25</v>
      </c>
      <c r="L818" t="s">
        <v>191</v>
      </c>
      <c r="M818" t="s">
        <v>71</v>
      </c>
      <c r="N818" t="s">
        <v>493</v>
      </c>
      <c r="O818" t="s">
        <v>620</v>
      </c>
      <c r="P818" t="s">
        <v>29</v>
      </c>
      <c r="Q818" t="s">
        <v>30</v>
      </c>
    </row>
    <row r="819" spans="1:17" x14ac:dyDescent="0.25">
      <c r="A819" t="s">
        <v>2795</v>
      </c>
      <c r="B819">
        <v>126941</v>
      </c>
      <c r="C819" t="s">
        <v>869</v>
      </c>
      <c r="D819" t="s">
        <v>32</v>
      </c>
      <c r="E819" t="s">
        <v>33</v>
      </c>
      <c r="F819" t="s">
        <v>700</v>
      </c>
      <c r="G819" t="s">
        <v>22</v>
      </c>
      <c r="H819" t="s">
        <v>2796</v>
      </c>
      <c r="I819" t="s">
        <v>2797</v>
      </c>
      <c r="J819">
        <v>0</v>
      </c>
      <c r="K819" t="s">
        <v>25</v>
      </c>
      <c r="L819" t="s">
        <v>37</v>
      </c>
      <c r="M819" t="s">
        <v>807</v>
      </c>
      <c r="N819" t="s">
        <v>493</v>
      </c>
      <c r="O819" t="s">
        <v>591</v>
      </c>
      <c r="P819" t="s">
        <v>29</v>
      </c>
      <c r="Q819" t="s">
        <v>30</v>
      </c>
    </row>
    <row r="820" spans="1:17" x14ac:dyDescent="0.25">
      <c r="A820" t="s">
        <v>2798</v>
      </c>
      <c r="B820">
        <v>92444</v>
      </c>
      <c r="C820" t="s">
        <v>670</v>
      </c>
      <c r="D820" t="s">
        <v>32</v>
      </c>
      <c r="E820" t="s">
        <v>62</v>
      </c>
      <c r="F820" t="s">
        <v>685</v>
      </c>
      <c r="G820" t="s">
        <v>394</v>
      </c>
      <c r="H820" t="s">
        <v>2799</v>
      </c>
      <c r="I820" t="s">
        <v>2800</v>
      </c>
      <c r="J820">
        <v>0</v>
      </c>
      <c r="K820" t="s">
        <v>25</v>
      </c>
      <c r="L820" t="s">
        <v>866</v>
      </c>
      <c r="M820" t="s">
        <v>1215</v>
      </c>
      <c r="N820" t="s">
        <v>493</v>
      </c>
      <c r="O820" t="s">
        <v>683</v>
      </c>
      <c r="P820" t="s">
        <v>29</v>
      </c>
      <c r="Q820" t="s">
        <v>30</v>
      </c>
    </row>
    <row r="821" spans="1:17" x14ac:dyDescent="0.25">
      <c r="A821" t="s">
        <v>2801</v>
      </c>
      <c r="B821">
        <v>126974</v>
      </c>
      <c r="C821" t="s">
        <v>74</v>
      </c>
      <c r="D821" t="s">
        <v>19</v>
      </c>
      <c r="E821" t="s">
        <v>33</v>
      </c>
      <c r="F821" t="s">
        <v>393</v>
      </c>
      <c r="G821" t="s">
        <v>22</v>
      </c>
      <c r="H821" t="s">
        <v>2802</v>
      </c>
      <c r="I821" t="s">
        <v>2803</v>
      </c>
      <c r="J821">
        <v>0</v>
      </c>
      <c r="K821" t="s">
        <v>397</v>
      </c>
      <c r="L821" t="s">
        <v>1068</v>
      </c>
      <c r="M821" t="s">
        <v>586</v>
      </c>
      <c r="N821" t="s">
        <v>493</v>
      </c>
      <c r="O821" t="s">
        <v>77</v>
      </c>
      <c r="P821" t="s">
        <v>29</v>
      </c>
      <c r="Q821" t="s">
        <v>30</v>
      </c>
    </row>
    <row r="822" spans="1:17" x14ac:dyDescent="0.25">
      <c r="A822" t="s">
        <v>2804</v>
      </c>
      <c r="B822">
        <v>126982</v>
      </c>
      <c r="C822" t="s">
        <v>86</v>
      </c>
      <c r="D822" t="s">
        <v>32</v>
      </c>
      <c r="E822" t="s">
        <v>33</v>
      </c>
      <c r="F822" t="s">
        <v>40</v>
      </c>
      <c r="G822" t="s">
        <v>22</v>
      </c>
      <c r="H822" t="s">
        <v>2805</v>
      </c>
      <c r="I822" t="s">
        <v>2806</v>
      </c>
      <c r="J822">
        <v>0</v>
      </c>
      <c r="K822" t="s">
        <v>25</v>
      </c>
      <c r="L822" t="s">
        <v>620</v>
      </c>
      <c r="M822" t="s">
        <v>89</v>
      </c>
      <c r="N822" t="s">
        <v>493</v>
      </c>
      <c r="O822" t="s">
        <v>290</v>
      </c>
      <c r="P822" t="s">
        <v>29</v>
      </c>
      <c r="Q822" t="s">
        <v>30</v>
      </c>
    </row>
    <row r="823" spans="1:17" x14ac:dyDescent="0.25">
      <c r="A823" t="s">
        <v>2807</v>
      </c>
      <c r="B823">
        <v>121091</v>
      </c>
      <c r="C823" t="s">
        <v>61</v>
      </c>
      <c r="D823" t="s">
        <v>32</v>
      </c>
      <c r="E823" t="s">
        <v>33</v>
      </c>
      <c r="F823" t="s">
        <v>40</v>
      </c>
      <c r="G823" t="s">
        <v>22</v>
      </c>
      <c r="H823" t="s">
        <v>2808</v>
      </c>
      <c r="I823" t="s">
        <v>2809</v>
      </c>
      <c r="J823">
        <v>0</v>
      </c>
      <c r="K823" t="s">
        <v>25</v>
      </c>
      <c r="L823" t="s">
        <v>1136</v>
      </c>
      <c r="M823" t="s">
        <v>89</v>
      </c>
      <c r="N823" t="s">
        <v>493</v>
      </c>
      <c r="O823" t="s">
        <v>199</v>
      </c>
      <c r="P823" t="s">
        <v>29</v>
      </c>
      <c r="Q823" t="s">
        <v>30</v>
      </c>
    </row>
    <row r="824" spans="1:17" x14ac:dyDescent="0.25">
      <c r="A824" t="s">
        <v>2810</v>
      </c>
      <c r="B824">
        <v>126921</v>
      </c>
      <c r="C824" t="s">
        <v>188</v>
      </c>
      <c r="D824" t="s">
        <v>32</v>
      </c>
      <c r="E824" t="s">
        <v>33</v>
      </c>
      <c r="F824" t="s">
        <v>40</v>
      </c>
      <c r="G824" t="s">
        <v>22</v>
      </c>
      <c r="H824" t="s">
        <v>2811</v>
      </c>
      <c r="I824" t="s">
        <v>2812</v>
      </c>
      <c r="J824">
        <v>0</v>
      </c>
      <c r="K824" t="s">
        <v>25</v>
      </c>
      <c r="L824" t="s">
        <v>290</v>
      </c>
      <c r="M824" t="s">
        <v>89</v>
      </c>
      <c r="N824" t="s">
        <v>45</v>
      </c>
      <c r="O824" t="s">
        <v>290</v>
      </c>
      <c r="P824" t="s">
        <v>29</v>
      </c>
      <c r="Q824" t="s">
        <v>30</v>
      </c>
    </row>
    <row r="825" spans="1:17" x14ac:dyDescent="0.25">
      <c r="A825" t="s">
        <v>2813</v>
      </c>
      <c r="B825">
        <v>86673</v>
      </c>
      <c r="C825" t="s">
        <v>61</v>
      </c>
      <c r="D825" t="s">
        <v>32</v>
      </c>
      <c r="E825" t="s">
        <v>33</v>
      </c>
      <c r="F825" t="s">
        <v>40</v>
      </c>
      <c r="G825" t="s">
        <v>394</v>
      </c>
      <c r="H825" t="s">
        <v>2814</v>
      </c>
      <c r="I825" t="s">
        <v>2815</v>
      </c>
      <c r="J825">
        <v>0</v>
      </c>
      <c r="K825" t="s">
        <v>25</v>
      </c>
      <c r="L825" t="s">
        <v>290</v>
      </c>
      <c r="M825" t="s">
        <v>89</v>
      </c>
      <c r="N825" t="s">
        <v>493</v>
      </c>
      <c r="O825" t="s">
        <v>290</v>
      </c>
      <c r="P825" t="s">
        <v>29</v>
      </c>
      <c r="Q825" t="s">
        <v>30</v>
      </c>
    </row>
    <row r="826" spans="1:17" x14ac:dyDescent="0.25">
      <c r="A826" t="s">
        <v>684</v>
      </c>
      <c r="B826">
        <v>126975</v>
      </c>
      <c r="C826" t="s">
        <v>374</v>
      </c>
      <c r="D826" t="s">
        <v>19</v>
      </c>
      <c r="E826" t="s">
        <v>33</v>
      </c>
      <c r="F826" t="s">
        <v>685</v>
      </c>
      <c r="G826" t="s">
        <v>394</v>
      </c>
      <c r="H826" t="s">
        <v>2816</v>
      </c>
      <c r="I826" t="s">
        <v>2817</v>
      </c>
      <c r="J826">
        <v>0</v>
      </c>
      <c r="K826" t="s">
        <v>25</v>
      </c>
      <c r="L826" t="s">
        <v>77</v>
      </c>
      <c r="M826" t="s">
        <v>439</v>
      </c>
      <c r="N826" t="s">
        <v>45</v>
      </c>
      <c r="O826" t="s">
        <v>77</v>
      </c>
      <c r="P826" t="s">
        <v>29</v>
      </c>
      <c r="Q826" t="s">
        <v>30</v>
      </c>
    </row>
    <row r="827" spans="1:17" x14ac:dyDescent="0.25">
      <c r="A827" t="s">
        <v>2818</v>
      </c>
      <c r="B827">
        <v>126888</v>
      </c>
      <c r="C827" t="s">
        <v>188</v>
      </c>
      <c r="D827" t="s">
        <v>32</v>
      </c>
      <c r="E827" t="s">
        <v>33</v>
      </c>
      <c r="F827" t="s">
        <v>40</v>
      </c>
      <c r="G827" t="s">
        <v>22</v>
      </c>
      <c r="H827" t="s">
        <v>2819</v>
      </c>
      <c r="I827" t="s">
        <v>2820</v>
      </c>
      <c r="J827">
        <v>0</v>
      </c>
      <c r="K827" t="s">
        <v>25</v>
      </c>
      <c r="L827" t="s">
        <v>290</v>
      </c>
      <c r="M827" t="s">
        <v>89</v>
      </c>
      <c r="N827" t="s">
        <v>45</v>
      </c>
      <c r="O827" t="s">
        <v>290</v>
      </c>
      <c r="P827" t="s">
        <v>29</v>
      </c>
      <c r="Q827" t="s">
        <v>30</v>
      </c>
    </row>
    <row r="828" spans="1:17" x14ac:dyDescent="0.25">
      <c r="A828" t="s">
        <v>2821</v>
      </c>
      <c r="B828">
        <v>23221</v>
      </c>
      <c r="C828" t="s">
        <v>1041</v>
      </c>
      <c r="D828" t="s">
        <v>19</v>
      </c>
      <c r="E828" t="s">
        <v>62</v>
      </c>
      <c r="F828" t="s">
        <v>685</v>
      </c>
      <c r="G828" t="s">
        <v>394</v>
      </c>
      <c r="H828" t="s">
        <v>2822</v>
      </c>
      <c r="I828" t="s">
        <v>2823</v>
      </c>
      <c r="J828">
        <v>0</v>
      </c>
      <c r="K828" t="s">
        <v>25</v>
      </c>
      <c r="L828" t="s">
        <v>612</v>
      </c>
      <c r="M828" t="s">
        <v>1215</v>
      </c>
      <c r="N828" t="s">
        <v>45</v>
      </c>
      <c r="O828" t="s">
        <v>683</v>
      </c>
      <c r="P828" t="s">
        <v>29</v>
      </c>
      <c r="Q828" t="s">
        <v>30</v>
      </c>
    </row>
    <row r="829" spans="1:17" x14ac:dyDescent="0.25">
      <c r="A829" t="s">
        <v>2824</v>
      </c>
      <c r="B829">
        <v>22336</v>
      </c>
      <c r="C829" t="s">
        <v>374</v>
      </c>
      <c r="D829" t="s">
        <v>32</v>
      </c>
      <c r="E829" t="s">
        <v>227</v>
      </c>
      <c r="F829" t="s">
        <v>40</v>
      </c>
      <c r="G829" t="s">
        <v>394</v>
      </c>
      <c r="H829" t="s">
        <v>2825</v>
      </c>
      <c r="I829" t="s">
        <v>2826</v>
      </c>
      <c r="J829">
        <v>0</v>
      </c>
      <c r="K829" t="s">
        <v>25</v>
      </c>
      <c r="L829" t="s">
        <v>199</v>
      </c>
      <c r="M829" t="s">
        <v>89</v>
      </c>
      <c r="N829" t="s">
        <v>45</v>
      </c>
      <c r="O829" t="s">
        <v>2827</v>
      </c>
      <c r="P829" t="s">
        <v>29</v>
      </c>
      <c r="Q829" t="s">
        <v>30</v>
      </c>
    </row>
    <row r="830" spans="1:17" x14ac:dyDescent="0.25">
      <c r="A830" t="s">
        <v>2828</v>
      </c>
      <c r="B830">
        <v>127126</v>
      </c>
      <c r="C830" t="s">
        <v>601</v>
      </c>
      <c r="D830" t="s">
        <v>19</v>
      </c>
      <c r="E830" t="s">
        <v>33</v>
      </c>
      <c r="F830" t="s">
        <v>393</v>
      </c>
      <c r="G830" t="s">
        <v>22</v>
      </c>
      <c r="H830" t="s">
        <v>2829</v>
      </c>
      <c r="I830" t="s">
        <v>2830</v>
      </c>
      <c r="J830">
        <v>0</v>
      </c>
      <c r="K830" t="s">
        <v>25</v>
      </c>
      <c r="L830" t="s">
        <v>548</v>
      </c>
      <c r="M830" t="s">
        <v>1646</v>
      </c>
      <c r="N830" t="s">
        <v>45</v>
      </c>
      <c r="O830" t="s">
        <v>548</v>
      </c>
      <c r="P830" t="s">
        <v>29</v>
      </c>
      <c r="Q830" t="s">
        <v>30</v>
      </c>
    </row>
    <row r="831" spans="1:17" x14ac:dyDescent="0.25">
      <c r="A831" t="s">
        <v>2831</v>
      </c>
      <c r="B831">
        <v>127135</v>
      </c>
      <c r="C831" t="s">
        <v>142</v>
      </c>
      <c r="D831" t="s">
        <v>32</v>
      </c>
      <c r="E831" t="s">
        <v>130</v>
      </c>
      <c r="F831" t="s">
        <v>700</v>
      </c>
      <c r="G831" t="s">
        <v>22</v>
      </c>
      <c r="H831" t="s">
        <v>2832</v>
      </c>
      <c r="I831" t="s">
        <v>2833</v>
      </c>
      <c r="J831">
        <v>0</v>
      </c>
      <c r="K831" t="s">
        <v>25</v>
      </c>
      <c r="L831" t="s">
        <v>612</v>
      </c>
      <c r="M831" t="s">
        <v>1017</v>
      </c>
      <c r="N831" t="s">
        <v>45</v>
      </c>
      <c r="O831" t="s">
        <v>591</v>
      </c>
      <c r="P831" t="s">
        <v>29</v>
      </c>
      <c r="Q831" t="s">
        <v>30</v>
      </c>
    </row>
    <row r="832" spans="1:17" x14ac:dyDescent="0.25">
      <c r="A832" t="s">
        <v>2834</v>
      </c>
      <c r="B832">
        <v>127242</v>
      </c>
      <c r="C832" t="s">
        <v>61</v>
      </c>
      <c r="D832" t="s">
        <v>32</v>
      </c>
      <c r="E832" t="s">
        <v>33</v>
      </c>
      <c r="F832" t="s">
        <v>700</v>
      </c>
      <c r="G832" t="s">
        <v>394</v>
      </c>
      <c r="H832" t="s">
        <v>2835</v>
      </c>
      <c r="I832" t="s">
        <v>2836</v>
      </c>
      <c r="J832">
        <v>0</v>
      </c>
      <c r="K832" t="s">
        <v>25</v>
      </c>
      <c r="L832" t="s">
        <v>612</v>
      </c>
      <c r="M832" t="s">
        <v>1528</v>
      </c>
      <c r="N832" t="s">
        <v>493</v>
      </c>
      <c r="O832" t="s">
        <v>591</v>
      </c>
      <c r="P832" t="s">
        <v>29</v>
      </c>
      <c r="Q832" t="s">
        <v>30</v>
      </c>
    </row>
    <row r="833" spans="1:17" x14ac:dyDescent="0.25">
      <c r="A833" t="s">
        <v>2837</v>
      </c>
      <c r="B833">
        <v>127212</v>
      </c>
      <c r="C833" t="s">
        <v>138</v>
      </c>
      <c r="D833" t="s">
        <v>32</v>
      </c>
      <c r="E833" t="s">
        <v>20</v>
      </c>
      <c r="F833" t="s">
        <v>40</v>
      </c>
      <c r="G833" t="s">
        <v>22</v>
      </c>
      <c r="H833" t="s">
        <v>2838</v>
      </c>
      <c r="I833" t="s">
        <v>2839</v>
      </c>
      <c r="J833">
        <v>0</v>
      </c>
      <c r="K833" t="s">
        <v>25</v>
      </c>
      <c r="L833" t="s">
        <v>620</v>
      </c>
      <c r="M833" t="s">
        <v>89</v>
      </c>
      <c r="N833" t="s">
        <v>493</v>
      </c>
      <c r="O833" t="s">
        <v>620</v>
      </c>
      <c r="P833" t="s">
        <v>29</v>
      </c>
      <c r="Q833" t="s">
        <v>30</v>
      </c>
    </row>
    <row r="834" spans="1:17" x14ac:dyDescent="0.25">
      <c r="A834" t="s">
        <v>2840</v>
      </c>
      <c r="B834">
        <v>125397</v>
      </c>
      <c r="C834" t="s">
        <v>285</v>
      </c>
      <c r="D834" t="s">
        <v>19</v>
      </c>
      <c r="E834" t="s">
        <v>33</v>
      </c>
      <c r="F834" t="s">
        <v>685</v>
      </c>
      <c r="G834" t="s">
        <v>394</v>
      </c>
      <c r="H834" t="s">
        <v>2841</v>
      </c>
      <c r="I834" t="s">
        <v>2842</v>
      </c>
      <c r="J834">
        <v>0</v>
      </c>
      <c r="K834" t="s">
        <v>25</v>
      </c>
      <c r="L834" t="s">
        <v>1384</v>
      </c>
      <c r="M834" t="s">
        <v>1646</v>
      </c>
      <c r="N834" t="s">
        <v>493</v>
      </c>
      <c r="O834" t="s">
        <v>243</v>
      </c>
      <c r="P834" t="s">
        <v>29</v>
      </c>
      <c r="Q834" t="s">
        <v>30</v>
      </c>
    </row>
    <row r="835" spans="1:17" x14ac:dyDescent="0.25">
      <c r="A835" t="s">
        <v>2843</v>
      </c>
      <c r="B835">
        <v>127401</v>
      </c>
      <c r="C835" t="s">
        <v>622</v>
      </c>
      <c r="D835" t="s">
        <v>19</v>
      </c>
      <c r="E835" t="s">
        <v>260</v>
      </c>
      <c r="F835" t="s">
        <v>21</v>
      </c>
      <c r="G835" t="s">
        <v>22</v>
      </c>
      <c r="H835" t="s">
        <v>2844</v>
      </c>
      <c r="I835" t="s">
        <v>2845</v>
      </c>
      <c r="J835">
        <v>0</v>
      </c>
      <c r="K835" t="s">
        <v>211</v>
      </c>
      <c r="L835" t="s">
        <v>356</v>
      </c>
      <c r="M835" t="s">
        <v>27</v>
      </c>
      <c r="N835" t="s">
        <v>493</v>
      </c>
      <c r="O835" t="s">
        <v>77</v>
      </c>
      <c r="P835" t="s">
        <v>29</v>
      </c>
      <c r="Q835" t="s">
        <v>30</v>
      </c>
    </row>
    <row r="836" spans="1:17" x14ac:dyDescent="0.25">
      <c r="A836" t="s">
        <v>2846</v>
      </c>
      <c r="B836">
        <v>127251</v>
      </c>
      <c r="C836" t="s">
        <v>530</v>
      </c>
      <c r="D836" t="s">
        <v>32</v>
      </c>
      <c r="E836" t="s">
        <v>62</v>
      </c>
      <c r="F836" t="s">
        <v>40</v>
      </c>
      <c r="G836" t="s">
        <v>22</v>
      </c>
      <c r="H836" t="s">
        <v>2847</v>
      </c>
      <c r="I836" t="s">
        <v>2848</v>
      </c>
      <c r="J836">
        <v>0</v>
      </c>
      <c r="K836" t="s">
        <v>25</v>
      </c>
      <c r="L836" t="s">
        <v>290</v>
      </c>
      <c r="M836" t="s">
        <v>89</v>
      </c>
      <c r="N836" t="s">
        <v>493</v>
      </c>
      <c r="O836" t="s">
        <v>2827</v>
      </c>
      <c r="P836" t="s">
        <v>29</v>
      </c>
      <c r="Q836" t="s">
        <v>30</v>
      </c>
    </row>
    <row r="837" spans="1:17" x14ac:dyDescent="0.25">
      <c r="A837" t="s">
        <v>2849</v>
      </c>
      <c r="B837">
        <v>127405</v>
      </c>
      <c r="C837" t="s">
        <v>922</v>
      </c>
      <c r="D837" t="s">
        <v>19</v>
      </c>
      <c r="E837" t="s">
        <v>62</v>
      </c>
      <c r="F837" t="s">
        <v>484</v>
      </c>
      <c r="G837" t="s">
        <v>22</v>
      </c>
      <c r="H837" t="s">
        <v>2850</v>
      </c>
      <c r="I837" t="s">
        <v>2851</v>
      </c>
      <c r="J837">
        <v>0</v>
      </c>
      <c r="K837" t="s">
        <v>211</v>
      </c>
      <c r="L837" t="s">
        <v>590</v>
      </c>
      <c r="M837" t="s">
        <v>967</v>
      </c>
      <c r="N837" t="s">
        <v>493</v>
      </c>
      <c r="O837" t="s">
        <v>591</v>
      </c>
      <c r="P837" t="s">
        <v>29</v>
      </c>
      <c r="Q837" t="s">
        <v>30</v>
      </c>
    </row>
    <row r="838" spans="1:17" x14ac:dyDescent="0.25">
      <c r="A838" t="s">
        <v>2852</v>
      </c>
      <c r="B838">
        <v>127417</v>
      </c>
      <c r="C838" t="s">
        <v>188</v>
      </c>
      <c r="D838" t="s">
        <v>19</v>
      </c>
      <c r="E838" t="s">
        <v>260</v>
      </c>
      <c r="F838" t="s">
        <v>428</v>
      </c>
      <c r="G838" t="s">
        <v>22</v>
      </c>
      <c r="H838" t="s">
        <v>2853</v>
      </c>
      <c r="I838" t="s">
        <v>2854</v>
      </c>
      <c r="J838">
        <v>0</v>
      </c>
      <c r="K838" t="s">
        <v>25</v>
      </c>
      <c r="L838" t="s">
        <v>612</v>
      </c>
      <c r="M838" t="s">
        <v>439</v>
      </c>
      <c r="N838" t="s">
        <v>493</v>
      </c>
      <c r="O838" t="s">
        <v>77</v>
      </c>
      <c r="P838" t="s">
        <v>29</v>
      </c>
      <c r="Q838" t="s">
        <v>30</v>
      </c>
    </row>
    <row r="839" spans="1:17" x14ac:dyDescent="0.25">
      <c r="A839" t="s">
        <v>2855</v>
      </c>
      <c r="B839">
        <v>127422</v>
      </c>
      <c r="C839" t="s">
        <v>1061</v>
      </c>
      <c r="D839" t="s">
        <v>32</v>
      </c>
      <c r="E839" t="s">
        <v>62</v>
      </c>
      <c r="F839" t="s">
        <v>700</v>
      </c>
      <c r="G839" t="s">
        <v>22</v>
      </c>
      <c r="H839" t="s">
        <v>2856</v>
      </c>
      <c r="I839" t="s">
        <v>2857</v>
      </c>
      <c r="J839">
        <v>0</v>
      </c>
      <c r="K839" t="s">
        <v>211</v>
      </c>
      <c r="L839" t="s">
        <v>612</v>
      </c>
      <c r="M839" t="s">
        <v>1226</v>
      </c>
      <c r="N839" t="s">
        <v>493</v>
      </c>
      <c r="O839" t="s">
        <v>591</v>
      </c>
      <c r="P839" t="s">
        <v>29</v>
      </c>
      <c r="Q839" t="s">
        <v>30</v>
      </c>
    </row>
    <row r="840" spans="1:17" x14ac:dyDescent="0.25">
      <c r="A840" t="s">
        <v>2858</v>
      </c>
      <c r="B840">
        <v>127255</v>
      </c>
      <c r="C840" t="s">
        <v>74</v>
      </c>
      <c r="D840" t="s">
        <v>32</v>
      </c>
      <c r="E840" t="s">
        <v>33</v>
      </c>
      <c r="F840" t="s">
        <v>123</v>
      </c>
      <c r="G840" t="s">
        <v>394</v>
      </c>
      <c r="H840" t="s">
        <v>2859</v>
      </c>
      <c r="I840" t="s">
        <v>2860</v>
      </c>
      <c r="J840">
        <v>0</v>
      </c>
      <c r="K840" t="s">
        <v>25</v>
      </c>
      <c r="L840" t="s">
        <v>2827</v>
      </c>
      <c r="M840" t="s">
        <v>89</v>
      </c>
      <c r="N840" t="s">
        <v>493</v>
      </c>
      <c r="O840" t="s">
        <v>2827</v>
      </c>
      <c r="P840" t="s">
        <v>29</v>
      </c>
      <c r="Q840" t="s">
        <v>30</v>
      </c>
    </row>
    <row r="841" spans="1:17" x14ac:dyDescent="0.25">
      <c r="A841" t="s">
        <v>2861</v>
      </c>
      <c r="B841">
        <v>127572</v>
      </c>
      <c r="C841" t="s">
        <v>151</v>
      </c>
      <c r="D841" t="s">
        <v>19</v>
      </c>
      <c r="E841" t="s">
        <v>62</v>
      </c>
      <c r="F841" t="s">
        <v>428</v>
      </c>
      <c r="G841" t="s">
        <v>22</v>
      </c>
      <c r="H841" t="s">
        <v>2862</v>
      </c>
      <c r="I841" t="s">
        <v>2863</v>
      </c>
      <c r="J841">
        <v>0</v>
      </c>
      <c r="K841" t="s">
        <v>112</v>
      </c>
      <c r="L841" t="s">
        <v>37</v>
      </c>
      <c r="M841" t="s">
        <v>751</v>
      </c>
      <c r="N841" t="s">
        <v>493</v>
      </c>
      <c r="O841" t="s">
        <v>77</v>
      </c>
      <c r="P841" t="s">
        <v>29</v>
      </c>
      <c r="Q841" t="s">
        <v>30</v>
      </c>
    </row>
    <row r="842" spans="1:17" x14ac:dyDescent="0.25">
      <c r="A842" t="s">
        <v>2864</v>
      </c>
      <c r="B842">
        <v>127592</v>
      </c>
      <c r="C842" t="s">
        <v>315</v>
      </c>
      <c r="D842" t="s">
        <v>32</v>
      </c>
      <c r="E842" t="s">
        <v>33</v>
      </c>
      <c r="F842" t="s">
        <v>40</v>
      </c>
      <c r="G842" t="s">
        <v>22</v>
      </c>
      <c r="H842" t="s">
        <v>2865</v>
      </c>
      <c r="I842" t="s">
        <v>2866</v>
      </c>
      <c r="J842">
        <v>0</v>
      </c>
      <c r="K842" t="s">
        <v>25</v>
      </c>
      <c r="L842" t="s">
        <v>199</v>
      </c>
      <c r="M842" t="s">
        <v>89</v>
      </c>
      <c r="N842" t="s">
        <v>493</v>
      </c>
      <c r="O842" t="s">
        <v>290</v>
      </c>
      <c r="P842" t="s">
        <v>29</v>
      </c>
      <c r="Q842" t="s">
        <v>30</v>
      </c>
    </row>
    <row r="843" spans="1:17" x14ac:dyDescent="0.25">
      <c r="A843" t="s">
        <v>2867</v>
      </c>
      <c r="B843">
        <v>127801</v>
      </c>
      <c r="C843" t="s">
        <v>281</v>
      </c>
      <c r="D843" t="s">
        <v>32</v>
      </c>
      <c r="E843" t="s">
        <v>33</v>
      </c>
      <c r="F843" t="s">
        <v>40</v>
      </c>
      <c r="G843" t="s">
        <v>394</v>
      </c>
      <c r="H843" t="s">
        <v>2868</v>
      </c>
      <c r="I843" t="s">
        <v>2869</v>
      </c>
      <c r="J843">
        <v>0</v>
      </c>
      <c r="K843" t="s">
        <v>25</v>
      </c>
      <c r="L843" t="s">
        <v>620</v>
      </c>
      <c r="M843" t="s">
        <v>958</v>
      </c>
      <c r="N843" t="s">
        <v>45</v>
      </c>
      <c r="O843" t="s">
        <v>290</v>
      </c>
      <c r="P843" t="s">
        <v>29</v>
      </c>
      <c r="Q843" t="s">
        <v>30</v>
      </c>
    </row>
    <row r="844" spans="1:17" x14ac:dyDescent="0.25">
      <c r="A844" t="s">
        <v>2870</v>
      </c>
      <c r="B844">
        <v>127806</v>
      </c>
      <c r="C844" t="s">
        <v>122</v>
      </c>
      <c r="D844" t="s">
        <v>19</v>
      </c>
      <c r="E844" t="s">
        <v>33</v>
      </c>
      <c r="F844" t="s">
        <v>428</v>
      </c>
      <c r="G844" t="s">
        <v>22</v>
      </c>
      <c r="H844" t="s">
        <v>2871</v>
      </c>
      <c r="I844" t="s">
        <v>2872</v>
      </c>
      <c r="J844">
        <v>0</v>
      </c>
      <c r="K844" t="s">
        <v>25</v>
      </c>
      <c r="L844" t="s">
        <v>761</v>
      </c>
      <c r="M844" t="s">
        <v>971</v>
      </c>
      <c r="N844" t="s">
        <v>45</v>
      </c>
      <c r="O844" t="s">
        <v>77</v>
      </c>
      <c r="P844" t="s">
        <v>29</v>
      </c>
      <c r="Q844" t="s">
        <v>30</v>
      </c>
    </row>
    <row r="845" spans="1:17" x14ac:dyDescent="0.25">
      <c r="A845" t="s">
        <v>2873</v>
      </c>
      <c r="B845">
        <v>49123</v>
      </c>
      <c r="C845" t="s">
        <v>147</v>
      </c>
      <c r="D845" t="s">
        <v>32</v>
      </c>
      <c r="E845" t="s">
        <v>227</v>
      </c>
      <c r="F845" t="s">
        <v>40</v>
      </c>
      <c r="G845" t="s">
        <v>22</v>
      </c>
      <c r="H845" t="s">
        <v>2874</v>
      </c>
      <c r="I845" t="s">
        <v>2875</v>
      </c>
      <c r="J845">
        <v>0</v>
      </c>
      <c r="K845" t="s">
        <v>25</v>
      </c>
      <c r="L845" t="s">
        <v>290</v>
      </c>
      <c r="M845" t="s">
        <v>89</v>
      </c>
      <c r="N845" t="s">
        <v>45</v>
      </c>
      <c r="O845" t="s">
        <v>290</v>
      </c>
      <c r="P845" t="s">
        <v>29</v>
      </c>
      <c r="Q845" t="s">
        <v>30</v>
      </c>
    </row>
    <row r="846" spans="1:17" x14ac:dyDescent="0.25">
      <c r="A846" t="s">
        <v>2876</v>
      </c>
      <c r="B846">
        <v>127896</v>
      </c>
      <c r="C846" t="s">
        <v>142</v>
      </c>
      <c r="D846" t="s">
        <v>32</v>
      </c>
      <c r="E846" t="s">
        <v>62</v>
      </c>
      <c r="F846" t="s">
        <v>40</v>
      </c>
      <c r="G846" t="s">
        <v>22</v>
      </c>
      <c r="H846" t="s">
        <v>2877</v>
      </c>
      <c r="I846" t="s">
        <v>2878</v>
      </c>
      <c r="J846">
        <v>0</v>
      </c>
      <c r="K846" t="s">
        <v>25</v>
      </c>
      <c r="L846" t="s">
        <v>290</v>
      </c>
      <c r="M846" t="s">
        <v>89</v>
      </c>
      <c r="N846" t="s">
        <v>45</v>
      </c>
      <c r="O846" t="s">
        <v>620</v>
      </c>
      <c r="P846" t="s">
        <v>29</v>
      </c>
      <c r="Q846" t="s">
        <v>30</v>
      </c>
    </row>
    <row r="847" spans="1:17" x14ac:dyDescent="0.25">
      <c r="A847" t="s">
        <v>2879</v>
      </c>
      <c r="B847">
        <v>27514</v>
      </c>
      <c r="C847" t="s">
        <v>188</v>
      </c>
      <c r="D847" t="s">
        <v>32</v>
      </c>
      <c r="E847" t="s">
        <v>33</v>
      </c>
      <c r="F847" t="s">
        <v>40</v>
      </c>
      <c r="G847" t="s">
        <v>394</v>
      </c>
      <c r="H847" t="s">
        <v>2880</v>
      </c>
      <c r="I847" t="s">
        <v>2881</v>
      </c>
      <c r="J847">
        <v>0</v>
      </c>
      <c r="K847" t="s">
        <v>25</v>
      </c>
      <c r="L847" t="s">
        <v>290</v>
      </c>
      <c r="M847" t="s">
        <v>89</v>
      </c>
      <c r="N847" t="s">
        <v>28</v>
      </c>
      <c r="O847" t="s">
        <v>290</v>
      </c>
      <c r="P847" t="s">
        <v>29</v>
      </c>
      <c r="Q847" t="s">
        <v>30</v>
      </c>
    </row>
    <row r="848" spans="1:17" x14ac:dyDescent="0.25">
      <c r="A848" t="s">
        <v>2882</v>
      </c>
      <c r="B848">
        <v>24020</v>
      </c>
      <c r="C848" t="s">
        <v>281</v>
      </c>
      <c r="D848" t="s">
        <v>32</v>
      </c>
      <c r="E848" t="s">
        <v>227</v>
      </c>
      <c r="F848" t="s">
        <v>40</v>
      </c>
      <c r="G848" t="s">
        <v>394</v>
      </c>
      <c r="H848" t="s">
        <v>2883</v>
      </c>
      <c r="I848" t="s">
        <v>2884</v>
      </c>
      <c r="J848">
        <v>0</v>
      </c>
      <c r="K848" t="s">
        <v>25</v>
      </c>
      <c r="L848" t="s">
        <v>290</v>
      </c>
      <c r="M848" t="s">
        <v>341</v>
      </c>
      <c r="N848" t="s">
        <v>493</v>
      </c>
      <c r="O848" t="s">
        <v>290</v>
      </c>
      <c r="P848" t="s">
        <v>29</v>
      </c>
      <c r="Q848" t="s">
        <v>30</v>
      </c>
    </row>
    <row r="849" spans="1:17" x14ac:dyDescent="0.25">
      <c r="A849" t="s">
        <v>2885</v>
      </c>
      <c r="B849">
        <v>56128</v>
      </c>
      <c r="C849" t="s">
        <v>614</v>
      </c>
      <c r="D849" t="s">
        <v>32</v>
      </c>
      <c r="E849" t="s">
        <v>227</v>
      </c>
      <c r="F849" t="s">
        <v>700</v>
      </c>
      <c r="G849" t="s">
        <v>22</v>
      </c>
      <c r="H849" t="s">
        <v>2886</v>
      </c>
      <c r="I849" t="s">
        <v>2887</v>
      </c>
      <c r="J849">
        <v>0</v>
      </c>
      <c r="K849" t="s">
        <v>25</v>
      </c>
      <c r="L849" t="s">
        <v>590</v>
      </c>
      <c r="M849" t="s">
        <v>2888</v>
      </c>
      <c r="N849" t="s">
        <v>45</v>
      </c>
      <c r="O849" t="s">
        <v>591</v>
      </c>
      <c r="P849" t="s">
        <v>29</v>
      </c>
      <c r="Q849" t="s">
        <v>30</v>
      </c>
    </row>
    <row r="850" spans="1:17" x14ac:dyDescent="0.25">
      <c r="A850" t="s">
        <v>2889</v>
      </c>
      <c r="B850">
        <v>69691</v>
      </c>
      <c r="C850" t="s">
        <v>86</v>
      </c>
      <c r="D850" t="s">
        <v>32</v>
      </c>
      <c r="E850" t="s">
        <v>227</v>
      </c>
      <c r="F850" t="s">
        <v>40</v>
      </c>
      <c r="G850" t="s">
        <v>22</v>
      </c>
      <c r="H850" t="s">
        <v>2890</v>
      </c>
      <c r="I850" t="s">
        <v>2891</v>
      </c>
      <c r="J850">
        <v>0</v>
      </c>
      <c r="K850" t="s">
        <v>25</v>
      </c>
      <c r="L850" t="s">
        <v>46</v>
      </c>
      <c r="M850" t="s">
        <v>89</v>
      </c>
      <c r="N850" t="s">
        <v>45</v>
      </c>
      <c r="O850" t="s">
        <v>620</v>
      </c>
      <c r="P850" t="s">
        <v>29</v>
      </c>
      <c r="Q850" t="s">
        <v>30</v>
      </c>
    </row>
    <row r="851" spans="1:17" x14ac:dyDescent="0.25">
      <c r="A851" t="s">
        <v>2892</v>
      </c>
      <c r="B851">
        <v>17142</v>
      </c>
      <c r="C851" t="s">
        <v>530</v>
      </c>
      <c r="D851" t="s">
        <v>32</v>
      </c>
      <c r="E851" t="s">
        <v>33</v>
      </c>
      <c r="F851" t="s">
        <v>700</v>
      </c>
      <c r="G851" t="s">
        <v>22</v>
      </c>
      <c r="H851" t="s">
        <v>2893</v>
      </c>
      <c r="I851" t="s">
        <v>2894</v>
      </c>
      <c r="J851">
        <v>0</v>
      </c>
      <c r="K851" t="s">
        <v>25</v>
      </c>
      <c r="L851" t="s">
        <v>126</v>
      </c>
      <c r="M851" t="s">
        <v>807</v>
      </c>
      <c r="N851" t="s">
        <v>45</v>
      </c>
      <c r="O851" t="s">
        <v>591</v>
      </c>
      <c r="P851" t="s">
        <v>29</v>
      </c>
      <c r="Q851" t="s">
        <v>30</v>
      </c>
    </row>
    <row r="852" spans="1:17" x14ac:dyDescent="0.25">
      <c r="A852" t="s">
        <v>2895</v>
      </c>
      <c r="B852">
        <v>89965</v>
      </c>
      <c r="C852" t="s">
        <v>296</v>
      </c>
      <c r="D852" t="s">
        <v>32</v>
      </c>
      <c r="E852" t="s">
        <v>260</v>
      </c>
      <c r="F852" t="s">
        <v>40</v>
      </c>
      <c r="G852" t="s">
        <v>22</v>
      </c>
      <c r="H852" t="s">
        <v>2896</v>
      </c>
      <c r="I852" t="s">
        <v>2897</v>
      </c>
      <c r="J852">
        <v>0</v>
      </c>
      <c r="K852" t="s">
        <v>25</v>
      </c>
      <c r="L852" t="s">
        <v>620</v>
      </c>
      <c r="M852" t="s">
        <v>89</v>
      </c>
      <c r="N852" t="s">
        <v>45</v>
      </c>
      <c r="O852" t="s">
        <v>620</v>
      </c>
      <c r="P852" t="s">
        <v>29</v>
      </c>
      <c r="Q852" t="s">
        <v>30</v>
      </c>
    </row>
    <row r="853" spans="1:17" x14ac:dyDescent="0.25">
      <c r="A853" t="s">
        <v>2898</v>
      </c>
      <c r="B853">
        <v>128176</v>
      </c>
      <c r="C853" t="s">
        <v>400</v>
      </c>
      <c r="D853" t="s">
        <v>32</v>
      </c>
      <c r="E853" t="s">
        <v>33</v>
      </c>
      <c r="F853" t="s">
        <v>40</v>
      </c>
      <c r="G853" t="s">
        <v>394</v>
      </c>
      <c r="H853" t="s">
        <v>2899</v>
      </c>
      <c r="I853" t="s">
        <v>2900</v>
      </c>
      <c r="J853">
        <v>0</v>
      </c>
      <c r="K853" t="s">
        <v>25</v>
      </c>
      <c r="L853" t="s">
        <v>199</v>
      </c>
      <c r="M853" t="s">
        <v>89</v>
      </c>
      <c r="N853" t="s">
        <v>45</v>
      </c>
      <c r="O853" t="s">
        <v>46</v>
      </c>
      <c r="P853" t="s">
        <v>29</v>
      </c>
      <c r="Q853" t="s">
        <v>30</v>
      </c>
    </row>
    <row r="854" spans="1:17" x14ac:dyDescent="0.25">
      <c r="A854" t="s">
        <v>2901</v>
      </c>
      <c r="B854">
        <v>128225</v>
      </c>
      <c r="C854" t="s">
        <v>622</v>
      </c>
      <c r="D854" t="s">
        <v>32</v>
      </c>
      <c r="E854" t="s">
        <v>33</v>
      </c>
      <c r="F854" t="s">
        <v>21</v>
      </c>
      <c r="G854" t="s">
        <v>22</v>
      </c>
      <c r="H854" t="s">
        <v>2902</v>
      </c>
      <c r="I854" t="s">
        <v>2903</v>
      </c>
      <c r="J854">
        <v>0</v>
      </c>
      <c r="K854" t="s">
        <v>25</v>
      </c>
      <c r="L854" t="s">
        <v>323</v>
      </c>
      <c r="M854" t="s">
        <v>2221</v>
      </c>
      <c r="N854" t="s">
        <v>45</v>
      </c>
      <c r="O854" t="s">
        <v>323</v>
      </c>
      <c r="P854" t="s">
        <v>29</v>
      </c>
      <c r="Q854" t="s">
        <v>30</v>
      </c>
    </row>
    <row r="855" spans="1:17" x14ac:dyDescent="0.25">
      <c r="A855" t="s">
        <v>2904</v>
      </c>
      <c r="B855">
        <v>50801</v>
      </c>
      <c r="C855" t="s">
        <v>61</v>
      </c>
      <c r="D855" t="s">
        <v>32</v>
      </c>
      <c r="E855" t="s">
        <v>227</v>
      </c>
      <c r="F855" t="s">
        <v>700</v>
      </c>
      <c r="G855" t="s">
        <v>394</v>
      </c>
      <c r="H855" t="s">
        <v>2905</v>
      </c>
      <c r="I855" t="s">
        <v>2906</v>
      </c>
      <c r="J855">
        <v>0</v>
      </c>
      <c r="K855" t="s">
        <v>25</v>
      </c>
      <c r="L855" t="s">
        <v>590</v>
      </c>
      <c r="M855" t="s">
        <v>1132</v>
      </c>
      <c r="N855" t="s">
        <v>493</v>
      </c>
      <c r="O855" t="s">
        <v>591</v>
      </c>
      <c r="P855" t="s">
        <v>29</v>
      </c>
      <c r="Q855" t="s">
        <v>30</v>
      </c>
    </row>
    <row r="856" spans="1:17" x14ac:dyDescent="0.25">
      <c r="A856" t="s">
        <v>2907</v>
      </c>
      <c r="B856">
        <v>128320</v>
      </c>
      <c r="C856" t="s">
        <v>374</v>
      </c>
      <c r="D856" t="s">
        <v>32</v>
      </c>
      <c r="E856" t="s">
        <v>33</v>
      </c>
      <c r="F856" t="s">
        <v>40</v>
      </c>
      <c r="G856" t="s">
        <v>394</v>
      </c>
      <c r="H856" t="s">
        <v>2908</v>
      </c>
      <c r="I856" t="s">
        <v>2909</v>
      </c>
      <c r="J856">
        <v>0</v>
      </c>
      <c r="K856" t="s">
        <v>25</v>
      </c>
      <c r="L856" t="s">
        <v>46</v>
      </c>
      <c r="M856" t="s">
        <v>341</v>
      </c>
      <c r="N856" t="s">
        <v>493</v>
      </c>
      <c r="O856" t="s">
        <v>290</v>
      </c>
      <c r="P856" t="s">
        <v>29</v>
      </c>
      <c r="Q856" t="s">
        <v>30</v>
      </c>
    </row>
    <row r="857" spans="1:17" x14ac:dyDescent="0.25">
      <c r="A857" t="s">
        <v>2910</v>
      </c>
      <c r="B857">
        <v>68121</v>
      </c>
      <c r="C857" t="s">
        <v>454</v>
      </c>
      <c r="D857" t="s">
        <v>19</v>
      </c>
      <c r="E857" t="s">
        <v>2911</v>
      </c>
      <c r="F857" t="s">
        <v>393</v>
      </c>
      <c r="G857" t="s">
        <v>2912</v>
      </c>
      <c r="H857" t="s">
        <v>2913</v>
      </c>
      <c r="I857" t="s">
        <v>2914</v>
      </c>
      <c r="J857">
        <v>0</v>
      </c>
      <c r="K857" t="s">
        <v>25</v>
      </c>
      <c r="L857" t="s">
        <v>2915</v>
      </c>
      <c r="M857" t="s">
        <v>2915</v>
      </c>
      <c r="N857" t="s">
        <v>2915</v>
      </c>
      <c r="O857" t="s">
        <v>2915</v>
      </c>
      <c r="P857" t="s">
        <v>29</v>
      </c>
      <c r="Q857" t="s">
        <v>2916</v>
      </c>
    </row>
    <row r="858" spans="1:17" x14ac:dyDescent="0.25">
      <c r="A858" t="s">
        <v>2917</v>
      </c>
      <c r="B858">
        <v>128146</v>
      </c>
      <c r="C858" t="s">
        <v>86</v>
      </c>
      <c r="D858" t="s">
        <v>32</v>
      </c>
      <c r="E858" t="s">
        <v>33</v>
      </c>
      <c r="F858" t="s">
        <v>40</v>
      </c>
      <c r="G858" t="s">
        <v>22</v>
      </c>
      <c r="H858" t="s">
        <v>2918</v>
      </c>
      <c r="I858" t="s">
        <v>2919</v>
      </c>
      <c r="J858">
        <v>0</v>
      </c>
      <c r="K858" t="s">
        <v>25</v>
      </c>
      <c r="L858" t="s">
        <v>290</v>
      </c>
      <c r="M858" t="s">
        <v>89</v>
      </c>
      <c r="N858" t="s">
        <v>493</v>
      </c>
      <c r="O858" t="s">
        <v>290</v>
      </c>
      <c r="P858" t="s">
        <v>29</v>
      </c>
      <c r="Q858" t="s">
        <v>30</v>
      </c>
    </row>
    <row r="859" spans="1:17" x14ac:dyDescent="0.25">
      <c r="A859" t="s">
        <v>2920</v>
      </c>
      <c r="B859">
        <v>37502</v>
      </c>
      <c r="C859" t="s">
        <v>713</v>
      </c>
      <c r="D859" t="s">
        <v>19</v>
      </c>
      <c r="E859" t="s">
        <v>227</v>
      </c>
      <c r="F859" t="s">
        <v>685</v>
      </c>
      <c r="G859" t="s">
        <v>394</v>
      </c>
      <c r="H859" t="s">
        <v>2921</v>
      </c>
      <c r="I859" t="s">
        <v>2922</v>
      </c>
      <c r="J859">
        <v>0</v>
      </c>
      <c r="K859" t="s">
        <v>25</v>
      </c>
      <c r="L859" t="s">
        <v>243</v>
      </c>
      <c r="M859" t="s">
        <v>776</v>
      </c>
      <c r="N859" t="s">
        <v>493</v>
      </c>
      <c r="O859" t="s">
        <v>243</v>
      </c>
      <c r="P859" t="s">
        <v>29</v>
      </c>
      <c r="Q859" t="s">
        <v>30</v>
      </c>
    </row>
    <row r="860" spans="1:17" x14ac:dyDescent="0.25">
      <c r="A860" t="s">
        <v>2923</v>
      </c>
      <c r="B860">
        <v>128388</v>
      </c>
      <c r="C860" t="s">
        <v>353</v>
      </c>
      <c r="D860" t="s">
        <v>32</v>
      </c>
      <c r="E860" t="s">
        <v>62</v>
      </c>
      <c r="F860" t="s">
        <v>109</v>
      </c>
      <c r="G860" t="s">
        <v>22</v>
      </c>
      <c r="H860" t="s">
        <v>2924</v>
      </c>
      <c r="I860" t="s">
        <v>2925</v>
      </c>
      <c r="J860">
        <v>0</v>
      </c>
      <c r="K860" t="s">
        <v>211</v>
      </c>
      <c r="L860" t="s">
        <v>548</v>
      </c>
      <c r="M860" t="s">
        <v>372</v>
      </c>
      <c r="N860" t="s">
        <v>493</v>
      </c>
      <c r="O860" t="s">
        <v>661</v>
      </c>
      <c r="P860" t="s">
        <v>29</v>
      </c>
      <c r="Q860" t="s">
        <v>30</v>
      </c>
    </row>
    <row r="861" spans="1:17" x14ac:dyDescent="0.25">
      <c r="A861" t="s">
        <v>2926</v>
      </c>
      <c r="B861">
        <v>121377</v>
      </c>
      <c r="C861" t="s">
        <v>61</v>
      </c>
      <c r="D861" t="s">
        <v>32</v>
      </c>
      <c r="E861" t="s">
        <v>33</v>
      </c>
      <c r="F861" t="s">
        <v>40</v>
      </c>
      <c r="G861" t="s">
        <v>22</v>
      </c>
      <c r="H861" t="s">
        <v>2927</v>
      </c>
      <c r="I861" t="s">
        <v>2928</v>
      </c>
      <c r="J861">
        <v>0</v>
      </c>
      <c r="K861" t="s">
        <v>25</v>
      </c>
      <c r="L861" t="s">
        <v>620</v>
      </c>
      <c r="M861" t="s">
        <v>71</v>
      </c>
      <c r="N861" t="s">
        <v>493</v>
      </c>
      <c r="O861" t="s">
        <v>46</v>
      </c>
      <c r="P861" t="s">
        <v>29</v>
      </c>
      <c r="Q861" t="s">
        <v>30</v>
      </c>
    </row>
    <row r="862" spans="1:17" x14ac:dyDescent="0.25">
      <c r="A862" t="s">
        <v>2929</v>
      </c>
      <c r="B862">
        <v>128471</v>
      </c>
      <c r="C862" t="s">
        <v>374</v>
      </c>
      <c r="D862" t="s">
        <v>32</v>
      </c>
      <c r="E862" t="s">
        <v>33</v>
      </c>
      <c r="F862" t="s">
        <v>40</v>
      </c>
      <c r="G862" t="s">
        <v>22</v>
      </c>
      <c r="H862" t="s">
        <v>2930</v>
      </c>
      <c r="I862" t="s">
        <v>2931</v>
      </c>
      <c r="J862">
        <v>0</v>
      </c>
      <c r="K862" t="s">
        <v>25</v>
      </c>
      <c r="L862" t="s">
        <v>620</v>
      </c>
      <c r="M862" t="s">
        <v>89</v>
      </c>
      <c r="N862" t="s">
        <v>493</v>
      </c>
      <c r="O862" t="s">
        <v>290</v>
      </c>
      <c r="P862" t="s">
        <v>29</v>
      </c>
      <c r="Q862" t="s">
        <v>30</v>
      </c>
    </row>
    <row r="863" spans="1:17" x14ac:dyDescent="0.25">
      <c r="A863" t="s">
        <v>1464</v>
      </c>
      <c r="B863">
        <v>13901</v>
      </c>
      <c r="C863" t="s">
        <v>74</v>
      </c>
      <c r="D863" t="s">
        <v>19</v>
      </c>
      <c r="E863" t="s">
        <v>754</v>
      </c>
      <c r="F863" t="s">
        <v>685</v>
      </c>
      <c r="G863" t="s">
        <v>394</v>
      </c>
      <c r="H863" t="s">
        <v>2932</v>
      </c>
      <c r="I863" t="s">
        <v>2933</v>
      </c>
      <c r="J863">
        <v>0</v>
      </c>
      <c r="K863" t="s">
        <v>25</v>
      </c>
      <c r="L863" t="s">
        <v>761</v>
      </c>
      <c r="M863" t="s">
        <v>766</v>
      </c>
      <c r="N863" t="s">
        <v>493</v>
      </c>
      <c r="O863" t="s">
        <v>683</v>
      </c>
      <c r="P863" t="s">
        <v>29</v>
      </c>
      <c r="Q863" t="s">
        <v>30</v>
      </c>
    </row>
    <row r="864" spans="1:17" x14ac:dyDescent="0.25">
      <c r="A864" t="s">
        <v>2934</v>
      </c>
      <c r="B864">
        <v>128549</v>
      </c>
      <c r="C864" t="s">
        <v>622</v>
      </c>
      <c r="D864" t="s">
        <v>19</v>
      </c>
      <c r="E864" t="s">
        <v>33</v>
      </c>
      <c r="F864" t="s">
        <v>21</v>
      </c>
      <c r="G864" t="s">
        <v>22</v>
      </c>
      <c r="H864" t="s">
        <v>2935</v>
      </c>
      <c r="I864" t="s">
        <v>2936</v>
      </c>
      <c r="J864">
        <v>0</v>
      </c>
      <c r="K864" t="s">
        <v>25</v>
      </c>
      <c r="L864" t="s">
        <v>661</v>
      </c>
      <c r="M864" t="s">
        <v>943</v>
      </c>
      <c r="N864" t="s">
        <v>45</v>
      </c>
      <c r="O864" t="s">
        <v>591</v>
      </c>
      <c r="P864" t="s">
        <v>29</v>
      </c>
      <c r="Q864" t="s">
        <v>30</v>
      </c>
    </row>
    <row r="865" spans="1:17" x14ac:dyDescent="0.25">
      <c r="A865" t="s">
        <v>2937</v>
      </c>
      <c r="B865">
        <v>16644</v>
      </c>
      <c r="C865" t="s">
        <v>1217</v>
      </c>
      <c r="D865" t="s">
        <v>19</v>
      </c>
      <c r="E865" t="s">
        <v>227</v>
      </c>
      <c r="F865" t="s">
        <v>109</v>
      </c>
      <c r="G865" t="s">
        <v>394</v>
      </c>
      <c r="H865" t="s">
        <v>2938</v>
      </c>
      <c r="I865" t="s">
        <v>2939</v>
      </c>
      <c r="J865">
        <v>0</v>
      </c>
      <c r="K865" t="s">
        <v>25</v>
      </c>
      <c r="L865" t="s">
        <v>604</v>
      </c>
      <c r="M865" t="s">
        <v>906</v>
      </c>
      <c r="N865" t="s">
        <v>45</v>
      </c>
      <c r="O865" t="s">
        <v>290</v>
      </c>
      <c r="P865" t="s">
        <v>29</v>
      </c>
      <c r="Q865" t="s">
        <v>30</v>
      </c>
    </row>
    <row r="866" spans="1:17" x14ac:dyDescent="0.25">
      <c r="A866" t="s">
        <v>2940</v>
      </c>
      <c r="B866">
        <v>112505</v>
      </c>
      <c r="C866" t="s">
        <v>18</v>
      </c>
      <c r="D866" t="s">
        <v>19</v>
      </c>
      <c r="E866" t="s">
        <v>62</v>
      </c>
      <c r="F866" t="s">
        <v>109</v>
      </c>
      <c r="G866" t="s">
        <v>394</v>
      </c>
      <c r="H866" t="s">
        <v>2941</v>
      </c>
      <c r="I866" t="s">
        <v>2942</v>
      </c>
      <c r="J866">
        <v>0</v>
      </c>
      <c r="K866" t="s">
        <v>25</v>
      </c>
      <c r="L866" t="s">
        <v>230</v>
      </c>
      <c r="M866" t="s">
        <v>906</v>
      </c>
      <c r="N866" t="s">
        <v>45</v>
      </c>
      <c r="O866" t="s">
        <v>290</v>
      </c>
      <c r="P866" t="s">
        <v>29</v>
      </c>
      <c r="Q866" t="s">
        <v>30</v>
      </c>
    </row>
    <row r="867" spans="1:17" x14ac:dyDescent="0.25">
      <c r="A867" t="s">
        <v>2943</v>
      </c>
      <c r="B867">
        <v>128737</v>
      </c>
      <c r="C867" t="s">
        <v>554</v>
      </c>
      <c r="D867" t="s">
        <v>32</v>
      </c>
      <c r="E867" t="s">
        <v>20</v>
      </c>
      <c r="F867" t="s">
        <v>123</v>
      </c>
      <c r="G867" t="s">
        <v>22</v>
      </c>
      <c r="H867" t="s">
        <v>2944</v>
      </c>
      <c r="I867" t="s">
        <v>2945</v>
      </c>
      <c r="J867">
        <v>0</v>
      </c>
      <c r="K867" t="s">
        <v>25</v>
      </c>
      <c r="L867" t="s">
        <v>604</v>
      </c>
      <c r="M867" t="s">
        <v>929</v>
      </c>
      <c r="N867" t="s">
        <v>28</v>
      </c>
      <c r="O867" t="s">
        <v>59</v>
      </c>
      <c r="P867" t="s">
        <v>29</v>
      </c>
      <c r="Q867" t="s">
        <v>30</v>
      </c>
    </row>
    <row r="868" spans="1:17" x14ac:dyDescent="0.25">
      <c r="A868" t="s">
        <v>2946</v>
      </c>
      <c r="B868">
        <v>128748</v>
      </c>
      <c r="C868" t="s">
        <v>122</v>
      </c>
      <c r="D868" t="s">
        <v>32</v>
      </c>
      <c r="E868" t="s">
        <v>33</v>
      </c>
      <c r="F868" t="s">
        <v>123</v>
      </c>
      <c r="G868" t="s">
        <v>394</v>
      </c>
      <c r="H868" t="s">
        <v>2947</v>
      </c>
      <c r="I868" t="s">
        <v>2948</v>
      </c>
      <c r="J868">
        <v>0</v>
      </c>
      <c r="K868" t="s">
        <v>25</v>
      </c>
      <c r="L868" t="s">
        <v>604</v>
      </c>
      <c r="M868" t="s">
        <v>929</v>
      </c>
      <c r="N868" t="s">
        <v>28</v>
      </c>
      <c r="O868" t="s">
        <v>59</v>
      </c>
      <c r="P868" t="s">
        <v>29</v>
      </c>
      <c r="Q868" t="s">
        <v>30</v>
      </c>
    </row>
    <row r="869" spans="1:17" x14ac:dyDescent="0.25">
      <c r="A869" t="s">
        <v>2949</v>
      </c>
      <c r="B869">
        <v>16268</v>
      </c>
      <c r="C869" t="s">
        <v>601</v>
      </c>
      <c r="D869" t="s">
        <v>19</v>
      </c>
      <c r="E869" t="s">
        <v>227</v>
      </c>
      <c r="F869" t="s">
        <v>484</v>
      </c>
      <c r="G869" t="s">
        <v>22</v>
      </c>
      <c r="H869" t="s">
        <v>2950</v>
      </c>
      <c r="I869" t="s">
        <v>2951</v>
      </c>
      <c r="J869">
        <v>0</v>
      </c>
      <c r="K869" t="s">
        <v>25</v>
      </c>
      <c r="L869" t="s">
        <v>548</v>
      </c>
      <c r="M869" t="s">
        <v>652</v>
      </c>
      <c r="N869" t="s">
        <v>493</v>
      </c>
      <c r="O869" t="s">
        <v>145</v>
      </c>
      <c r="P869" t="s">
        <v>29</v>
      </c>
      <c r="Q869" t="s">
        <v>30</v>
      </c>
    </row>
    <row r="870" spans="1:17" x14ac:dyDescent="0.25">
      <c r="A870" t="s">
        <v>2238</v>
      </c>
      <c r="B870">
        <v>31160</v>
      </c>
      <c r="C870" t="s">
        <v>454</v>
      </c>
      <c r="D870" t="s">
        <v>32</v>
      </c>
      <c r="E870" t="s">
        <v>227</v>
      </c>
      <c r="F870" t="s">
        <v>109</v>
      </c>
      <c r="G870" t="s">
        <v>394</v>
      </c>
      <c r="H870" t="s">
        <v>2952</v>
      </c>
      <c r="I870" t="s">
        <v>2953</v>
      </c>
      <c r="J870">
        <v>0</v>
      </c>
      <c r="K870" t="s">
        <v>25</v>
      </c>
      <c r="L870" t="s">
        <v>575</v>
      </c>
      <c r="M870" t="s">
        <v>536</v>
      </c>
      <c r="N870" t="s">
        <v>493</v>
      </c>
      <c r="O870" t="s">
        <v>548</v>
      </c>
      <c r="P870" t="s">
        <v>29</v>
      </c>
      <c r="Q870" t="s">
        <v>30</v>
      </c>
    </row>
    <row r="871" spans="1:17" x14ac:dyDescent="0.25">
      <c r="A871" t="s">
        <v>2954</v>
      </c>
      <c r="B871">
        <v>128783</v>
      </c>
      <c r="C871" t="s">
        <v>622</v>
      </c>
      <c r="D871" t="s">
        <v>19</v>
      </c>
      <c r="E871" t="s">
        <v>62</v>
      </c>
      <c r="F871" t="s">
        <v>21</v>
      </c>
      <c r="G871" t="s">
        <v>22</v>
      </c>
      <c r="H871" t="s">
        <v>2955</v>
      </c>
      <c r="I871" t="s">
        <v>2956</v>
      </c>
      <c r="J871">
        <v>0</v>
      </c>
      <c r="K871" t="s">
        <v>211</v>
      </c>
      <c r="L871" t="s">
        <v>77</v>
      </c>
      <c r="M871" t="s">
        <v>225</v>
      </c>
      <c r="N871" t="s">
        <v>493</v>
      </c>
      <c r="O871" t="s">
        <v>77</v>
      </c>
      <c r="P871" t="s">
        <v>29</v>
      </c>
      <c r="Q871" t="s">
        <v>30</v>
      </c>
    </row>
    <row r="872" spans="1:17" x14ac:dyDescent="0.25">
      <c r="A872" t="s">
        <v>2957</v>
      </c>
      <c r="B872">
        <v>34152</v>
      </c>
      <c r="C872" t="s">
        <v>54</v>
      </c>
      <c r="D872" t="s">
        <v>32</v>
      </c>
      <c r="E872" t="s">
        <v>227</v>
      </c>
      <c r="F872" t="s">
        <v>40</v>
      </c>
      <c r="G872" t="s">
        <v>22</v>
      </c>
      <c r="H872" t="s">
        <v>2958</v>
      </c>
      <c r="I872" t="s">
        <v>2959</v>
      </c>
      <c r="J872">
        <v>0</v>
      </c>
      <c r="K872" t="s">
        <v>25</v>
      </c>
      <c r="L872" t="s">
        <v>590</v>
      </c>
      <c r="M872" t="s">
        <v>590</v>
      </c>
      <c r="N872" t="s">
        <v>493</v>
      </c>
      <c r="O872" t="s">
        <v>683</v>
      </c>
      <c r="P872" t="s">
        <v>29</v>
      </c>
      <c r="Q872" t="s">
        <v>30</v>
      </c>
    </row>
    <row r="873" spans="1:17" x14ac:dyDescent="0.25">
      <c r="A873" t="s">
        <v>2960</v>
      </c>
      <c r="B873">
        <v>128905</v>
      </c>
      <c r="C873" t="s">
        <v>61</v>
      </c>
      <c r="D873" t="s">
        <v>32</v>
      </c>
      <c r="E873" t="s">
        <v>260</v>
      </c>
      <c r="F873" t="s">
        <v>40</v>
      </c>
      <c r="G873" t="s">
        <v>22</v>
      </c>
      <c r="H873" t="s">
        <v>2961</v>
      </c>
      <c r="I873" t="s">
        <v>2962</v>
      </c>
      <c r="J873">
        <v>0</v>
      </c>
      <c r="K873" t="s">
        <v>25</v>
      </c>
      <c r="L873" t="s">
        <v>590</v>
      </c>
      <c r="M873" t="s">
        <v>590</v>
      </c>
      <c r="N873" t="s">
        <v>493</v>
      </c>
      <c r="O873" t="s">
        <v>683</v>
      </c>
      <c r="P873" t="s">
        <v>29</v>
      </c>
      <c r="Q873" t="s">
        <v>30</v>
      </c>
    </row>
    <row r="874" spans="1:17" x14ac:dyDescent="0.25">
      <c r="A874" t="s">
        <v>2963</v>
      </c>
      <c r="B874">
        <v>105220</v>
      </c>
      <c r="C874" t="s">
        <v>296</v>
      </c>
      <c r="D874" t="s">
        <v>32</v>
      </c>
      <c r="E874" t="s">
        <v>33</v>
      </c>
      <c r="F874" t="s">
        <v>40</v>
      </c>
      <c r="G874" t="s">
        <v>394</v>
      </c>
      <c r="H874" t="s">
        <v>2964</v>
      </c>
      <c r="I874" t="s">
        <v>2965</v>
      </c>
      <c r="J874">
        <v>0</v>
      </c>
      <c r="K874" t="s">
        <v>25</v>
      </c>
      <c r="L874" t="s">
        <v>224</v>
      </c>
      <c r="M874" t="s">
        <v>71</v>
      </c>
      <c r="N874" t="s">
        <v>493</v>
      </c>
      <c r="O874" t="s">
        <v>46</v>
      </c>
      <c r="P874" t="s">
        <v>29</v>
      </c>
      <c r="Q874" t="s">
        <v>30</v>
      </c>
    </row>
    <row r="875" spans="1:17" x14ac:dyDescent="0.25">
      <c r="A875" t="s">
        <v>2966</v>
      </c>
      <c r="B875">
        <v>128976</v>
      </c>
      <c r="C875" t="s">
        <v>181</v>
      </c>
      <c r="D875" t="s">
        <v>32</v>
      </c>
      <c r="E875" t="s">
        <v>62</v>
      </c>
      <c r="F875" t="s">
        <v>109</v>
      </c>
      <c r="G875" t="s">
        <v>22</v>
      </c>
      <c r="H875" t="s">
        <v>2967</v>
      </c>
      <c r="I875" t="s">
        <v>2968</v>
      </c>
      <c r="J875">
        <v>0</v>
      </c>
      <c r="K875" t="s">
        <v>211</v>
      </c>
      <c r="L875" t="s">
        <v>604</v>
      </c>
      <c r="M875" t="s">
        <v>482</v>
      </c>
      <c r="N875" t="s">
        <v>493</v>
      </c>
      <c r="O875" t="s">
        <v>290</v>
      </c>
      <c r="P875" t="s">
        <v>29</v>
      </c>
      <c r="Q875" t="s">
        <v>30</v>
      </c>
    </row>
    <row r="876" spans="1:17" x14ac:dyDescent="0.25">
      <c r="A876" t="s">
        <v>1798</v>
      </c>
      <c r="B876">
        <v>123626</v>
      </c>
      <c r="C876" t="s">
        <v>541</v>
      </c>
      <c r="D876" t="s">
        <v>32</v>
      </c>
      <c r="E876" t="s">
        <v>33</v>
      </c>
      <c r="F876" t="s">
        <v>40</v>
      </c>
      <c r="G876" t="s">
        <v>394</v>
      </c>
      <c r="H876" t="s">
        <v>2969</v>
      </c>
      <c r="I876" t="s">
        <v>2970</v>
      </c>
      <c r="J876">
        <v>0</v>
      </c>
      <c r="K876" t="s">
        <v>25</v>
      </c>
      <c r="L876" t="s">
        <v>1281</v>
      </c>
      <c r="M876" t="s">
        <v>71</v>
      </c>
      <c r="N876" t="s">
        <v>493</v>
      </c>
      <c r="O876" t="s">
        <v>590</v>
      </c>
      <c r="P876" t="s">
        <v>29</v>
      </c>
      <c r="Q876" t="s">
        <v>30</v>
      </c>
    </row>
    <row r="877" spans="1:17" x14ac:dyDescent="0.25">
      <c r="A877" t="s">
        <v>2971</v>
      </c>
      <c r="B877">
        <v>129081</v>
      </c>
      <c r="C877" t="s">
        <v>622</v>
      </c>
      <c r="D877" t="s">
        <v>32</v>
      </c>
      <c r="E877" t="s">
        <v>33</v>
      </c>
      <c r="F877" t="s">
        <v>21</v>
      </c>
      <c r="G877" t="s">
        <v>22</v>
      </c>
      <c r="H877" t="s">
        <v>2972</v>
      </c>
      <c r="I877" t="s">
        <v>2973</v>
      </c>
      <c r="J877">
        <v>0</v>
      </c>
      <c r="K877" t="s">
        <v>211</v>
      </c>
      <c r="L877" t="s">
        <v>290</v>
      </c>
      <c r="M877" t="s">
        <v>89</v>
      </c>
      <c r="N877" t="s">
        <v>493</v>
      </c>
      <c r="O877" t="s">
        <v>290</v>
      </c>
      <c r="P877" t="s">
        <v>29</v>
      </c>
      <c r="Q877" t="s">
        <v>30</v>
      </c>
    </row>
    <row r="878" spans="1:17" x14ac:dyDescent="0.25">
      <c r="A878" t="s">
        <v>2974</v>
      </c>
      <c r="B878">
        <v>129085</v>
      </c>
      <c r="C878" t="s">
        <v>374</v>
      </c>
      <c r="D878" t="s">
        <v>32</v>
      </c>
      <c r="E878" t="s">
        <v>33</v>
      </c>
      <c r="F878" t="s">
        <v>40</v>
      </c>
      <c r="G878" t="s">
        <v>22</v>
      </c>
      <c r="H878" t="s">
        <v>2975</v>
      </c>
      <c r="I878" t="s">
        <v>2976</v>
      </c>
      <c r="J878">
        <v>0</v>
      </c>
      <c r="K878" t="s">
        <v>25</v>
      </c>
      <c r="L878" t="s">
        <v>1337</v>
      </c>
      <c r="M878" t="s">
        <v>89</v>
      </c>
      <c r="N878" t="s">
        <v>493</v>
      </c>
      <c r="O878" t="s">
        <v>683</v>
      </c>
      <c r="P878" t="s">
        <v>29</v>
      </c>
      <c r="Q878" t="s">
        <v>30</v>
      </c>
    </row>
    <row r="879" spans="1:17" x14ac:dyDescent="0.25">
      <c r="A879" t="s">
        <v>2977</v>
      </c>
      <c r="B879">
        <v>129094</v>
      </c>
      <c r="C879" t="s">
        <v>181</v>
      </c>
      <c r="D879" t="s">
        <v>19</v>
      </c>
      <c r="E879" t="s">
        <v>20</v>
      </c>
      <c r="F879" t="s">
        <v>109</v>
      </c>
      <c r="G879" t="s">
        <v>22</v>
      </c>
      <c r="H879" t="s">
        <v>2978</v>
      </c>
      <c r="I879" t="s">
        <v>2979</v>
      </c>
      <c r="J879">
        <v>0</v>
      </c>
      <c r="K879" t="s">
        <v>211</v>
      </c>
      <c r="L879" t="s">
        <v>213</v>
      </c>
      <c r="M879" t="s">
        <v>457</v>
      </c>
      <c r="N879" t="s">
        <v>493</v>
      </c>
      <c r="O879" t="s">
        <v>290</v>
      </c>
      <c r="P879" t="s">
        <v>29</v>
      </c>
      <c r="Q879" t="s">
        <v>30</v>
      </c>
    </row>
    <row r="880" spans="1:17" x14ac:dyDescent="0.25">
      <c r="A880" t="s">
        <v>2980</v>
      </c>
      <c r="B880">
        <v>31748</v>
      </c>
      <c r="C880" t="s">
        <v>530</v>
      </c>
      <c r="D880" t="s">
        <v>32</v>
      </c>
      <c r="E880" t="s">
        <v>33</v>
      </c>
      <c r="F880" t="s">
        <v>40</v>
      </c>
      <c r="G880" t="s">
        <v>394</v>
      </c>
      <c r="H880" t="s">
        <v>2981</v>
      </c>
      <c r="I880" t="s">
        <v>2982</v>
      </c>
      <c r="J880">
        <v>0</v>
      </c>
      <c r="K880" t="s">
        <v>25</v>
      </c>
      <c r="L880" t="s">
        <v>612</v>
      </c>
      <c r="M880" t="s">
        <v>71</v>
      </c>
      <c r="N880" t="s">
        <v>493</v>
      </c>
      <c r="O880" t="s">
        <v>612</v>
      </c>
      <c r="P880" t="s">
        <v>29</v>
      </c>
      <c r="Q880" t="s">
        <v>30</v>
      </c>
    </row>
    <row r="881" spans="1:17" x14ac:dyDescent="0.25">
      <c r="A881" t="s">
        <v>2983</v>
      </c>
      <c r="B881">
        <v>77010</v>
      </c>
      <c r="C881" t="s">
        <v>816</v>
      </c>
      <c r="D881" t="s">
        <v>19</v>
      </c>
      <c r="E881" t="s">
        <v>62</v>
      </c>
      <c r="F881" t="s">
        <v>484</v>
      </c>
      <c r="G881" t="s">
        <v>292</v>
      </c>
      <c r="H881" t="s">
        <v>2984</v>
      </c>
      <c r="I881" t="s">
        <v>2985</v>
      </c>
      <c r="J881">
        <v>0</v>
      </c>
      <c r="K881" t="s">
        <v>25</v>
      </c>
      <c r="L881" t="s">
        <v>2986</v>
      </c>
      <c r="M881" t="s">
        <v>1013</v>
      </c>
      <c r="N881" t="s">
        <v>493</v>
      </c>
      <c r="O881" t="s">
        <v>620</v>
      </c>
      <c r="P881" t="s">
        <v>29</v>
      </c>
      <c r="Q881" t="s">
        <v>30</v>
      </c>
    </row>
    <row r="882" spans="1:17" x14ac:dyDescent="0.25">
      <c r="A882" t="s">
        <v>2987</v>
      </c>
      <c r="B882">
        <v>10887</v>
      </c>
      <c r="C882" t="s">
        <v>296</v>
      </c>
      <c r="D882" t="s">
        <v>32</v>
      </c>
      <c r="E882" t="s">
        <v>754</v>
      </c>
      <c r="F882" t="s">
        <v>393</v>
      </c>
      <c r="G882" t="s">
        <v>22</v>
      </c>
      <c r="H882" t="s">
        <v>2988</v>
      </c>
      <c r="I882" t="s">
        <v>2989</v>
      </c>
      <c r="J882">
        <v>0</v>
      </c>
      <c r="K882" t="s">
        <v>25</v>
      </c>
      <c r="L882" t="s">
        <v>356</v>
      </c>
      <c r="M882" t="s">
        <v>398</v>
      </c>
      <c r="N882" t="s">
        <v>45</v>
      </c>
      <c r="O882" t="s">
        <v>548</v>
      </c>
      <c r="P882" t="s">
        <v>29</v>
      </c>
      <c r="Q882" t="s">
        <v>30</v>
      </c>
    </row>
    <row r="883" spans="1:17" x14ac:dyDescent="0.25">
      <c r="A883" t="s">
        <v>2990</v>
      </c>
      <c r="B883">
        <v>129321</v>
      </c>
      <c r="C883" t="s">
        <v>778</v>
      </c>
      <c r="D883" t="s">
        <v>32</v>
      </c>
      <c r="E883" t="s">
        <v>33</v>
      </c>
      <c r="F883" t="s">
        <v>123</v>
      </c>
      <c r="G883" t="s">
        <v>394</v>
      </c>
      <c r="H883" t="s">
        <v>2991</v>
      </c>
      <c r="I883" t="s">
        <v>2992</v>
      </c>
      <c r="J883">
        <v>0</v>
      </c>
      <c r="K883" t="s">
        <v>112</v>
      </c>
      <c r="L883" t="s">
        <v>126</v>
      </c>
      <c r="M883" t="s">
        <v>304</v>
      </c>
      <c r="N883" t="s">
        <v>45</v>
      </c>
      <c r="O883" t="s">
        <v>548</v>
      </c>
      <c r="P883" t="s">
        <v>29</v>
      </c>
      <c r="Q883" t="s">
        <v>30</v>
      </c>
    </row>
    <row r="884" spans="1:17" x14ac:dyDescent="0.25">
      <c r="A884" t="s">
        <v>2993</v>
      </c>
      <c r="B884">
        <v>129487</v>
      </c>
      <c r="C884" t="s">
        <v>361</v>
      </c>
      <c r="D884" t="s">
        <v>19</v>
      </c>
      <c r="E884" t="s">
        <v>260</v>
      </c>
      <c r="F884" t="s">
        <v>428</v>
      </c>
      <c r="G884" t="s">
        <v>22</v>
      </c>
      <c r="H884" t="s">
        <v>2994</v>
      </c>
      <c r="I884" t="s">
        <v>2995</v>
      </c>
      <c r="J884">
        <v>0</v>
      </c>
      <c r="K884" t="s">
        <v>25</v>
      </c>
      <c r="L884" t="s">
        <v>548</v>
      </c>
      <c r="M884" t="s">
        <v>724</v>
      </c>
      <c r="N884" t="s">
        <v>493</v>
      </c>
      <c r="O884" t="s">
        <v>591</v>
      </c>
      <c r="P884" t="s">
        <v>29</v>
      </c>
      <c r="Q884" t="s">
        <v>30</v>
      </c>
    </row>
    <row r="885" spans="1:17" x14ac:dyDescent="0.25">
      <c r="A885" t="s">
        <v>2996</v>
      </c>
      <c r="B885">
        <v>129488</v>
      </c>
      <c r="C885" t="s">
        <v>1992</v>
      </c>
      <c r="D885" t="s">
        <v>19</v>
      </c>
      <c r="E885" t="s">
        <v>20</v>
      </c>
      <c r="F885" t="s">
        <v>484</v>
      </c>
      <c r="G885" t="s">
        <v>22</v>
      </c>
      <c r="H885" t="s">
        <v>2997</v>
      </c>
      <c r="I885" t="s">
        <v>2998</v>
      </c>
      <c r="J885">
        <v>0</v>
      </c>
      <c r="K885" t="s">
        <v>25</v>
      </c>
      <c r="L885" t="s">
        <v>161</v>
      </c>
      <c r="M885" t="s">
        <v>951</v>
      </c>
      <c r="N885" t="s">
        <v>493</v>
      </c>
      <c r="O885" t="s">
        <v>620</v>
      </c>
      <c r="P885" t="s">
        <v>29</v>
      </c>
      <c r="Q885" t="s">
        <v>30</v>
      </c>
    </row>
    <row r="886" spans="1:17" x14ac:dyDescent="0.25">
      <c r="A886" t="s">
        <v>2999</v>
      </c>
      <c r="B886">
        <v>70862</v>
      </c>
      <c r="C886" t="s">
        <v>713</v>
      </c>
      <c r="D886" t="s">
        <v>19</v>
      </c>
      <c r="E886" t="s">
        <v>33</v>
      </c>
      <c r="F886" t="s">
        <v>685</v>
      </c>
      <c r="G886" t="s">
        <v>394</v>
      </c>
      <c r="H886" t="s">
        <v>3000</v>
      </c>
      <c r="I886" t="s">
        <v>3001</v>
      </c>
      <c r="J886">
        <v>0</v>
      </c>
      <c r="K886" t="s">
        <v>25</v>
      </c>
      <c r="L886" t="s">
        <v>213</v>
      </c>
      <c r="M886" t="s">
        <v>1646</v>
      </c>
      <c r="N886" t="s">
        <v>493</v>
      </c>
      <c r="O886" t="s">
        <v>145</v>
      </c>
      <c r="P886" t="s">
        <v>29</v>
      </c>
      <c r="Q886" t="s">
        <v>30</v>
      </c>
    </row>
    <row r="887" spans="1:17" x14ac:dyDescent="0.25">
      <c r="A887" t="s">
        <v>3002</v>
      </c>
      <c r="B887">
        <v>129498</v>
      </c>
      <c r="C887" t="s">
        <v>646</v>
      </c>
      <c r="D887" t="s">
        <v>19</v>
      </c>
      <c r="E887" t="s">
        <v>33</v>
      </c>
      <c r="F887" t="s">
        <v>109</v>
      </c>
      <c r="G887" t="s">
        <v>22</v>
      </c>
      <c r="H887" t="s">
        <v>3003</v>
      </c>
      <c r="I887" t="s">
        <v>3004</v>
      </c>
      <c r="J887">
        <v>0</v>
      </c>
      <c r="K887" t="s">
        <v>211</v>
      </c>
      <c r="L887" t="s">
        <v>356</v>
      </c>
      <c r="M887" t="s">
        <v>536</v>
      </c>
      <c r="N887" t="s">
        <v>493</v>
      </c>
      <c r="O887" t="s">
        <v>591</v>
      </c>
      <c r="P887" t="s">
        <v>29</v>
      </c>
      <c r="Q887" t="s">
        <v>30</v>
      </c>
    </row>
    <row r="888" spans="1:17" x14ac:dyDescent="0.25">
      <c r="A888" t="s">
        <v>3005</v>
      </c>
      <c r="B888">
        <v>8218</v>
      </c>
      <c r="C888" t="s">
        <v>281</v>
      </c>
      <c r="D888" t="s">
        <v>32</v>
      </c>
      <c r="E888" t="s">
        <v>754</v>
      </c>
      <c r="F888" t="s">
        <v>123</v>
      </c>
      <c r="G888" t="s">
        <v>394</v>
      </c>
      <c r="H888" t="s">
        <v>3006</v>
      </c>
      <c r="I888" t="s">
        <v>3007</v>
      </c>
      <c r="J888">
        <v>0</v>
      </c>
      <c r="K888" t="s">
        <v>25</v>
      </c>
      <c r="L888" t="s">
        <v>575</v>
      </c>
      <c r="M888" t="s">
        <v>605</v>
      </c>
      <c r="N888" t="s">
        <v>493</v>
      </c>
      <c r="O888" t="s">
        <v>199</v>
      </c>
      <c r="P888" t="s">
        <v>29</v>
      </c>
      <c r="Q888" t="s">
        <v>30</v>
      </c>
    </row>
    <row r="889" spans="1:17" x14ac:dyDescent="0.25">
      <c r="A889" t="s">
        <v>3008</v>
      </c>
      <c r="B889">
        <v>129514</v>
      </c>
      <c r="C889" t="s">
        <v>74</v>
      </c>
      <c r="D889" t="s">
        <v>32</v>
      </c>
      <c r="E889" t="s">
        <v>33</v>
      </c>
      <c r="F889" t="s">
        <v>40</v>
      </c>
      <c r="G889" t="s">
        <v>22</v>
      </c>
      <c r="H889" t="s">
        <v>3009</v>
      </c>
      <c r="I889" t="s">
        <v>3010</v>
      </c>
      <c r="J889">
        <v>0</v>
      </c>
      <c r="K889" t="s">
        <v>112</v>
      </c>
      <c r="L889" t="s">
        <v>590</v>
      </c>
      <c r="M889" t="s">
        <v>590</v>
      </c>
      <c r="N889" t="s">
        <v>493</v>
      </c>
      <c r="O889" t="s">
        <v>590</v>
      </c>
      <c r="P889" t="s">
        <v>29</v>
      </c>
      <c r="Q889" t="s">
        <v>30</v>
      </c>
    </row>
    <row r="890" spans="1:17" x14ac:dyDescent="0.25">
      <c r="A890" t="s">
        <v>3011</v>
      </c>
      <c r="B890">
        <v>129532</v>
      </c>
      <c r="C890" t="s">
        <v>353</v>
      </c>
      <c r="D890" t="s">
        <v>19</v>
      </c>
      <c r="E890" t="s">
        <v>20</v>
      </c>
      <c r="F890" t="s">
        <v>109</v>
      </c>
      <c r="G890" t="s">
        <v>22</v>
      </c>
      <c r="H890" t="s">
        <v>3012</v>
      </c>
      <c r="I890" t="s">
        <v>3013</v>
      </c>
      <c r="J890">
        <v>0</v>
      </c>
      <c r="K890" t="s">
        <v>25</v>
      </c>
      <c r="L890" t="s">
        <v>548</v>
      </c>
      <c r="M890" t="s">
        <v>708</v>
      </c>
      <c r="N890" t="s">
        <v>493</v>
      </c>
      <c r="O890" t="s">
        <v>548</v>
      </c>
      <c r="P890" t="s">
        <v>29</v>
      </c>
      <c r="Q890" t="s">
        <v>30</v>
      </c>
    </row>
    <row r="891" spans="1:17" x14ac:dyDescent="0.25">
      <c r="A891" t="s">
        <v>3014</v>
      </c>
      <c r="B891">
        <v>44332</v>
      </c>
      <c r="C891" t="s">
        <v>530</v>
      </c>
      <c r="D891" t="s">
        <v>32</v>
      </c>
      <c r="E891" t="s">
        <v>227</v>
      </c>
      <c r="F891" t="s">
        <v>40</v>
      </c>
      <c r="G891" t="s">
        <v>22</v>
      </c>
      <c r="H891" t="s">
        <v>3015</v>
      </c>
      <c r="I891" t="s">
        <v>3016</v>
      </c>
      <c r="J891">
        <v>0</v>
      </c>
      <c r="K891" t="s">
        <v>25</v>
      </c>
      <c r="L891" t="s">
        <v>46</v>
      </c>
      <c r="M891" t="s">
        <v>71</v>
      </c>
      <c r="N891" t="s">
        <v>493</v>
      </c>
      <c r="O891" t="s">
        <v>683</v>
      </c>
      <c r="P891" t="s">
        <v>29</v>
      </c>
      <c r="Q891" t="s">
        <v>30</v>
      </c>
    </row>
    <row r="892" spans="1:17" x14ac:dyDescent="0.25">
      <c r="A892" t="s">
        <v>3017</v>
      </c>
      <c r="B892">
        <v>129559</v>
      </c>
      <c r="C892" t="s">
        <v>18</v>
      </c>
      <c r="D892" t="s">
        <v>19</v>
      </c>
      <c r="E892" t="s">
        <v>62</v>
      </c>
      <c r="F892" t="s">
        <v>109</v>
      </c>
      <c r="G892" t="s">
        <v>22</v>
      </c>
      <c r="H892" t="s">
        <v>3018</v>
      </c>
      <c r="I892" t="s">
        <v>3019</v>
      </c>
      <c r="J892">
        <v>0</v>
      </c>
      <c r="K892" t="s">
        <v>211</v>
      </c>
      <c r="L892" t="s">
        <v>567</v>
      </c>
      <c r="M892" t="s">
        <v>708</v>
      </c>
      <c r="N892" t="s">
        <v>493</v>
      </c>
      <c r="O892" t="s">
        <v>290</v>
      </c>
      <c r="P892" t="s">
        <v>29</v>
      </c>
      <c r="Q892" t="s">
        <v>30</v>
      </c>
    </row>
    <row r="893" spans="1:17" x14ac:dyDescent="0.25">
      <c r="A893" t="s">
        <v>3020</v>
      </c>
      <c r="B893">
        <v>129558</v>
      </c>
      <c r="C893" t="s">
        <v>54</v>
      </c>
      <c r="D893" t="s">
        <v>32</v>
      </c>
      <c r="E893" t="s">
        <v>62</v>
      </c>
      <c r="F893" t="s">
        <v>40</v>
      </c>
      <c r="G893" t="s">
        <v>22</v>
      </c>
      <c r="H893" t="s">
        <v>3021</v>
      </c>
      <c r="I893" t="s">
        <v>3022</v>
      </c>
      <c r="J893">
        <v>0</v>
      </c>
      <c r="K893" t="s">
        <v>25</v>
      </c>
      <c r="L893" t="s">
        <v>612</v>
      </c>
      <c r="M893" t="s">
        <v>590</v>
      </c>
      <c r="N893" t="s">
        <v>493</v>
      </c>
      <c r="O893" t="s">
        <v>683</v>
      </c>
      <c r="P893" t="s">
        <v>29</v>
      </c>
      <c r="Q893" t="s">
        <v>30</v>
      </c>
    </row>
    <row r="894" spans="1:17" x14ac:dyDescent="0.25">
      <c r="A894" t="s">
        <v>3023</v>
      </c>
      <c r="B894">
        <v>129653</v>
      </c>
      <c r="C894" t="s">
        <v>3024</v>
      </c>
      <c r="D894" t="s">
        <v>19</v>
      </c>
      <c r="E894" t="s">
        <v>33</v>
      </c>
      <c r="F894" t="s">
        <v>484</v>
      </c>
      <c r="G894" t="s">
        <v>22</v>
      </c>
      <c r="H894" t="s">
        <v>3025</v>
      </c>
      <c r="I894" t="s">
        <v>3026</v>
      </c>
      <c r="J894">
        <v>0</v>
      </c>
      <c r="K894" t="s">
        <v>25</v>
      </c>
      <c r="L894" t="s">
        <v>661</v>
      </c>
      <c r="M894" t="s">
        <v>967</v>
      </c>
      <c r="N894" t="s">
        <v>493</v>
      </c>
      <c r="O894" t="s">
        <v>620</v>
      </c>
      <c r="P894" t="s">
        <v>29</v>
      </c>
      <c r="Q894" t="s">
        <v>30</v>
      </c>
    </row>
    <row r="895" spans="1:17" x14ac:dyDescent="0.25">
      <c r="A895" t="s">
        <v>3027</v>
      </c>
      <c r="B895">
        <v>39912</v>
      </c>
      <c r="C895" t="s">
        <v>61</v>
      </c>
      <c r="D895" t="s">
        <v>32</v>
      </c>
      <c r="E895" t="s">
        <v>227</v>
      </c>
      <c r="F895" t="s">
        <v>40</v>
      </c>
      <c r="G895" t="s">
        <v>22</v>
      </c>
      <c r="H895" t="s">
        <v>3028</v>
      </c>
      <c r="I895" t="s">
        <v>3029</v>
      </c>
      <c r="J895">
        <v>0</v>
      </c>
      <c r="K895" t="s">
        <v>25</v>
      </c>
      <c r="L895" t="s">
        <v>683</v>
      </c>
      <c r="M895" t="s">
        <v>1039</v>
      </c>
      <c r="N895" t="s">
        <v>493</v>
      </c>
      <c r="O895" t="s">
        <v>590</v>
      </c>
      <c r="P895" t="s">
        <v>29</v>
      </c>
      <c r="Q895" t="s">
        <v>30</v>
      </c>
    </row>
    <row r="896" spans="1:17" x14ac:dyDescent="0.25">
      <c r="A896" t="s">
        <v>3030</v>
      </c>
      <c r="B896">
        <v>129687</v>
      </c>
      <c r="C896" t="s">
        <v>1951</v>
      </c>
      <c r="D896" t="s">
        <v>19</v>
      </c>
      <c r="E896" t="s">
        <v>33</v>
      </c>
      <c r="F896" t="s">
        <v>484</v>
      </c>
      <c r="G896" t="s">
        <v>22</v>
      </c>
      <c r="H896" t="s">
        <v>3031</v>
      </c>
      <c r="I896" t="s">
        <v>3032</v>
      </c>
      <c r="J896">
        <v>0</v>
      </c>
      <c r="K896" t="s">
        <v>25</v>
      </c>
      <c r="L896" t="s">
        <v>213</v>
      </c>
      <c r="M896" t="s">
        <v>544</v>
      </c>
      <c r="N896" t="s">
        <v>493</v>
      </c>
      <c r="O896" t="s">
        <v>620</v>
      </c>
      <c r="P896" t="s">
        <v>29</v>
      </c>
      <c r="Q896" t="s">
        <v>30</v>
      </c>
    </row>
    <row r="897" spans="1:17" x14ac:dyDescent="0.25">
      <c r="A897" t="s">
        <v>3033</v>
      </c>
      <c r="B897">
        <v>103150</v>
      </c>
      <c r="C897" t="s">
        <v>39</v>
      </c>
      <c r="D897" t="s">
        <v>32</v>
      </c>
      <c r="E897" t="s">
        <v>33</v>
      </c>
      <c r="F897" t="s">
        <v>123</v>
      </c>
      <c r="G897" t="s">
        <v>394</v>
      </c>
      <c r="H897" t="s">
        <v>3034</v>
      </c>
      <c r="I897" t="s">
        <v>3035</v>
      </c>
      <c r="J897">
        <v>0</v>
      </c>
      <c r="K897" t="s">
        <v>25</v>
      </c>
      <c r="L897" t="s">
        <v>575</v>
      </c>
      <c r="M897" t="s">
        <v>971</v>
      </c>
      <c r="N897" t="s">
        <v>493</v>
      </c>
      <c r="O897" t="s">
        <v>591</v>
      </c>
      <c r="P897" t="s">
        <v>29</v>
      </c>
      <c r="Q897" t="s">
        <v>30</v>
      </c>
    </row>
    <row r="898" spans="1:17" x14ac:dyDescent="0.25">
      <c r="A898" t="s">
        <v>3036</v>
      </c>
      <c r="B898">
        <v>129693</v>
      </c>
      <c r="C898" t="s">
        <v>86</v>
      </c>
      <c r="D898" t="s">
        <v>32</v>
      </c>
      <c r="E898" t="s">
        <v>33</v>
      </c>
      <c r="F898" t="s">
        <v>123</v>
      </c>
      <c r="G898" t="s">
        <v>22</v>
      </c>
      <c r="H898" t="s">
        <v>3037</v>
      </c>
      <c r="I898" t="s">
        <v>3038</v>
      </c>
      <c r="J898">
        <v>0</v>
      </c>
      <c r="K898" t="s">
        <v>25</v>
      </c>
      <c r="L898" t="s">
        <v>548</v>
      </c>
      <c r="M898" t="s">
        <v>929</v>
      </c>
      <c r="N898" t="s">
        <v>493</v>
      </c>
      <c r="O898" t="s">
        <v>591</v>
      </c>
      <c r="P898" t="s">
        <v>29</v>
      </c>
      <c r="Q898" t="s">
        <v>30</v>
      </c>
    </row>
    <row r="899" spans="1:17" x14ac:dyDescent="0.25">
      <c r="A899" t="s">
        <v>3039</v>
      </c>
      <c r="B899">
        <v>129592</v>
      </c>
      <c r="C899" t="s">
        <v>296</v>
      </c>
      <c r="D899" t="s">
        <v>32</v>
      </c>
      <c r="E899" t="s">
        <v>33</v>
      </c>
      <c r="F899" t="s">
        <v>40</v>
      </c>
      <c r="G899" t="s">
        <v>22</v>
      </c>
      <c r="H899">
        <v>46049.615567129629</v>
      </c>
      <c r="I899" t="s">
        <v>3040</v>
      </c>
      <c r="J899">
        <v>0</v>
      </c>
      <c r="K899" t="s">
        <v>25</v>
      </c>
      <c r="L899" t="s">
        <v>716</v>
      </c>
      <c r="M899" t="s">
        <v>2298</v>
      </c>
      <c r="N899" t="s">
        <v>493</v>
      </c>
      <c r="O899" t="s">
        <v>612</v>
      </c>
      <c r="P899" t="s">
        <v>29</v>
      </c>
      <c r="Q899" t="s">
        <v>30</v>
      </c>
    </row>
    <row r="900" spans="1:17" x14ac:dyDescent="0.25">
      <c r="A900" t="s">
        <v>3041</v>
      </c>
      <c r="B900">
        <v>129815</v>
      </c>
      <c r="C900" t="s">
        <v>74</v>
      </c>
      <c r="D900" t="s">
        <v>19</v>
      </c>
      <c r="E900" t="s">
        <v>33</v>
      </c>
      <c r="F900" t="s">
        <v>428</v>
      </c>
      <c r="G900" t="s">
        <v>394</v>
      </c>
      <c r="H900" t="s">
        <v>3042</v>
      </c>
      <c r="I900" t="s">
        <v>3043</v>
      </c>
      <c r="J900">
        <v>0</v>
      </c>
      <c r="K900" t="s">
        <v>25</v>
      </c>
      <c r="L900" t="s">
        <v>552</v>
      </c>
      <c r="M900" t="s">
        <v>967</v>
      </c>
      <c r="N900" t="s">
        <v>45</v>
      </c>
      <c r="O900" t="s">
        <v>591</v>
      </c>
      <c r="P900" t="s">
        <v>29</v>
      </c>
      <c r="Q900" t="s">
        <v>30</v>
      </c>
    </row>
    <row r="901" spans="1:17" x14ac:dyDescent="0.25">
      <c r="A901" t="s">
        <v>3044</v>
      </c>
      <c r="B901">
        <v>129927</v>
      </c>
      <c r="C901" t="s">
        <v>1172</v>
      </c>
      <c r="D901" t="s">
        <v>19</v>
      </c>
      <c r="E901" t="s">
        <v>62</v>
      </c>
      <c r="F901" t="s">
        <v>21</v>
      </c>
      <c r="G901" t="s">
        <v>22</v>
      </c>
      <c r="H901" t="s">
        <v>3045</v>
      </c>
      <c r="I901" t="s">
        <v>3046</v>
      </c>
      <c r="J901">
        <v>0</v>
      </c>
      <c r="K901" t="s">
        <v>211</v>
      </c>
      <c r="L901" t="s">
        <v>77</v>
      </c>
      <c r="M901" t="s">
        <v>351</v>
      </c>
      <c r="N901" t="s">
        <v>493</v>
      </c>
      <c r="O901" t="s">
        <v>77</v>
      </c>
      <c r="P901" t="s">
        <v>29</v>
      </c>
      <c r="Q901" t="s">
        <v>30</v>
      </c>
    </row>
    <row r="902" spans="1:17" x14ac:dyDescent="0.25">
      <c r="A902" t="s">
        <v>3047</v>
      </c>
      <c r="B902">
        <v>129942</v>
      </c>
      <c r="C902" t="s">
        <v>151</v>
      </c>
      <c r="D902" t="s">
        <v>32</v>
      </c>
      <c r="E902" t="s">
        <v>62</v>
      </c>
      <c r="F902" t="s">
        <v>40</v>
      </c>
      <c r="G902" t="s">
        <v>22</v>
      </c>
      <c r="H902" t="s">
        <v>3048</v>
      </c>
      <c r="I902" t="s">
        <v>3049</v>
      </c>
      <c r="J902">
        <v>0</v>
      </c>
      <c r="K902" t="s">
        <v>25</v>
      </c>
      <c r="L902" t="s">
        <v>46</v>
      </c>
      <c r="M902" t="s">
        <v>2298</v>
      </c>
      <c r="N902" t="s">
        <v>493</v>
      </c>
      <c r="O902" t="s">
        <v>590</v>
      </c>
      <c r="P902" t="s">
        <v>29</v>
      </c>
      <c r="Q902" t="s">
        <v>30</v>
      </c>
    </row>
    <row r="903" spans="1:17" x14ac:dyDescent="0.25">
      <c r="A903" t="s">
        <v>3050</v>
      </c>
      <c r="B903">
        <v>129940</v>
      </c>
      <c r="C903" t="s">
        <v>773</v>
      </c>
      <c r="D903" t="s">
        <v>19</v>
      </c>
      <c r="E903" t="s">
        <v>33</v>
      </c>
      <c r="F903" t="s">
        <v>484</v>
      </c>
      <c r="G903" t="s">
        <v>22</v>
      </c>
      <c r="H903" t="s">
        <v>3051</v>
      </c>
      <c r="I903" t="s">
        <v>3052</v>
      </c>
      <c r="J903">
        <v>0</v>
      </c>
      <c r="K903" t="s">
        <v>211</v>
      </c>
      <c r="L903" t="s">
        <v>661</v>
      </c>
      <c r="M903" t="s">
        <v>652</v>
      </c>
      <c r="N903" t="s">
        <v>493</v>
      </c>
      <c r="O903" t="s">
        <v>661</v>
      </c>
      <c r="P903" t="s">
        <v>29</v>
      </c>
      <c r="Q903" t="s">
        <v>30</v>
      </c>
    </row>
    <row r="904" spans="1:17" x14ac:dyDescent="0.25">
      <c r="A904" t="s">
        <v>3053</v>
      </c>
      <c r="B904">
        <v>130006</v>
      </c>
      <c r="C904" t="s">
        <v>554</v>
      </c>
      <c r="D904" t="s">
        <v>32</v>
      </c>
      <c r="E904" t="s">
        <v>20</v>
      </c>
      <c r="F904" t="s">
        <v>700</v>
      </c>
      <c r="G904" t="s">
        <v>22</v>
      </c>
      <c r="H904" t="s">
        <v>3054</v>
      </c>
      <c r="I904" t="s">
        <v>3055</v>
      </c>
      <c r="J904">
        <v>0</v>
      </c>
      <c r="K904" t="s">
        <v>25</v>
      </c>
      <c r="L904" t="s">
        <v>213</v>
      </c>
      <c r="M904" t="s">
        <v>36</v>
      </c>
      <c r="N904" t="s">
        <v>45</v>
      </c>
      <c r="O904" t="s">
        <v>761</v>
      </c>
      <c r="P904" t="s">
        <v>29</v>
      </c>
      <c r="Q904" t="s">
        <v>30</v>
      </c>
    </row>
    <row r="905" spans="1:17" x14ac:dyDescent="0.25">
      <c r="A905" t="s">
        <v>3056</v>
      </c>
      <c r="B905">
        <v>130025</v>
      </c>
      <c r="C905" t="s">
        <v>74</v>
      </c>
      <c r="D905" t="s">
        <v>19</v>
      </c>
      <c r="E905" t="s">
        <v>20</v>
      </c>
      <c r="F905" t="s">
        <v>428</v>
      </c>
      <c r="G905" t="s">
        <v>22</v>
      </c>
      <c r="H905" t="s">
        <v>3057</v>
      </c>
      <c r="I905" t="s">
        <v>3058</v>
      </c>
      <c r="J905">
        <v>0</v>
      </c>
      <c r="K905" t="s">
        <v>112</v>
      </c>
      <c r="L905" t="s">
        <v>356</v>
      </c>
      <c r="M905" t="s">
        <v>166</v>
      </c>
      <c r="N905" t="s">
        <v>45</v>
      </c>
      <c r="O905" t="s">
        <v>591</v>
      </c>
      <c r="P905" t="s">
        <v>29</v>
      </c>
      <c r="Q905" t="s">
        <v>30</v>
      </c>
    </row>
    <row r="906" spans="1:17" x14ac:dyDescent="0.25">
      <c r="A906" t="s">
        <v>3059</v>
      </c>
      <c r="B906">
        <v>130064</v>
      </c>
      <c r="C906" t="s">
        <v>1172</v>
      </c>
      <c r="D906" t="s">
        <v>32</v>
      </c>
      <c r="E906" t="s">
        <v>33</v>
      </c>
      <c r="F906" t="s">
        <v>21</v>
      </c>
      <c r="G906" t="s">
        <v>22</v>
      </c>
      <c r="H906" t="s">
        <v>3060</v>
      </c>
      <c r="I906" t="s">
        <v>3061</v>
      </c>
      <c r="J906">
        <v>0</v>
      </c>
      <c r="K906" t="s">
        <v>25</v>
      </c>
      <c r="L906" t="s">
        <v>290</v>
      </c>
      <c r="M906" t="s">
        <v>351</v>
      </c>
      <c r="N906" t="s">
        <v>975</v>
      </c>
      <c r="O906" t="s">
        <v>77</v>
      </c>
      <c r="P906" t="s">
        <v>29</v>
      </c>
      <c r="Q906" t="s">
        <v>30</v>
      </c>
    </row>
    <row r="907" spans="1:17" x14ac:dyDescent="0.25">
      <c r="A907" t="s">
        <v>3062</v>
      </c>
      <c r="B907">
        <v>130177</v>
      </c>
      <c r="C907" t="s">
        <v>454</v>
      </c>
      <c r="D907" t="s">
        <v>32</v>
      </c>
      <c r="E907" t="s">
        <v>33</v>
      </c>
      <c r="F907" t="s">
        <v>109</v>
      </c>
      <c r="G907" t="s">
        <v>22</v>
      </c>
      <c r="H907" t="s">
        <v>3063</v>
      </c>
      <c r="I907" t="s">
        <v>3064</v>
      </c>
      <c r="J907">
        <v>0</v>
      </c>
      <c r="K907" t="s">
        <v>25</v>
      </c>
      <c r="L907" t="s">
        <v>3065</v>
      </c>
      <c r="M907" t="s">
        <v>170</v>
      </c>
      <c r="N907" t="s">
        <v>45</v>
      </c>
      <c r="O907" t="s">
        <v>548</v>
      </c>
      <c r="P907" t="s">
        <v>29</v>
      </c>
      <c r="Q907" t="s">
        <v>30</v>
      </c>
    </row>
    <row r="908" spans="1:17" x14ac:dyDescent="0.25">
      <c r="A908" t="s">
        <v>3066</v>
      </c>
      <c r="B908">
        <v>130173</v>
      </c>
      <c r="C908" t="s">
        <v>634</v>
      </c>
      <c r="D908" t="s">
        <v>19</v>
      </c>
      <c r="E908" t="s">
        <v>33</v>
      </c>
      <c r="F908" t="s">
        <v>109</v>
      </c>
      <c r="G908" t="s">
        <v>22</v>
      </c>
      <c r="H908" t="s">
        <v>3067</v>
      </c>
      <c r="I908" t="s">
        <v>3068</v>
      </c>
      <c r="J908">
        <v>0</v>
      </c>
      <c r="K908" t="s">
        <v>112</v>
      </c>
      <c r="L908" t="s">
        <v>37</v>
      </c>
      <c r="M908" t="s">
        <v>708</v>
      </c>
      <c r="N908" t="s">
        <v>45</v>
      </c>
      <c r="O908" t="s">
        <v>290</v>
      </c>
      <c r="P908" t="s">
        <v>29</v>
      </c>
      <c r="Q908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09A04-E565-43F3-837B-B2C08FA84845}">
  <dimension ref="A1:AC907"/>
  <sheetViews>
    <sheetView topLeftCell="U1" zoomScale="115" zoomScaleNormal="115" workbookViewId="0">
      <selection activeCell="K10" sqref="K10"/>
    </sheetView>
  </sheetViews>
  <sheetFormatPr defaultRowHeight="15.75" x14ac:dyDescent="0.25"/>
  <cols>
    <col min="1" max="2" width="33.625" bestFit="1" customWidth="1"/>
    <col min="3" max="3" width="13.625" bestFit="1" customWidth="1"/>
    <col min="4" max="4" width="15.625" bestFit="1" customWidth="1"/>
    <col min="6" max="6" width="10" style="3" bestFit="1" customWidth="1"/>
    <col min="8" max="8" width="12.5" bestFit="1" customWidth="1"/>
    <col min="9" max="9" width="21.5" bestFit="1" customWidth="1"/>
    <col min="10" max="10" width="14" bestFit="1" customWidth="1"/>
    <col min="11" max="11" width="47.125" bestFit="1" customWidth="1"/>
    <col min="12" max="12" width="21.75" bestFit="1" customWidth="1"/>
    <col min="14" max="14" width="16.75" bestFit="1" customWidth="1"/>
    <col min="15" max="15" width="18" bestFit="1" customWidth="1"/>
    <col min="16" max="18" width="18" customWidth="1"/>
    <col min="19" max="19" width="18" bestFit="1" customWidth="1"/>
    <col min="20" max="20" width="18" customWidth="1"/>
    <col min="23" max="23" width="17.5" bestFit="1" customWidth="1"/>
    <col min="24" max="24" width="17.5" customWidth="1"/>
    <col min="25" max="25" width="8.375" bestFit="1" customWidth="1"/>
    <col min="26" max="26" width="14.5" bestFit="1" customWidth="1"/>
    <col min="28" max="28" width="13.25" bestFit="1" customWidth="1"/>
  </cols>
  <sheetData>
    <row r="1" spans="1:29" x14ac:dyDescent="0.25">
      <c r="A1" t="s">
        <v>0</v>
      </c>
      <c r="B1" s="1" t="s">
        <v>0</v>
      </c>
      <c r="C1" t="s">
        <v>1</v>
      </c>
      <c r="D1" s="1" t="s">
        <v>1</v>
      </c>
      <c r="E1" t="s">
        <v>2</v>
      </c>
      <c r="F1" s="2" t="s">
        <v>3069</v>
      </c>
      <c r="G1" t="s">
        <v>3</v>
      </c>
      <c r="H1" s="2" t="s">
        <v>3070</v>
      </c>
      <c r="I1" t="s">
        <v>4</v>
      </c>
      <c r="J1" s="4" t="s">
        <v>3106</v>
      </c>
      <c r="K1" t="s">
        <v>5</v>
      </c>
      <c r="L1" s="4" t="s">
        <v>3107</v>
      </c>
      <c r="M1" t="s">
        <v>6</v>
      </c>
      <c r="N1" s="4" t="s">
        <v>3070</v>
      </c>
      <c r="O1" t="s">
        <v>7</v>
      </c>
      <c r="P1" s="4" t="s">
        <v>3070</v>
      </c>
      <c r="Q1" t="s">
        <v>7</v>
      </c>
      <c r="R1" s="4" t="s">
        <v>3070</v>
      </c>
      <c r="S1" t="s">
        <v>8</v>
      </c>
      <c r="T1" s="4" t="s">
        <v>3071</v>
      </c>
      <c r="U1" t="s">
        <v>9</v>
      </c>
      <c r="V1" s="4" t="s">
        <v>9</v>
      </c>
      <c r="W1" t="s">
        <v>10</v>
      </c>
      <c r="X1" s="4" t="s">
        <v>3070</v>
      </c>
      <c r="Y1" t="s">
        <v>16</v>
      </c>
      <c r="Z1" s="4" t="s">
        <v>3070</v>
      </c>
      <c r="AB1" s="7" t="s">
        <v>3094</v>
      </c>
    </row>
    <row r="2" spans="1:29" x14ac:dyDescent="0.25">
      <c r="A2" t="s">
        <v>17</v>
      </c>
      <c r="B2" t="str">
        <f>IF(LEN(TRIM(A2))-LEN(SUBSTITUTE(TRIM(A2)," ",""))&gt;=1,TRIM(A2),"⚠ Only 1 name: "&amp;TRIM(A2))</f>
        <v>Babyofmadelina Obed Bulikonyo</v>
      </c>
      <c r="C2">
        <v>92772</v>
      </c>
      <c r="D2" t="str">
        <f t="shared" ref="D2:D65" si="0">IF(COUNTIF($C$2:$C$905,C2)&gt;1,"Duplicate","Unique")</f>
        <v>Unique</v>
      </c>
      <c r="E2" t="s">
        <v>18</v>
      </c>
      <c r="F2" s="3">
        <f>IF(ISNUMBER(SEARCH("month",E2)), LEFT(E2,FIND(" ",E2)-1)&amp;"/12", VALUE(LEFT(E2,FIND(" ",E2)-1)))</f>
        <v>1</v>
      </c>
      <c r="G2" t="s">
        <v>19</v>
      </c>
      <c r="H2" t="str">
        <f>IF(OR(TRIM(G2)="Male", TRIM(G2)="Female"), "Valid", "Inconsistent")</f>
        <v>Valid</v>
      </c>
      <c r="I2" t="s">
        <v>20</v>
      </c>
      <c r="J2" s="8" t="str">
        <f>SUBSTITUTE(SUBSTITUTE(TRIM(CLEAN(I2)),"Manisipaa ya kigoma ujiji","Kigoma Ujiji Mc"),"Buhingwe","Buhigwe")</f>
        <v>Uvinza</v>
      </c>
      <c r="K2" t="s">
        <v>21</v>
      </c>
      <c r="L2" t="str" cm="1">
        <f t="array" ref="L2">_xlfn.IFS(
ISNUMBER(SEARCH("ICU",K2)), "ICU",
ISNUMBER(SEARCH("NEONATAL",K2)), PROPER("NEONATAL"),
ISNUMBER(SEARCH("LABOUR",K2)), PROPER("LABOUR"),
ISNUMBER(SEARCH("PAEDIATRIC",K2)), PROPER("PAEDIATRIC"),
ISNUMBER(SEARCH("FEMALE SURGICAL",K2)), PROPER("FEMALE SURG, ORTHO &amp; GYN"),
ISNUMBER(SEARCH("PSYCHIATRIST",K2)), PROPER("PSYCHIATRIST"),
ISNUMBER(SEARCH("GRADE 1",K2)), PROPER("GRADE 1"),
ISNUMBER(SEARCH("MALE SURGICAL",K2)), PROPER("MALE SURG &amp; ORTHOPEDIC"),
ISNUMBER(SEARCH("MALE MEDICAL",K2)), PROPER("MALE MEDICAL"),
ISNUMBER(SEARCH("GRADE 2",K2)), PROPER("GRADE 2"),
ISNUMBER(SEARCH("FEMALE WARD",K2)), PROPER("FEMALE MEDICAL"),
TRUE, "Unmapped: " &amp; K2)</f>
        <v>Neonatal</v>
      </c>
      <c r="M2" t="s">
        <v>22</v>
      </c>
      <c r="N2" t="str" cm="1">
        <f t="array" ref="N2:N10">_xlfn.UNIQUE(M2:M907)</f>
        <v>CASH</v>
      </c>
      <c r="O2" t="s">
        <v>23</v>
      </c>
      <c r="P2" t="str">
        <f>IF(ISNUMBER(O2), "Valid Date", "Text Error")</f>
        <v>Text Error</v>
      </c>
      <c r="Q2" s="5">
        <v>45649.048298611109</v>
      </c>
      <c r="R2" t="str">
        <f>IF(ISNUMBER(Q2), "Valid Date", "Text Error")</f>
        <v>Valid Date</v>
      </c>
      <c r="S2" t="s">
        <v>24</v>
      </c>
      <c r="T2" s="5">
        <v>46031.783587962964</v>
      </c>
      <c r="U2">
        <v>382</v>
      </c>
      <c r="V2" t="str">
        <f>IF(NOT(ISNUMBER(U2)), "Text Error", IF(U2&lt;0, "Negative", "OK"))</f>
        <v>OK</v>
      </c>
      <c r="W2" t="s">
        <v>25</v>
      </c>
      <c r="X2" t="str" cm="1">
        <f t="array" ref="X2:X6">_xlfn.UNIQUE(W2:W907)</f>
        <v>Normal Discharge</v>
      </c>
      <c r="Y2" t="s">
        <v>30</v>
      </c>
      <c r="Z2" t="str" cm="1">
        <f t="array" ref="Z2:Z4">_xlfn.UNIQUE(Y2:Y907)</f>
        <v>Kigoma</v>
      </c>
      <c r="AB2" s="7" t="s">
        <v>3095</v>
      </c>
    </row>
    <row r="3" spans="1:29" x14ac:dyDescent="0.25">
      <c r="A3" t="s">
        <v>31</v>
      </c>
      <c r="B3" t="str">
        <f t="shared" ref="B3:B66" si="1">IF(LEN(TRIM(A3))-LEN(SUBSTITUTE(TRIM(A3)," ",""))&gt;=1,TRIM(A3),"⚠ Only 1 name: "&amp;TRIM(A3))</f>
        <v>Babyof Kashindi Philmon</v>
      </c>
      <c r="C3">
        <v>93921</v>
      </c>
      <c r="D3" t="str">
        <f t="shared" si="0"/>
        <v>Unique</v>
      </c>
      <c r="E3" t="s">
        <v>18</v>
      </c>
      <c r="F3" s="3">
        <f t="shared" ref="F3:F66" si="2">IF(ISNUMBER(SEARCH("month",E3)), LEFT(E3,FIND(" ",E3)-1)&amp;"/12", VALUE(LEFT(E3,FIND(" ",E3)-1)))</f>
        <v>1</v>
      </c>
      <c r="G3" t="s">
        <v>32</v>
      </c>
      <c r="H3" t="str">
        <f t="shared" ref="H3:H66" si="3">IF(OR(TRIM(G3)="Male", TRIM(G3)="Female"), "Valid", "Inconsistent")</f>
        <v>Valid</v>
      </c>
      <c r="I3" t="s">
        <v>33</v>
      </c>
      <c r="J3" t="str">
        <f t="shared" ref="J3:J66" si="4">SUBSTITUTE(SUBSTITUTE(TRIM(CLEAN(I3)),"Manisipaa ya kigoma ujiji","Kigoma Ujiji Mc"),"Buhingwe","Buhigwe")</f>
        <v>Kigoma Ujiji Mc</v>
      </c>
      <c r="K3" t="s">
        <v>21</v>
      </c>
      <c r="L3" t="str" cm="1">
        <f t="array" ref="L3">_xlfn.IFS(
ISNUMBER(SEARCH("ICU",K3)), "ICU",
ISNUMBER(SEARCH("NEONATAL",K3)), PROPER("NEONATAL"),
ISNUMBER(SEARCH("LABOUR",K3)), PROPER("LABOUR"),
ISNUMBER(SEARCH("PAEDIATRIC",K3)), PROPER("PAEDIATRIC"),
ISNUMBER(SEARCH("FEMALE SURGICAL",K3)), PROPER("FEMALE SURG, ORTHO &amp; GYN"),
ISNUMBER(SEARCH("PSYCHIATRIST",K3)), PROPER("PSYCHIATRIST"),
ISNUMBER(SEARCH("GRADE 1",K3)), PROPER("GRADE 1"),
ISNUMBER(SEARCH("MALE SURGICAL",K3)), PROPER("MALE SURG &amp; ORTHOPEDIC"),
ISNUMBER(SEARCH("MALE MEDICAL",K3)), PROPER("MALE MEDICAL"),
ISNUMBER(SEARCH("GRADE 2",K3)), PROPER("GRADE 2"),
ISNUMBER(SEARCH("FEMALE WARD",K3)), PROPER("FEMALE MEDICAL"),
TRUE, "Unmapped: " &amp; K3)</f>
        <v>Neonatal</v>
      </c>
      <c r="M3" t="s">
        <v>22</v>
      </c>
      <c r="N3" t="str">
        <v>FAST TRACK</v>
      </c>
      <c r="O3" t="s">
        <v>34</v>
      </c>
      <c r="P3" t="str">
        <f t="shared" ref="P3:P66" si="5">IF(ISNUMBER(O3), "Valid Date", "Text Error")</f>
        <v>Text Error</v>
      </c>
      <c r="Q3" s="5">
        <v>45662.635775462964</v>
      </c>
      <c r="R3" t="str">
        <f t="shared" ref="R3:R66" si="6">IF(ISNUMBER(Q3), "Valid Date", "Text Error")</f>
        <v>Valid Date</v>
      </c>
      <c r="S3" t="s">
        <v>35</v>
      </c>
      <c r="T3" s="5">
        <v>46031.784050925926</v>
      </c>
      <c r="U3">
        <v>369</v>
      </c>
      <c r="V3" t="str">
        <f t="shared" ref="V3:V66" si="7">IF(NOT(ISNUMBER(U3)), "Text Error", IF(U3&lt;0, "Negative", "OK"))</f>
        <v>OK</v>
      </c>
      <c r="W3" t="s">
        <v>25</v>
      </c>
      <c r="X3" t="str">
        <v>Escape</v>
      </c>
      <c r="Y3" t="s">
        <v>30</v>
      </c>
      <c r="Z3" t="str">
        <v>Katavi</v>
      </c>
      <c r="AB3" s="7" t="s">
        <v>3096</v>
      </c>
    </row>
    <row r="4" spans="1:29" x14ac:dyDescent="0.25">
      <c r="A4" t="s">
        <v>38</v>
      </c>
      <c r="B4" t="str">
        <f t="shared" si="1"/>
        <v>Mary Japhet Lucas</v>
      </c>
      <c r="C4">
        <v>99223</v>
      </c>
      <c r="D4" t="str">
        <f t="shared" si="0"/>
        <v>Unique</v>
      </c>
      <c r="E4" t="s">
        <v>39</v>
      </c>
      <c r="F4" s="3">
        <f t="shared" si="2"/>
        <v>33</v>
      </c>
      <c r="G4" t="s">
        <v>32</v>
      </c>
      <c r="H4" t="str">
        <f t="shared" si="3"/>
        <v>Valid</v>
      </c>
      <c r="I4" t="s">
        <v>33</v>
      </c>
      <c r="J4" t="str">
        <f t="shared" si="4"/>
        <v>Kigoma Ujiji Mc</v>
      </c>
      <c r="K4" t="s">
        <v>40</v>
      </c>
      <c r="L4" t="str" cm="1">
        <f t="array" ref="L4">_xlfn.IFS(
ISNUMBER(SEARCH("ICU",K4)), "ICU",
ISNUMBER(SEARCH("NEONATAL",K4)), PROPER("NEONATAL"),
ISNUMBER(SEARCH("LABOUR",K4)), PROPER("LABOUR"),
ISNUMBER(SEARCH("PAEDIATRIC",K4)), PROPER("PAEDIATRIC"),
ISNUMBER(SEARCH("FEMALE SURGICAL",K4)), PROPER("FEMALE SURG, ORTHO &amp; GYN"),
ISNUMBER(SEARCH("PSYCHIATRIST",K4)), PROPER("PSYCHIATRIST"),
ISNUMBER(SEARCH("GRADE 1",K4)), PROPER("GRADE 1"),
ISNUMBER(SEARCH("MALE SURGICAL",K4)), PROPER("MALE SURG &amp; ORTHOPEDIC"),
ISNUMBER(SEARCH("MALE MEDICAL",K4)), PROPER("MALE MEDICAL"),
ISNUMBER(SEARCH("GRADE 2",K4)), PROPER("GRADE 2"),
ISNUMBER(SEARCH("FEMALE WARD",K4)), PROPER("FEMALE MEDICAL"),
TRUE, "Unmapped: " &amp; K4)</f>
        <v>Labour</v>
      </c>
      <c r="M4" t="s">
        <v>22</v>
      </c>
      <c r="N4" t="str">
        <v>MHIS</v>
      </c>
      <c r="O4" t="s">
        <v>41</v>
      </c>
      <c r="P4" t="str">
        <f t="shared" si="5"/>
        <v>Text Error</v>
      </c>
      <c r="Q4" s="5">
        <v>45716.864016203705</v>
      </c>
      <c r="R4" t="str">
        <f t="shared" si="6"/>
        <v>Valid Date</v>
      </c>
      <c r="S4" t="s">
        <v>42</v>
      </c>
      <c r="T4" s="5">
        <v>46031.454398148147</v>
      </c>
      <c r="U4">
        <v>314</v>
      </c>
      <c r="V4" t="str">
        <f t="shared" si="7"/>
        <v>OK</v>
      </c>
      <c r="W4" t="s">
        <v>25</v>
      </c>
      <c r="X4" t="str">
        <v>DAMA</v>
      </c>
      <c r="Y4" t="s">
        <v>30</v>
      </c>
      <c r="Z4" t="str">
        <v>Tabora</v>
      </c>
    </row>
    <row r="5" spans="1:29" x14ac:dyDescent="0.25">
      <c r="A5" t="s">
        <v>47</v>
      </c>
      <c r="B5" t="str">
        <f t="shared" si="1"/>
        <v>Baraka Abdul Hassan</v>
      </c>
      <c r="C5">
        <v>99453</v>
      </c>
      <c r="D5" t="str">
        <f t="shared" si="0"/>
        <v>Unique</v>
      </c>
      <c r="E5" t="s">
        <v>18</v>
      </c>
      <c r="F5" s="3">
        <f t="shared" si="2"/>
        <v>1</v>
      </c>
      <c r="G5" t="s">
        <v>19</v>
      </c>
      <c r="H5" t="str">
        <f t="shared" si="3"/>
        <v>Valid</v>
      </c>
      <c r="I5" t="s">
        <v>33</v>
      </c>
      <c r="J5" t="str">
        <f t="shared" si="4"/>
        <v>Kigoma Ujiji Mc</v>
      </c>
      <c r="K5" t="s">
        <v>21</v>
      </c>
      <c r="L5" t="str" cm="1">
        <f t="array" ref="L5">_xlfn.IFS(
ISNUMBER(SEARCH("ICU",K5)), "ICU",
ISNUMBER(SEARCH("NEONATAL",K5)), PROPER("NEONATAL"),
ISNUMBER(SEARCH("LABOUR",K5)), PROPER("LABOUR"),
ISNUMBER(SEARCH("PAEDIATRIC",K5)), PROPER("PAEDIATRIC"),
ISNUMBER(SEARCH("FEMALE SURGICAL",K5)), PROPER("FEMALE SURG, ORTHO &amp; GYN"),
ISNUMBER(SEARCH("PSYCHIATRIST",K5)), PROPER("PSYCHIATRIST"),
ISNUMBER(SEARCH("GRADE 1",K5)), PROPER("GRADE 1"),
ISNUMBER(SEARCH("MALE SURGICAL",K5)), PROPER("MALE SURG &amp; ORTHOPEDIC"),
ISNUMBER(SEARCH("MALE MEDICAL",K5)), PROPER("MALE MEDICAL"),
ISNUMBER(SEARCH("GRADE 2",K5)), PROPER("GRADE 2"),
ISNUMBER(SEARCH("FEMALE WARD",K5)), PROPER("FEMALE MEDICAL"),
TRUE, "Unmapped: " &amp; K5)</f>
        <v>Neonatal</v>
      </c>
      <c r="M5" t="s">
        <v>22</v>
      </c>
      <c r="N5" t="str">
        <v>NHIF</v>
      </c>
      <c r="O5" s="5">
        <v>45719.988333333335</v>
      </c>
      <c r="P5" t="str">
        <f t="shared" si="5"/>
        <v>Valid Date</v>
      </c>
      <c r="Q5" s="5">
        <v>45719.988333333335</v>
      </c>
      <c r="R5" t="str">
        <f t="shared" si="6"/>
        <v>Valid Date</v>
      </c>
      <c r="S5" t="s">
        <v>49</v>
      </c>
      <c r="T5" s="5">
        <v>46031.784988425927</v>
      </c>
      <c r="U5">
        <v>311</v>
      </c>
      <c r="V5" t="str">
        <f t="shared" si="7"/>
        <v>OK</v>
      </c>
      <c r="W5" t="s">
        <v>25</v>
      </c>
      <c r="X5" t="str">
        <v>Death</v>
      </c>
      <c r="Y5" t="s">
        <v>30</v>
      </c>
      <c r="AB5" s="7" t="s">
        <v>3097</v>
      </c>
      <c r="AC5" s="7"/>
    </row>
    <row r="6" spans="1:29" x14ac:dyDescent="0.25">
      <c r="A6" t="s">
        <v>53</v>
      </c>
      <c r="B6" t="str">
        <f t="shared" si="1"/>
        <v>Enjoy Sumaili Japhet</v>
      </c>
      <c r="C6">
        <v>99888</v>
      </c>
      <c r="D6" t="str">
        <f t="shared" si="0"/>
        <v>Unique</v>
      </c>
      <c r="E6" t="s">
        <v>54</v>
      </c>
      <c r="F6" s="3">
        <f t="shared" si="2"/>
        <v>21</v>
      </c>
      <c r="G6" t="s">
        <v>32</v>
      </c>
      <c r="H6" t="str">
        <f t="shared" si="3"/>
        <v>Valid</v>
      </c>
      <c r="I6" t="s">
        <v>33</v>
      </c>
      <c r="J6" t="str">
        <f t="shared" si="4"/>
        <v>Kigoma Ujiji Mc</v>
      </c>
      <c r="K6" t="s">
        <v>40</v>
      </c>
      <c r="L6" t="str" cm="1">
        <f t="array" ref="L6">_xlfn.IFS(
ISNUMBER(SEARCH("ICU",K6)), "ICU",
ISNUMBER(SEARCH("NEONATAL",K6)), PROPER("NEONATAL"),
ISNUMBER(SEARCH("LABOUR",K6)), PROPER("LABOUR"),
ISNUMBER(SEARCH("PAEDIATRIC",K6)), PROPER("PAEDIATRIC"),
ISNUMBER(SEARCH("FEMALE SURGICAL",K6)), PROPER("FEMALE SURG, ORTHO &amp; GYN"),
ISNUMBER(SEARCH("PSYCHIATRIST",K6)), PROPER("PSYCHIATRIST"),
ISNUMBER(SEARCH("GRADE 1",K6)), PROPER("GRADE 1"),
ISNUMBER(SEARCH("MALE SURGICAL",K6)), PROPER("MALE SURG &amp; ORTHOPEDIC"),
ISNUMBER(SEARCH("MALE MEDICAL",K6)), PROPER("MALE MEDICAL"),
ISNUMBER(SEARCH("GRADE 2",K6)), PROPER("GRADE 2"),
ISNUMBER(SEARCH("FEMALE WARD",K6)), PROPER("FEMALE MEDICAL"),
TRUE, "Unmapped: " &amp; K6)</f>
        <v>Labour</v>
      </c>
      <c r="M6" t="s">
        <v>22</v>
      </c>
      <c r="N6" t="str">
        <v>NSSF</v>
      </c>
      <c r="O6" t="s">
        <v>55</v>
      </c>
      <c r="P6" t="str">
        <f t="shared" si="5"/>
        <v>Text Error</v>
      </c>
      <c r="Q6" s="5">
        <v>45725.277662037035</v>
      </c>
      <c r="R6" t="str">
        <f t="shared" si="6"/>
        <v>Valid Date</v>
      </c>
      <c r="S6" t="s">
        <v>56</v>
      </c>
      <c r="T6" s="5">
        <v>46031.456562500003</v>
      </c>
      <c r="U6">
        <v>306</v>
      </c>
      <c r="V6" t="str">
        <f t="shared" si="7"/>
        <v>OK</v>
      </c>
      <c r="W6" t="s">
        <v>25</v>
      </c>
      <c r="X6" t="str">
        <v>Referred</v>
      </c>
      <c r="Y6" t="s">
        <v>30</v>
      </c>
      <c r="AB6" s="7" t="s">
        <v>3098</v>
      </c>
      <c r="AC6" s="7"/>
    </row>
    <row r="7" spans="1:29" x14ac:dyDescent="0.25">
      <c r="A7" t="s">
        <v>60</v>
      </c>
      <c r="B7" t="str">
        <f t="shared" si="1"/>
        <v>Helina Esroni Esroni</v>
      </c>
      <c r="C7">
        <v>101331</v>
      </c>
      <c r="D7" t="str">
        <f t="shared" si="0"/>
        <v>Unique</v>
      </c>
      <c r="E7" t="s">
        <v>61</v>
      </c>
      <c r="F7" s="3">
        <f t="shared" si="2"/>
        <v>29</v>
      </c>
      <c r="G7" t="s">
        <v>32</v>
      </c>
      <c r="H7" t="str">
        <f t="shared" si="3"/>
        <v>Valid</v>
      </c>
      <c r="I7" t="s">
        <v>62</v>
      </c>
      <c r="J7" t="str">
        <f t="shared" si="4"/>
        <v>Kigoma Vijijini</v>
      </c>
      <c r="K7" t="s">
        <v>40</v>
      </c>
      <c r="L7" t="str" cm="1">
        <f t="array" ref="L7">_xlfn.IFS(
ISNUMBER(SEARCH("ICU",K7)), "ICU",
ISNUMBER(SEARCH("NEONATAL",K7)), PROPER("NEONATAL"),
ISNUMBER(SEARCH("LABOUR",K7)), PROPER("LABOUR"),
ISNUMBER(SEARCH("PAEDIATRIC",K7)), PROPER("PAEDIATRIC"),
ISNUMBER(SEARCH("FEMALE SURGICAL",K7)), PROPER("FEMALE SURG, ORTHO &amp; GYN"),
ISNUMBER(SEARCH("PSYCHIATRIST",K7)), PROPER("PSYCHIATRIST"),
ISNUMBER(SEARCH("GRADE 1",K7)), PROPER("GRADE 1"),
ISNUMBER(SEARCH("MALE SURGICAL",K7)), PROPER("MALE SURG &amp; ORTHOPEDIC"),
ISNUMBER(SEARCH("MALE MEDICAL",K7)), PROPER("MALE MEDICAL"),
ISNUMBER(SEARCH("GRADE 2",K7)), PROPER("GRADE 2"),
ISNUMBER(SEARCH("FEMALE WARD",K7)), PROPER("FEMALE MEDICAL"),
TRUE, "Unmapped: " &amp; K7)</f>
        <v>Labour</v>
      </c>
      <c r="M7" t="s">
        <v>22</v>
      </c>
      <c r="N7" t="str">
        <v>STRATEGIES</v>
      </c>
      <c r="O7" t="s">
        <v>63</v>
      </c>
      <c r="P7" t="str">
        <f t="shared" si="5"/>
        <v>Text Error</v>
      </c>
      <c r="Q7" s="5">
        <v>45740.853217592594</v>
      </c>
      <c r="R7" t="str">
        <f t="shared" si="6"/>
        <v>Valid Date</v>
      </c>
      <c r="S7" t="s">
        <v>64</v>
      </c>
      <c r="T7" s="5">
        <v>46031.461412037039</v>
      </c>
      <c r="U7">
        <v>290</v>
      </c>
      <c r="V7" t="str">
        <f t="shared" si="7"/>
        <v>OK</v>
      </c>
      <c r="W7" t="s">
        <v>65</v>
      </c>
      <c r="Y7" t="s">
        <v>30</v>
      </c>
      <c r="AB7" s="7" t="s">
        <v>3099</v>
      </c>
      <c r="AC7" s="7"/>
    </row>
    <row r="8" spans="1:29" x14ac:dyDescent="0.25">
      <c r="A8" t="s">
        <v>67</v>
      </c>
      <c r="B8" t="str">
        <f t="shared" si="1"/>
        <v>Salma Rashid Selemani</v>
      </c>
      <c r="C8">
        <v>38859</v>
      </c>
      <c r="D8" t="str">
        <f t="shared" si="0"/>
        <v>Unique</v>
      </c>
      <c r="E8" t="s">
        <v>68</v>
      </c>
      <c r="F8" s="3">
        <f t="shared" si="2"/>
        <v>32</v>
      </c>
      <c r="G8" t="s">
        <v>32</v>
      </c>
      <c r="H8" t="str">
        <f t="shared" si="3"/>
        <v>Valid</v>
      </c>
      <c r="I8" t="s">
        <v>33</v>
      </c>
      <c r="J8" t="str">
        <f t="shared" si="4"/>
        <v>Kigoma Ujiji Mc</v>
      </c>
      <c r="K8" t="s">
        <v>40</v>
      </c>
      <c r="L8" t="str" cm="1">
        <f t="array" ref="L8">_xlfn.IFS(
ISNUMBER(SEARCH("ICU",K8)), "ICU",
ISNUMBER(SEARCH("NEONATAL",K8)), PROPER("NEONATAL"),
ISNUMBER(SEARCH("LABOUR",K8)), PROPER("LABOUR"),
ISNUMBER(SEARCH("PAEDIATRIC",K8)), PROPER("PAEDIATRIC"),
ISNUMBER(SEARCH("FEMALE SURGICAL",K8)), PROPER("FEMALE SURG, ORTHO &amp; GYN"),
ISNUMBER(SEARCH("PSYCHIATRIST",K8)), PROPER("PSYCHIATRIST"),
ISNUMBER(SEARCH("GRADE 1",K8)), PROPER("GRADE 1"),
ISNUMBER(SEARCH("MALE SURGICAL",K8)), PROPER("MALE SURG &amp; ORTHOPEDIC"),
ISNUMBER(SEARCH("MALE MEDICAL",K8)), PROPER("MALE MEDICAL"),
ISNUMBER(SEARCH("GRADE 2",K8)), PROPER("GRADE 2"),
ISNUMBER(SEARCH("FEMALE WARD",K8)), PROPER("FEMALE MEDICAL"),
TRUE, "Unmapped: " &amp; K8)</f>
        <v>Labour</v>
      </c>
      <c r="M8" t="s">
        <v>22</v>
      </c>
      <c r="N8" t="str">
        <v>CHF</v>
      </c>
      <c r="O8" t="s">
        <v>69</v>
      </c>
      <c r="P8" t="str">
        <f t="shared" si="5"/>
        <v>Text Error</v>
      </c>
      <c r="Q8" s="5">
        <v>45744.432291666664</v>
      </c>
      <c r="R8" t="str">
        <f t="shared" si="6"/>
        <v>Valid Date</v>
      </c>
      <c r="S8" t="s">
        <v>70</v>
      </c>
      <c r="T8" s="5">
        <v>46031.454814814817</v>
      </c>
      <c r="U8">
        <v>287</v>
      </c>
      <c r="V8" t="str">
        <f t="shared" si="7"/>
        <v>OK</v>
      </c>
      <c r="W8" t="s">
        <v>25</v>
      </c>
      <c r="Y8" t="s">
        <v>30</v>
      </c>
      <c r="AB8" s="7" t="s">
        <v>3100</v>
      </c>
      <c r="AC8" s="7"/>
    </row>
    <row r="9" spans="1:29" x14ac:dyDescent="0.25">
      <c r="A9" t="s">
        <v>73</v>
      </c>
      <c r="B9" t="str">
        <f t="shared" si="1"/>
        <v>Fedha Sud Juma</v>
      </c>
      <c r="C9">
        <v>101662</v>
      </c>
      <c r="D9" t="str">
        <f t="shared" si="0"/>
        <v>Unique</v>
      </c>
      <c r="E9" t="s">
        <v>74</v>
      </c>
      <c r="F9" s="3">
        <f t="shared" si="2"/>
        <v>35</v>
      </c>
      <c r="G9" t="s">
        <v>32</v>
      </c>
      <c r="H9" t="str">
        <f t="shared" si="3"/>
        <v>Valid</v>
      </c>
      <c r="I9" t="s">
        <v>33</v>
      </c>
      <c r="J9" t="str">
        <f t="shared" si="4"/>
        <v>Kigoma Ujiji Mc</v>
      </c>
      <c r="K9" t="s">
        <v>40</v>
      </c>
      <c r="L9" t="str" cm="1">
        <f t="array" ref="L9">_xlfn.IFS(
ISNUMBER(SEARCH("ICU",K9)), "ICU",
ISNUMBER(SEARCH("NEONATAL",K9)), PROPER("NEONATAL"),
ISNUMBER(SEARCH("LABOUR",K9)), PROPER("LABOUR"),
ISNUMBER(SEARCH("PAEDIATRIC",K9)), PROPER("PAEDIATRIC"),
ISNUMBER(SEARCH("FEMALE SURGICAL",K9)), PROPER("FEMALE SURG, ORTHO &amp; GYN"),
ISNUMBER(SEARCH("PSYCHIATRIST",K9)), PROPER("PSYCHIATRIST"),
ISNUMBER(SEARCH("GRADE 1",K9)), PROPER("GRADE 1"),
ISNUMBER(SEARCH("MALE SURGICAL",K9)), PROPER("MALE SURG &amp; ORTHOPEDIC"),
ISNUMBER(SEARCH("MALE MEDICAL",K9)), PROPER("MALE MEDICAL"),
ISNUMBER(SEARCH("GRADE 2",K9)), PROPER("GRADE 2"),
ISNUMBER(SEARCH("FEMALE WARD",K9)), PROPER("FEMALE MEDICAL"),
TRUE, "Unmapped: " &amp; K9)</f>
        <v>Labour</v>
      </c>
      <c r="M9" t="s">
        <v>22</v>
      </c>
      <c r="N9" t="str">
        <v xml:space="preserve"> JKT BULOMBOLA</v>
      </c>
      <c r="O9" t="s">
        <v>75</v>
      </c>
      <c r="P9" t="str">
        <f t="shared" si="5"/>
        <v>Text Error</v>
      </c>
      <c r="Q9" s="5">
        <v>45744.774270833332</v>
      </c>
      <c r="R9" t="str">
        <f t="shared" si="6"/>
        <v>Valid Date</v>
      </c>
      <c r="S9" t="s">
        <v>76</v>
      </c>
      <c r="T9" s="5">
        <v>46031.456979166665</v>
      </c>
      <c r="U9">
        <v>286</v>
      </c>
      <c r="V9" t="str">
        <f t="shared" si="7"/>
        <v>OK</v>
      </c>
      <c r="W9" t="s">
        <v>25</v>
      </c>
      <c r="Y9" t="s">
        <v>30</v>
      </c>
      <c r="AB9" s="7" t="s">
        <v>3101</v>
      </c>
      <c r="AC9" s="7"/>
    </row>
    <row r="10" spans="1:29" x14ac:dyDescent="0.25">
      <c r="A10" t="s">
        <v>79</v>
      </c>
      <c r="B10" t="str">
        <f t="shared" si="1"/>
        <v>Nduwimana Devile Kabhula</v>
      </c>
      <c r="C10">
        <v>102455</v>
      </c>
      <c r="D10" t="str">
        <f t="shared" si="0"/>
        <v>Unique</v>
      </c>
      <c r="E10" t="s">
        <v>80</v>
      </c>
      <c r="F10" s="3">
        <f t="shared" si="2"/>
        <v>24</v>
      </c>
      <c r="G10" t="s">
        <v>32</v>
      </c>
      <c r="H10" t="str">
        <f t="shared" si="3"/>
        <v>Valid</v>
      </c>
      <c r="I10" t="s">
        <v>62</v>
      </c>
      <c r="J10" t="str">
        <f t="shared" si="4"/>
        <v>Kigoma Vijijini</v>
      </c>
      <c r="K10" t="s">
        <v>40</v>
      </c>
      <c r="L10" t="str" cm="1">
        <f t="array" ref="L10">_xlfn.IFS(
ISNUMBER(SEARCH("ICU",K10)), "ICU",
ISNUMBER(SEARCH("NEONATAL",K10)), PROPER("NEONATAL"),
ISNUMBER(SEARCH("LABOUR",K10)), PROPER("LABOUR"),
ISNUMBER(SEARCH("PAEDIATRIC",K10)), PROPER("PAEDIATRIC"),
ISNUMBER(SEARCH("FEMALE SURGICAL",K10)), PROPER("FEMALE SURG, ORTHO &amp; GYN"),
ISNUMBER(SEARCH("PSYCHIATRIST",K10)), PROPER("PSYCHIATRIST"),
ISNUMBER(SEARCH("GRADE 1",K10)), PROPER("GRADE 1"),
ISNUMBER(SEARCH("MALE SURGICAL",K10)), PROPER("MALE SURG &amp; ORTHOPEDIC"),
ISNUMBER(SEARCH("MALE MEDICAL",K10)), PROPER("MALE MEDICAL"),
ISNUMBER(SEARCH("GRADE 2",K10)), PROPER("GRADE 2"),
ISNUMBER(SEARCH("FEMALE WARD",K10)), PROPER("FEMALE MEDICAL"),
TRUE, "Unmapped: " &amp; K10)</f>
        <v>Labour</v>
      </c>
      <c r="M10" t="s">
        <v>22</v>
      </c>
      <c r="N10" t="str">
        <v>OTHER INSURANCE</v>
      </c>
      <c r="O10" t="s">
        <v>81</v>
      </c>
      <c r="P10" t="str">
        <f t="shared" si="5"/>
        <v>Text Error</v>
      </c>
      <c r="Q10" s="5">
        <v>45755.009571759256</v>
      </c>
      <c r="R10" t="str">
        <f t="shared" si="6"/>
        <v>Valid Date</v>
      </c>
      <c r="S10" t="s">
        <v>82</v>
      </c>
      <c r="T10" s="5">
        <v>46031.463090277779</v>
      </c>
      <c r="U10">
        <v>276</v>
      </c>
      <c r="V10" t="str">
        <f t="shared" si="7"/>
        <v>OK</v>
      </c>
      <c r="W10" t="s">
        <v>25</v>
      </c>
      <c r="Y10" t="s">
        <v>30</v>
      </c>
      <c r="AB10" s="7" t="s">
        <v>3102</v>
      </c>
      <c r="AC10" s="7"/>
    </row>
    <row r="11" spans="1:29" x14ac:dyDescent="0.25">
      <c r="A11" t="s">
        <v>85</v>
      </c>
      <c r="B11" t="str">
        <f t="shared" si="1"/>
        <v>Dotto Yahaya Ally</v>
      </c>
      <c r="C11">
        <v>102626</v>
      </c>
      <c r="D11" t="str">
        <f t="shared" si="0"/>
        <v>Unique</v>
      </c>
      <c r="E11" t="s">
        <v>86</v>
      </c>
      <c r="F11" s="3">
        <f t="shared" si="2"/>
        <v>23</v>
      </c>
      <c r="G11" t="s">
        <v>32</v>
      </c>
      <c r="H11" t="str">
        <f t="shared" si="3"/>
        <v>Valid</v>
      </c>
      <c r="I11" t="s">
        <v>33</v>
      </c>
      <c r="J11" t="str">
        <f t="shared" si="4"/>
        <v>Kigoma Ujiji Mc</v>
      </c>
      <c r="K11" t="s">
        <v>40</v>
      </c>
      <c r="L11" t="str" cm="1">
        <f t="array" ref="L11">_xlfn.IFS(
ISNUMBER(SEARCH("ICU",K11)), "ICU",
ISNUMBER(SEARCH("NEONATAL",K11)), PROPER("NEONATAL"),
ISNUMBER(SEARCH("LABOUR",K11)), PROPER("LABOUR"),
ISNUMBER(SEARCH("PAEDIATRIC",K11)), PROPER("PAEDIATRIC"),
ISNUMBER(SEARCH("FEMALE SURGICAL",K11)), PROPER("FEMALE SURG, ORTHO &amp; GYN"),
ISNUMBER(SEARCH("PSYCHIATRIST",K11)), PROPER("PSYCHIATRIST"),
ISNUMBER(SEARCH("GRADE 1",K11)), PROPER("GRADE 1"),
ISNUMBER(SEARCH("MALE SURGICAL",K11)), PROPER("MALE SURG &amp; ORTHOPEDIC"),
ISNUMBER(SEARCH("MALE MEDICAL",K11)), PROPER("MALE MEDICAL"),
ISNUMBER(SEARCH("GRADE 2",K11)), PROPER("GRADE 2"),
ISNUMBER(SEARCH("FEMALE WARD",K11)), PROPER("FEMALE MEDICAL"),
TRUE, "Unmapped: " &amp; K11)</f>
        <v>Labour</v>
      </c>
      <c r="M11" t="s">
        <v>22</v>
      </c>
      <c r="O11" t="s">
        <v>87</v>
      </c>
      <c r="P11" t="str">
        <f t="shared" si="5"/>
        <v>Text Error</v>
      </c>
      <c r="Q11" s="5">
        <v>45756.689340277779</v>
      </c>
      <c r="R11" t="str">
        <f t="shared" si="6"/>
        <v>Valid Date</v>
      </c>
      <c r="S11" t="s">
        <v>88</v>
      </c>
      <c r="T11" s="5">
        <v>46031.456111111111</v>
      </c>
      <c r="U11">
        <v>274</v>
      </c>
      <c r="V11" t="str">
        <f t="shared" si="7"/>
        <v>OK</v>
      </c>
      <c r="W11" t="s">
        <v>25</v>
      </c>
      <c r="Y11" t="s">
        <v>30</v>
      </c>
      <c r="AB11" s="7" t="s">
        <v>3103</v>
      </c>
      <c r="AC11" s="7"/>
    </row>
    <row r="12" spans="1:29" x14ac:dyDescent="0.25">
      <c r="A12" t="s">
        <v>90</v>
      </c>
      <c r="B12" t="str">
        <f t="shared" si="1"/>
        <v>First Baby Of Matha Samwel` Kabeya</v>
      </c>
      <c r="C12">
        <v>103251</v>
      </c>
      <c r="D12" t="str">
        <f t="shared" si="0"/>
        <v>Unique</v>
      </c>
      <c r="E12" t="s">
        <v>91</v>
      </c>
      <c r="F12" s="3" t="str">
        <f t="shared" si="2"/>
        <v>11/12</v>
      </c>
      <c r="G12" t="s">
        <v>19</v>
      </c>
      <c r="H12" t="str">
        <f t="shared" si="3"/>
        <v>Valid</v>
      </c>
      <c r="I12" t="s">
        <v>33</v>
      </c>
      <c r="J12" t="str">
        <f t="shared" si="4"/>
        <v>Kigoma Ujiji Mc</v>
      </c>
      <c r="K12" t="s">
        <v>21</v>
      </c>
      <c r="L12" t="str" cm="1">
        <f t="array" ref="L12">_xlfn.IFS(
ISNUMBER(SEARCH("ICU",K12)), "ICU",
ISNUMBER(SEARCH("NEONATAL",K12)), PROPER("NEONATAL"),
ISNUMBER(SEARCH("LABOUR",K12)), PROPER("LABOUR"),
ISNUMBER(SEARCH("PAEDIATRIC",K12)), PROPER("PAEDIATRIC"),
ISNUMBER(SEARCH("FEMALE SURGICAL",K12)), PROPER("FEMALE SURG, ORTHO &amp; GYN"),
ISNUMBER(SEARCH("PSYCHIATRIST",K12)), PROPER("PSYCHIATRIST"),
ISNUMBER(SEARCH("GRADE 1",K12)), PROPER("GRADE 1"),
ISNUMBER(SEARCH("MALE SURGICAL",K12)), PROPER("MALE SURG &amp; ORTHOPEDIC"),
ISNUMBER(SEARCH("MALE MEDICAL",K12)), PROPER("MALE MEDICAL"),
ISNUMBER(SEARCH("GRADE 2",K12)), PROPER("GRADE 2"),
ISNUMBER(SEARCH("FEMALE WARD",K12)), PROPER("FEMALE MEDICAL"),
TRUE, "Unmapped: " &amp; K12)</f>
        <v>Neonatal</v>
      </c>
      <c r="M12" t="s">
        <v>22</v>
      </c>
      <c r="O12" t="s">
        <v>92</v>
      </c>
      <c r="P12" t="str">
        <f t="shared" si="5"/>
        <v>Text Error</v>
      </c>
      <c r="Q12" s="5">
        <v>45763.97928240741</v>
      </c>
      <c r="R12" t="str">
        <f t="shared" si="6"/>
        <v>Valid Date</v>
      </c>
      <c r="S12" t="s">
        <v>93</v>
      </c>
      <c r="T12" s="5">
        <v>46031.786087962966</v>
      </c>
      <c r="U12">
        <v>267</v>
      </c>
      <c r="V12" t="str">
        <f t="shared" si="7"/>
        <v>OK</v>
      </c>
      <c r="W12" t="s">
        <v>25</v>
      </c>
      <c r="Y12" t="s">
        <v>30</v>
      </c>
      <c r="AB12" s="7" t="s">
        <v>3104</v>
      </c>
      <c r="AC12" s="7"/>
    </row>
    <row r="13" spans="1:29" x14ac:dyDescent="0.25">
      <c r="A13" t="s">
        <v>96</v>
      </c>
      <c r="B13" t="str">
        <f t="shared" si="1"/>
        <v>Second Baby Of Matha Samwel Kabeya</v>
      </c>
      <c r="C13">
        <v>103250</v>
      </c>
      <c r="D13" t="str">
        <f t="shared" si="0"/>
        <v>Unique</v>
      </c>
      <c r="E13" t="s">
        <v>91</v>
      </c>
      <c r="F13" s="3" t="str">
        <f t="shared" si="2"/>
        <v>11/12</v>
      </c>
      <c r="G13" t="s">
        <v>32</v>
      </c>
      <c r="H13" t="str">
        <f t="shared" si="3"/>
        <v>Valid</v>
      </c>
      <c r="I13" t="s">
        <v>33</v>
      </c>
      <c r="J13" t="str">
        <f t="shared" si="4"/>
        <v>Kigoma Ujiji Mc</v>
      </c>
      <c r="K13" t="s">
        <v>21</v>
      </c>
      <c r="L13" t="str" cm="1">
        <f t="array" ref="L13">_xlfn.IFS(
ISNUMBER(SEARCH("ICU",K13)), "ICU",
ISNUMBER(SEARCH("NEONATAL",K13)), PROPER("NEONATAL"),
ISNUMBER(SEARCH("LABOUR",K13)), PROPER("LABOUR"),
ISNUMBER(SEARCH("PAEDIATRIC",K13)), PROPER("PAEDIATRIC"),
ISNUMBER(SEARCH("FEMALE SURGICAL",K13)), PROPER("FEMALE SURG, ORTHO &amp; GYN"),
ISNUMBER(SEARCH("PSYCHIATRIST",K13)), PROPER("PSYCHIATRIST"),
ISNUMBER(SEARCH("GRADE 1",K13)), PROPER("GRADE 1"),
ISNUMBER(SEARCH("MALE SURGICAL",K13)), PROPER("MALE SURG &amp; ORTHOPEDIC"),
ISNUMBER(SEARCH("MALE MEDICAL",K13)), PROPER("MALE MEDICAL"),
ISNUMBER(SEARCH("GRADE 2",K13)), PROPER("GRADE 2"),
ISNUMBER(SEARCH("FEMALE WARD",K13)), PROPER("FEMALE MEDICAL"),
TRUE, "Unmapped: " &amp; K13)</f>
        <v>Neonatal</v>
      </c>
      <c r="M13" t="s">
        <v>22</v>
      </c>
      <c r="O13" t="s">
        <v>97</v>
      </c>
      <c r="P13" t="str">
        <f t="shared" si="5"/>
        <v>Text Error</v>
      </c>
      <c r="Q13" s="5">
        <v>45763.986527777779</v>
      </c>
      <c r="R13" t="str">
        <f t="shared" si="6"/>
        <v>Valid Date</v>
      </c>
      <c r="S13" t="s">
        <v>98</v>
      </c>
      <c r="T13" s="5">
        <v>46031.78638888889</v>
      </c>
      <c r="U13">
        <v>267</v>
      </c>
      <c r="V13" t="str">
        <f t="shared" si="7"/>
        <v>OK</v>
      </c>
      <c r="W13" t="s">
        <v>25</v>
      </c>
      <c r="Y13" t="s">
        <v>30</v>
      </c>
      <c r="AB13" s="7" t="s">
        <v>3105</v>
      </c>
      <c r="AC13" s="7"/>
    </row>
    <row r="14" spans="1:29" x14ac:dyDescent="0.25">
      <c r="A14" t="s">
        <v>99</v>
      </c>
      <c r="B14" t="str">
        <f t="shared" si="1"/>
        <v>Babyof Upendo Davis</v>
      </c>
      <c r="C14">
        <v>103252</v>
      </c>
      <c r="D14" t="str">
        <f t="shared" si="0"/>
        <v>Unique</v>
      </c>
      <c r="E14" t="s">
        <v>91</v>
      </c>
      <c r="F14" s="3" t="str">
        <f t="shared" si="2"/>
        <v>11/12</v>
      </c>
      <c r="G14" t="s">
        <v>19</v>
      </c>
      <c r="H14" t="str">
        <f t="shared" si="3"/>
        <v>Valid</v>
      </c>
      <c r="I14" t="s">
        <v>33</v>
      </c>
      <c r="J14" t="str">
        <f t="shared" si="4"/>
        <v>Kigoma Ujiji Mc</v>
      </c>
      <c r="K14" t="s">
        <v>21</v>
      </c>
      <c r="L14" t="str" cm="1">
        <f t="array" ref="L14">_xlfn.IFS(
ISNUMBER(SEARCH("ICU",K14)), "ICU",
ISNUMBER(SEARCH("NEONATAL",K14)), PROPER("NEONATAL"),
ISNUMBER(SEARCH("LABOUR",K14)), PROPER("LABOUR"),
ISNUMBER(SEARCH("PAEDIATRIC",K14)), PROPER("PAEDIATRIC"),
ISNUMBER(SEARCH("FEMALE SURGICAL",K14)), PROPER("FEMALE SURG, ORTHO &amp; GYN"),
ISNUMBER(SEARCH("PSYCHIATRIST",K14)), PROPER("PSYCHIATRIST"),
ISNUMBER(SEARCH("GRADE 1",K14)), PROPER("GRADE 1"),
ISNUMBER(SEARCH("MALE SURGICAL",K14)), PROPER("MALE SURG &amp; ORTHOPEDIC"),
ISNUMBER(SEARCH("MALE MEDICAL",K14)), PROPER("MALE MEDICAL"),
ISNUMBER(SEARCH("GRADE 2",K14)), PROPER("GRADE 2"),
ISNUMBER(SEARCH("FEMALE WARD",K14)), PROPER("FEMALE MEDICAL"),
TRUE, "Unmapped: " &amp; K14)</f>
        <v>Neonatal</v>
      </c>
      <c r="M14" t="s">
        <v>22</v>
      </c>
      <c r="O14" t="s">
        <v>100</v>
      </c>
      <c r="P14" t="str">
        <f t="shared" si="5"/>
        <v>Text Error</v>
      </c>
      <c r="Q14" s="5">
        <v>45764.005104166667</v>
      </c>
      <c r="R14" t="str">
        <f t="shared" si="6"/>
        <v>Valid Date</v>
      </c>
      <c r="S14" t="s">
        <v>101</v>
      </c>
      <c r="T14" s="5">
        <v>46031.788043981483</v>
      </c>
      <c r="U14">
        <v>267</v>
      </c>
      <c r="V14" t="str">
        <f t="shared" si="7"/>
        <v>OK</v>
      </c>
      <c r="W14" t="s">
        <v>25</v>
      </c>
      <c r="Y14" t="s">
        <v>30</v>
      </c>
      <c r="AB14" s="7"/>
      <c r="AC14" s="7"/>
    </row>
    <row r="15" spans="1:29" x14ac:dyDescent="0.25">
      <c r="A15" t="s">
        <v>102</v>
      </c>
      <c r="B15" t="str">
        <f t="shared" si="1"/>
        <v>Chausiku Maneno Ahamad</v>
      </c>
      <c r="C15">
        <v>103340</v>
      </c>
      <c r="D15" t="str">
        <f t="shared" si="0"/>
        <v>Unique</v>
      </c>
      <c r="E15" t="s">
        <v>74</v>
      </c>
      <c r="F15" s="3">
        <f t="shared" si="2"/>
        <v>35</v>
      </c>
      <c r="G15" t="s">
        <v>32</v>
      </c>
      <c r="H15" t="str">
        <f t="shared" si="3"/>
        <v>Valid</v>
      </c>
      <c r="I15" t="s">
        <v>62</v>
      </c>
      <c r="J15" t="str">
        <f t="shared" si="4"/>
        <v>Kigoma Vijijini</v>
      </c>
      <c r="K15" t="s">
        <v>40</v>
      </c>
      <c r="L15" t="str" cm="1">
        <f t="array" ref="L15">_xlfn.IFS(
ISNUMBER(SEARCH("ICU",K15)), "ICU",
ISNUMBER(SEARCH("NEONATAL",K15)), PROPER("NEONATAL"),
ISNUMBER(SEARCH("LABOUR",K15)), PROPER("LABOUR"),
ISNUMBER(SEARCH("PAEDIATRIC",K15)), PROPER("PAEDIATRIC"),
ISNUMBER(SEARCH("FEMALE SURGICAL",K15)), PROPER("FEMALE SURG, ORTHO &amp; GYN"),
ISNUMBER(SEARCH("PSYCHIATRIST",K15)), PROPER("PSYCHIATRIST"),
ISNUMBER(SEARCH("GRADE 1",K15)), PROPER("GRADE 1"),
ISNUMBER(SEARCH("MALE SURGICAL",K15)), PROPER("MALE SURG &amp; ORTHOPEDIC"),
ISNUMBER(SEARCH("MALE MEDICAL",K15)), PROPER("MALE MEDICAL"),
ISNUMBER(SEARCH("GRADE 2",K15)), PROPER("GRADE 2"),
ISNUMBER(SEARCH("FEMALE WARD",K15)), PROPER("FEMALE MEDICAL"),
TRUE, "Unmapped: " &amp; K15)</f>
        <v>Labour</v>
      </c>
      <c r="M15" t="s">
        <v>22</v>
      </c>
      <c r="O15" t="s">
        <v>103</v>
      </c>
      <c r="P15" t="str">
        <f t="shared" si="5"/>
        <v>Text Error</v>
      </c>
      <c r="Q15" s="5">
        <v>45764.72488425926</v>
      </c>
      <c r="R15" t="str">
        <f t="shared" si="6"/>
        <v>Valid Date</v>
      </c>
      <c r="S15" t="s">
        <v>104</v>
      </c>
      <c r="T15" s="5">
        <v>46031.460960648146</v>
      </c>
      <c r="U15">
        <v>266</v>
      </c>
      <c r="V15" t="str">
        <f t="shared" si="7"/>
        <v>OK</v>
      </c>
      <c r="W15" t="s">
        <v>25</v>
      </c>
      <c r="Y15" t="s">
        <v>30</v>
      </c>
      <c r="AB15" s="7"/>
      <c r="AC15" s="7"/>
    </row>
    <row r="16" spans="1:29" x14ac:dyDescent="0.25">
      <c r="A16" t="s">
        <v>107</v>
      </c>
      <c r="B16" t="str">
        <f t="shared" si="1"/>
        <v>Raphael Benedicto Daniel</v>
      </c>
      <c r="C16">
        <v>103551</v>
      </c>
      <c r="D16" t="str">
        <f t="shared" si="0"/>
        <v>Unique</v>
      </c>
      <c r="E16" t="s">
        <v>108</v>
      </c>
      <c r="F16" s="3">
        <f t="shared" si="2"/>
        <v>2</v>
      </c>
      <c r="G16" t="s">
        <v>19</v>
      </c>
      <c r="H16" t="str">
        <f t="shared" si="3"/>
        <v>Valid</v>
      </c>
      <c r="I16" t="s">
        <v>62</v>
      </c>
      <c r="J16" t="str">
        <f t="shared" si="4"/>
        <v>Kigoma Vijijini</v>
      </c>
      <c r="K16" t="s">
        <v>109</v>
      </c>
      <c r="L16" t="str" cm="1">
        <f t="array" ref="L16">_xlfn.IFS(
ISNUMBER(SEARCH("ICU",K16)), "ICU",
ISNUMBER(SEARCH("NEONATAL",K16)), PROPER("NEONATAL"),
ISNUMBER(SEARCH("LABOUR",K16)), PROPER("LABOUR"),
ISNUMBER(SEARCH("PAEDIATRIC",K16)), PROPER("PAEDIATRIC"),
ISNUMBER(SEARCH("FEMALE SURGICAL",K16)), PROPER("FEMALE SURG, ORTHO &amp; GYN"),
ISNUMBER(SEARCH("PSYCHIATRIST",K16)), PROPER("PSYCHIATRIST"),
ISNUMBER(SEARCH("GRADE 1",K16)), PROPER("GRADE 1"),
ISNUMBER(SEARCH("MALE SURGICAL",K16)), PROPER("MALE SURG &amp; ORTHOPEDIC"),
ISNUMBER(SEARCH("MALE MEDICAL",K16)), PROPER("MALE MEDICAL"),
ISNUMBER(SEARCH("GRADE 2",K16)), PROPER("GRADE 2"),
ISNUMBER(SEARCH("FEMALE WARD",K16)), PROPER("FEMALE MEDICAL"),
TRUE, "Unmapped: " &amp; K16)</f>
        <v>Paediatric</v>
      </c>
      <c r="M16" t="s">
        <v>22</v>
      </c>
      <c r="O16" t="s">
        <v>110</v>
      </c>
      <c r="P16" t="str">
        <f t="shared" si="5"/>
        <v>Text Error</v>
      </c>
      <c r="Q16" s="5">
        <v>45768.782118055555</v>
      </c>
      <c r="R16" t="str">
        <f t="shared" si="6"/>
        <v>Valid Date</v>
      </c>
      <c r="S16" t="s">
        <v>111</v>
      </c>
      <c r="T16" s="5">
        <v>46035.497557870367</v>
      </c>
      <c r="U16">
        <v>266</v>
      </c>
      <c r="V16" t="str">
        <f t="shared" si="7"/>
        <v>OK</v>
      </c>
      <c r="W16" t="s">
        <v>112</v>
      </c>
      <c r="Y16" t="s">
        <v>30</v>
      </c>
    </row>
    <row r="17" spans="1:25" x14ac:dyDescent="0.25">
      <c r="A17" t="s">
        <v>114</v>
      </c>
      <c r="B17" t="str">
        <f t="shared" si="1"/>
        <v>B/o Hawa Mussa Kebu</v>
      </c>
      <c r="C17">
        <v>103649</v>
      </c>
      <c r="D17" t="str">
        <f t="shared" si="0"/>
        <v>Unique</v>
      </c>
      <c r="E17" t="s">
        <v>91</v>
      </c>
      <c r="F17" s="3" t="str">
        <f t="shared" si="2"/>
        <v>11/12</v>
      </c>
      <c r="G17" t="s">
        <v>19</v>
      </c>
      <c r="H17" t="str">
        <f t="shared" si="3"/>
        <v>Valid</v>
      </c>
      <c r="I17" t="s">
        <v>33</v>
      </c>
      <c r="J17" t="str">
        <f t="shared" si="4"/>
        <v>Kigoma Ujiji Mc</v>
      </c>
      <c r="K17" t="s">
        <v>21</v>
      </c>
      <c r="L17" t="str" cm="1">
        <f t="array" ref="L17">_xlfn.IFS(
ISNUMBER(SEARCH("ICU",K17)), "ICU",
ISNUMBER(SEARCH("NEONATAL",K17)), PROPER("NEONATAL"),
ISNUMBER(SEARCH("LABOUR",K17)), PROPER("LABOUR"),
ISNUMBER(SEARCH("PAEDIATRIC",K17)), PROPER("PAEDIATRIC"),
ISNUMBER(SEARCH("FEMALE SURGICAL",K17)), PROPER("FEMALE SURG, ORTHO &amp; GYN"),
ISNUMBER(SEARCH("PSYCHIATRIST",K17)), PROPER("PSYCHIATRIST"),
ISNUMBER(SEARCH("GRADE 1",K17)), PROPER("GRADE 1"),
ISNUMBER(SEARCH("MALE SURGICAL",K17)), PROPER("MALE SURG &amp; ORTHOPEDIC"),
ISNUMBER(SEARCH("MALE MEDICAL",K17)), PROPER("MALE MEDICAL"),
ISNUMBER(SEARCH("GRADE 2",K17)), PROPER("GRADE 2"),
ISNUMBER(SEARCH("FEMALE WARD",K17)), PROPER("FEMALE MEDICAL"),
TRUE, "Unmapped: " &amp; K17)</f>
        <v>Neonatal</v>
      </c>
      <c r="M17" t="s">
        <v>22</v>
      </c>
      <c r="O17" t="s">
        <v>115</v>
      </c>
      <c r="P17" t="str">
        <f t="shared" si="5"/>
        <v>Text Error</v>
      </c>
      <c r="Q17" s="5">
        <v>45769.801724537036</v>
      </c>
      <c r="R17" t="str">
        <f t="shared" si="6"/>
        <v>Valid Date</v>
      </c>
      <c r="S17" t="s">
        <v>116</v>
      </c>
      <c r="T17" s="5">
        <v>46031.788414351853</v>
      </c>
      <c r="U17">
        <v>261</v>
      </c>
      <c r="V17" t="str">
        <f t="shared" si="7"/>
        <v>OK</v>
      </c>
      <c r="W17" t="s">
        <v>25</v>
      </c>
      <c r="Y17" t="s">
        <v>30</v>
      </c>
    </row>
    <row r="18" spans="1:25" x14ac:dyDescent="0.25">
      <c r="A18" t="s">
        <v>118</v>
      </c>
      <c r="B18" t="str">
        <f t="shared" si="1"/>
        <v>Sarah Sekela Hamisi</v>
      </c>
      <c r="C18">
        <v>104157</v>
      </c>
      <c r="D18" t="str">
        <f t="shared" si="0"/>
        <v>Unique</v>
      </c>
      <c r="E18" t="s">
        <v>80</v>
      </c>
      <c r="F18" s="3">
        <f t="shared" si="2"/>
        <v>24</v>
      </c>
      <c r="G18" t="s">
        <v>32</v>
      </c>
      <c r="H18" t="str">
        <f t="shared" si="3"/>
        <v>Valid</v>
      </c>
      <c r="I18" t="s">
        <v>33</v>
      </c>
      <c r="J18" t="str">
        <f t="shared" si="4"/>
        <v>Kigoma Ujiji Mc</v>
      </c>
      <c r="K18" t="s">
        <v>40</v>
      </c>
      <c r="L18" t="str" cm="1">
        <f t="array" ref="L18">_xlfn.IFS(
ISNUMBER(SEARCH("ICU",K18)), "ICU",
ISNUMBER(SEARCH("NEONATAL",K18)), PROPER("NEONATAL"),
ISNUMBER(SEARCH("LABOUR",K18)), PROPER("LABOUR"),
ISNUMBER(SEARCH("PAEDIATRIC",K18)), PROPER("PAEDIATRIC"),
ISNUMBER(SEARCH("FEMALE SURGICAL",K18)), PROPER("FEMALE SURG, ORTHO &amp; GYN"),
ISNUMBER(SEARCH("PSYCHIATRIST",K18)), PROPER("PSYCHIATRIST"),
ISNUMBER(SEARCH("GRADE 1",K18)), PROPER("GRADE 1"),
ISNUMBER(SEARCH("MALE SURGICAL",K18)), PROPER("MALE SURG &amp; ORTHOPEDIC"),
ISNUMBER(SEARCH("MALE MEDICAL",K18)), PROPER("MALE MEDICAL"),
ISNUMBER(SEARCH("GRADE 2",K18)), PROPER("GRADE 2"),
ISNUMBER(SEARCH("FEMALE WARD",K18)), PROPER("FEMALE MEDICAL"),
TRUE, "Unmapped: " &amp; K18)</f>
        <v>Labour</v>
      </c>
      <c r="M18" t="s">
        <v>22</v>
      </c>
      <c r="O18" t="s">
        <v>119</v>
      </c>
      <c r="P18" t="str">
        <f t="shared" si="5"/>
        <v>Text Error</v>
      </c>
      <c r="Q18" s="5">
        <v>45776.718634259261</v>
      </c>
      <c r="R18" t="str">
        <f t="shared" si="6"/>
        <v>Valid Date</v>
      </c>
      <c r="S18" t="s">
        <v>120</v>
      </c>
      <c r="T18" s="5">
        <v>46031.73096064815</v>
      </c>
      <c r="U18">
        <v>255</v>
      </c>
      <c r="V18" t="str">
        <f t="shared" si="7"/>
        <v>OK</v>
      </c>
      <c r="W18" t="s">
        <v>25</v>
      </c>
      <c r="Y18" t="s">
        <v>30</v>
      </c>
    </row>
    <row r="19" spans="1:25" x14ac:dyDescent="0.25">
      <c r="A19" t="s">
        <v>121</v>
      </c>
      <c r="B19" t="str">
        <f t="shared" si="1"/>
        <v>Zabibu Juma Said</v>
      </c>
      <c r="C19">
        <v>104427</v>
      </c>
      <c r="D19" t="str">
        <f t="shared" si="0"/>
        <v>Unique</v>
      </c>
      <c r="E19" t="s">
        <v>122</v>
      </c>
      <c r="F19" s="3">
        <f t="shared" si="2"/>
        <v>40</v>
      </c>
      <c r="G19" t="s">
        <v>32</v>
      </c>
      <c r="H19" t="str">
        <f t="shared" si="3"/>
        <v>Valid</v>
      </c>
      <c r="I19" t="s">
        <v>33</v>
      </c>
      <c r="J19" t="str">
        <f t="shared" si="4"/>
        <v>Kigoma Ujiji Mc</v>
      </c>
      <c r="K19" t="s">
        <v>123</v>
      </c>
      <c r="L19" t="str" cm="1">
        <f t="array" ref="L19">_xlfn.IFS(
ISNUMBER(SEARCH("ICU",K19)), "ICU",
ISNUMBER(SEARCH("NEONATAL",K19)), PROPER("NEONATAL"),
ISNUMBER(SEARCH("LABOUR",K19)), PROPER("LABOUR"),
ISNUMBER(SEARCH("PAEDIATRIC",K19)), PROPER("PAEDIATRIC"),
ISNUMBER(SEARCH("FEMALE SURGICAL",K19)), PROPER("FEMALE SURG, ORTHO &amp; GYN"),
ISNUMBER(SEARCH("PSYCHIATRIST",K19)), PROPER("PSYCHIATRIST"),
ISNUMBER(SEARCH("GRADE 1",K19)), PROPER("GRADE 1"),
ISNUMBER(SEARCH("MALE SURGICAL",K19)), PROPER("MALE SURG &amp; ORTHOPEDIC"),
ISNUMBER(SEARCH("MALE MEDICAL",K19)), PROPER("MALE MEDICAL"),
ISNUMBER(SEARCH("GRADE 2",K19)), PROPER("GRADE 2"),
ISNUMBER(SEARCH("FEMALE WARD",K19)), PROPER("FEMALE MEDICAL"),
TRUE, "Unmapped: " &amp; K19)</f>
        <v>Female Surg, Ortho &amp; Gyn</v>
      </c>
      <c r="M19" t="s">
        <v>22</v>
      </c>
      <c r="O19" t="s">
        <v>124</v>
      </c>
      <c r="P19" t="str">
        <f t="shared" si="5"/>
        <v>Text Error</v>
      </c>
      <c r="Q19" s="5">
        <v>45779.120393518519</v>
      </c>
      <c r="R19" t="str">
        <f t="shared" si="6"/>
        <v>Valid Date</v>
      </c>
      <c r="S19" t="s">
        <v>125</v>
      </c>
      <c r="T19" s="5">
        <v>46031.803668981483</v>
      </c>
      <c r="U19">
        <v>252</v>
      </c>
      <c r="V19" t="str">
        <f t="shared" si="7"/>
        <v>OK</v>
      </c>
      <c r="W19" t="s">
        <v>65</v>
      </c>
      <c r="Y19" t="s">
        <v>30</v>
      </c>
    </row>
    <row r="20" spans="1:25" x14ac:dyDescent="0.25">
      <c r="A20" t="s">
        <v>129</v>
      </c>
      <c r="B20" t="str">
        <f t="shared" si="1"/>
        <v>Rebeka Abeli Obedi</v>
      </c>
      <c r="C20">
        <v>104514</v>
      </c>
      <c r="D20" t="str">
        <f t="shared" si="0"/>
        <v>Unique</v>
      </c>
      <c r="E20" t="s">
        <v>39</v>
      </c>
      <c r="F20" s="3">
        <f t="shared" si="2"/>
        <v>33</v>
      </c>
      <c r="G20" t="s">
        <v>32</v>
      </c>
      <c r="H20" t="str">
        <f t="shared" si="3"/>
        <v>Valid</v>
      </c>
      <c r="I20" t="s">
        <v>130</v>
      </c>
      <c r="J20" t="str">
        <f t="shared" si="4"/>
        <v>Buhigwe</v>
      </c>
      <c r="K20" t="s">
        <v>123</v>
      </c>
      <c r="L20" t="str" cm="1">
        <f t="array" ref="L20">_xlfn.IFS(
ISNUMBER(SEARCH("ICU",K20)), "ICU",
ISNUMBER(SEARCH("NEONATAL",K20)), PROPER("NEONATAL"),
ISNUMBER(SEARCH("LABOUR",K20)), PROPER("LABOUR"),
ISNUMBER(SEARCH("PAEDIATRIC",K20)), PROPER("PAEDIATRIC"),
ISNUMBER(SEARCH("FEMALE SURGICAL",K20)), PROPER("FEMALE SURG, ORTHO &amp; GYN"),
ISNUMBER(SEARCH("PSYCHIATRIST",K20)), PROPER("PSYCHIATRIST"),
ISNUMBER(SEARCH("GRADE 1",K20)), PROPER("GRADE 1"),
ISNUMBER(SEARCH("MALE SURGICAL",K20)), PROPER("MALE SURG &amp; ORTHOPEDIC"),
ISNUMBER(SEARCH("MALE MEDICAL",K20)), PROPER("MALE MEDICAL"),
ISNUMBER(SEARCH("GRADE 2",K20)), PROPER("GRADE 2"),
ISNUMBER(SEARCH("FEMALE WARD",K20)), PROPER("FEMALE MEDICAL"),
TRUE, "Unmapped: " &amp; K20)</f>
        <v>Female Surg, Ortho &amp; Gyn</v>
      </c>
      <c r="M20" t="s">
        <v>22</v>
      </c>
      <c r="O20" t="s">
        <v>131</v>
      </c>
      <c r="P20" t="str">
        <f t="shared" si="5"/>
        <v>Text Error</v>
      </c>
      <c r="Q20" s="5">
        <v>45779.787858796299</v>
      </c>
      <c r="R20" t="str">
        <f t="shared" si="6"/>
        <v>Valid Date</v>
      </c>
      <c r="S20" t="s">
        <v>132</v>
      </c>
      <c r="T20" s="5">
        <v>46031.803969907407</v>
      </c>
      <c r="U20">
        <v>252</v>
      </c>
      <c r="V20" t="str">
        <f t="shared" si="7"/>
        <v>OK</v>
      </c>
      <c r="W20" t="s">
        <v>65</v>
      </c>
      <c r="Y20" t="s">
        <v>30</v>
      </c>
    </row>
    <row r="21" spans="1:25" x14ac:dyDescent="0.25">
      <c r="A21" t="s">
        <v>134</v>
      </c>
      <c r="B21" t="str">
        <f t="shared" si="1"/>
        <v>Tamasha Mageza Hassan</v>
      </c>
      <c r="C21">
        <v>105121</v>
      </c>
      <c r="D21" t="str">
        <f t="shared" si="0"/>
        <v>Unique</v>
      </c>
      <c r="E21" t="s">
        <v>80</v>
      </c>
      <c r="F21" s="3">
        <f t="shared" si="2"/>
        <v>24</v>
      </c>
      <c r="G21" t="s">
        <v>32</v>
      </c>
      <c r="H21" t="str">
        <f t="shared" si="3"/>
        <v>Valid</v>
      </c>
      <c r="I21" t="s">
        <v>33</v>
      </c>
      <c r="J21" t="str">
        <f t="shared" si="4"/>
        <v>Kigoma Ujiji Mc</v>
      </c>
      <c r="K21" t="s">
        <v>40</v>
      </c>
      <c r="L21" t="str" cm="1">
        <f t="array" ref="L21">_xlfn.IFS(
ISNUMBER(SEARCH("ICU",K21)), "ICU",
ISNUMBER(SEARCH("NEONATAL",K21)), PROPER("NEONATAL"),
ISNUMBER(SEARCH("LABOUR",K21)), PROPER("LABOUR"),
ISNUMBER(SEARCH("PAEDIATRIC",K21)), PROPER("PAEDIATRIC"),
ISNUMBER(SEARCH("FEMALE SURGICAL",K21)), PROPER("FEMALE SURG, ORTHO &amp; GYN"),
ISNUMBER(SEARCH("PSYCHIATRIST",K21)), PROPER("PSYCHIATRIST"),
ISNUMBER(SEARCH("GRADE 1",K21)), PROPER("GRADE 1"),
ISNUMBER(SEARCH("MALE SURGICAL",K21)), PROPER("MALE SURG &amp; ORTHOPEDIC"),
ISNUMBER(SEARCH("MALE MEDICAL",K21)), PROPER("MALE MEDICAL"),
ISNUMBER(SEARCH("GRADE 2",K21)), PROPER("GRADE 2"),
ISNUMBER(SEARCH("FEMALE WARD",K21)), PROPER("FEMALE MEDICAL"),
TRUE, "Unmapped: " &amp; K21)</f>
        <v>Labour</v>
      </c>
      <c r="M21" t="s">
        <v>22</v>
      </c>
      <c r="O21" t="s">
        <v>135</v>
      </c>
      <c r="P21" t="str">
        <f t="shared" si="5"/>
        <v>Text Error</v>
      </c>
      <c r="Q21" s="5">
        <v>45785.85015046296</v>
      </c>
      <c r="R21" t="str">
        <f t="shared" si="6"/>
        <v>Valid Date</v>
      </c>
      <c r="S21" t="s">
        <v>136</v>
      </c>
      <c r="T21" s="5">
        <v>46031.730567129627</v>
      </c>
      <c r="U21">
        <v>245</v>
      </c>
      <c r="V21" t="str">
        <f t="shared" si="7"/>
        <v>OK</v>
      </c>
      <c r="W21" t="s">
        <v>25</v>
      </c>
      <c r="Y21" t="s">
        <v>30</v>
      </c>
    </row>
    <row r="22" spans="1:25" x14ac:dyDescent="0.25">
      <c r="A22" t="s">
        <v>137</v>
      </c>
      <c r="B22" t="str">
        <f t="shared" si="1"/>
        <v>Melania Juma Mwamin</v>
      </c>
      <c r="C22">
        <v>105271</v>
      </c>
      <c r="D22" t="str">
        <f t="shared" si="0"/>
        <v>Unique</v>
      </c>
      <c r="E22" t="s">
        <v>138</v>
      </c>
      <c r="F22" s="3">
        <f t="shared" si="2"/>
        <v>18</v>
      </c>
      <c r="G22" t="s">
        <v>32</v>
      </c>
      <c r="H22" t="str">
        <f t="shared" si="3"/>
        <v>Valid</v>
      </c>
      <c r="I22" t="s">
        <v>33</v>
      </c>
      <c r="J22" t="str">
        <f t="shared" si="4"/>
        <v>Kigoma Ujiji Mc</v>
      </c>
      <c r="K22" t="s">
        <v>123</v>
      </c>
      <c r="L22" t="str" cm="1">
        <f t="array" ref="L22">_xlfn.IFS(
ISNUMBER(SEARCH("ICU",K22)), "ICU",
ISNUMBER(SEARCH("NEONATAL",K22)), PROPER("NEONATAL"),
ISNUMBER(SEARCH("LABOUR",K22)), PROPER("LABOUR"),
ISNUMBER(SEARCH("PAEDIATRIC",K22)), PROPER("PAEDIATRIC"),
ISNUMBER(SEARCH("FEMALE SURGICAL",K22)), PROPER("FEMALE SURG, ORTHO &amp; GYN"),
ISNUMBER(SEARCH("PSYCHIATRIST",K22)), PROPER("PSYCHIATRIST"),
ISNUMBER(SEARCH("GRADE 1",K22)), PROPER("GRADE 1"),
ISNUMBER(SEARCH("MALE SURGICAL",K22)), PROPER("MALE SURG &amp; ORTHOPEDIC"),
ISNUMBER(SEARCH("MALE MEDICAL",K22)), PROPER("MALE MEDICAL"),
ISNUMBER(SEARCH("GRADE 2",K22)), PROPER("GRADE 2"),
ISNUMBER(SEARCH("FEMALE WARD",K22)), PROPER("FEMALE MEDICAL"),
TRUE, "Unmapped: " &amp; K22)</f>
        <v>Female Surg, Ortho &amp; Gyn</v>
      </c>
      <c r="M22" t="s">
        <v>22</v>
      </c>
      <c r="O22" t="s">
        <v>139</v>
      </c>
      <c r="P22" t="str">
        <f t="shared" si="5"/>
        <v>Text Error</v>
      </c>
      <c r="Q22" s="5">
        <v>45788.036111111112</v>
      </c>
      <c r="R22" t="str">
        <f t="shared" si="6"/>
        <v>Valid Date</v>
      </c>
      <c r="S22" t="s">
        <v>140</v>
      </c>
      <c r="T22" s="5">
        <v>46031.804282407407</v>
      </c>
      <c r="U22">
        <v>243</v>
      </c>
      <c r="V22" t="str">
        <f t="shared" si="7"/>
        <v>OK</v>
      </c>
      <c r="W22" t="s">
        <v>25</v>
      </c>
      <c r="Y22" t="s">
        <v>30</v>
      </c>
    </row>
    <row r="23" spans="1:25" x14ac:dyDescent="0.25">
      <c r="A23" t="s">
        <v>141</v>
      </c>
      <c r="B23" t="str">
        <f t="shared" si="1"/>
        <v>Stela Daniefordi Ntahodi</v>
      </c>
      <c r="C23">
        <v>105513</v>
      </c>
      <c r="D23" t="str">
        <f t="shared" si="0"/>
        <v>Unique</v>
      </c>
      <c r="E23" t="s">
        <v>142</v>
      </c>
      <c r="F23" s="3">
        <f t="shared" si="2"/>
        <v>20</v>
      </c>
      <c r="G23" t="s">
        <v>32</v>
      </c>
      <c r="H23" t="str">
        <f t="shared" si="3"/>
        <v>Valid</v>
      </c>
      <c r="I23" t="s">
        <v>62</v>
      </c>
      <c r="J23" t="str">
        <f t="shared" si="4"/>
        <v>Kigoma Vijijini</v>
      </c>
      <c r="K23" t="s">
        <v>40</v>
      </c>
      <c r="L23" t="str" cm="1">
        <f t="array" ref="L23">_xlfn.IFS(
ISNUMBER(SEARCH("ICU",K23)), "ICU",
ISNUMBER(SEARCH("NEONATAL",K23)), PROPER("NEONATAL"),
ISNUMBER(SEARCH("LABOUR",K23)), PROPER("LABOUR"),
ISNUMBER(SEARCH("PAEDIATRIC",K23)), PROPER("PAEDIATRIC"),
ISNUMBER(SEARCH("FEMALE SURGICAL",K23)), PROPER("FEMALE SURG, ORTHO &amp; GYN"),
ISNUMBER(SEARCH("PSYCHIATRIST",K23)), PROPER("PSYCHIATRIST"),
ISNUMBER(SEARCH("GRADE 1",K23)), PROPER("GRADE 1"),
ISNUMBER(SEARCH("MALE SURGICAL",K23)), PROPER("MALE SURG &amp; ORTHOPEDIC"),
ISNUMBER(SEARCH("MALE MEDICAL",K23)), PROPER("MALE MEDICAL"),
ISNUMBER(SEARCH("GRADE 2",K23)), PROPER("GRADE 2"),
ISNUMBER(SEARCH("FEMALE WARD",K23)), PROPER("FEMALE MEDICAL"),
TRUE, "Unmapped: " &amp; K23)</f>
        <v>Labour</v>
      </c>
      <c r="M23" t="s">
        <v>22</v>
      </c>
      <c r="O23" t="s">
        <v>143</v>
      </c>
      <c r="P23" t="str">
        <f t="shared" si="5"/>
        <v>Text Error</v>
      </c>
      <c r="Q23" s="5">
        <v>45790.771354166667</v>
      </c>
      <c r="R23" t="str">
        <f t="shared" si="6"/>
        <v>Valid Date</v>
      </c>
      <c r="S23" t="s">
        <v>144</v>
      </c>
      <c r="T23" s="5">
        <v>46031.730081018519</v>
      </c>
      <c r="U23">
        <v>240</v>
      </c>
      <c r="V23" t="str">
        <f t="shared" si="7"/>
        <v>OK</v>
      </c>
      <c r="W23" t="s">
        <v>25</v>
      </c>
      <c r="Y23" t="s">
        <v>30</v>
      </c>
    </row>
    <row r="24" spans="1:25" x14ac:dyDescent="0.25">
      <c r="A24" t="s">
        <v>146</v>
      </c>
      <c r="B24" t="str">
        <f t="shared" si="1"/>
        <v>Riziki Kanani Mwikange</v>
      </c>
      <c r="C24">
        <v>105835</v>
      </c>
      <c r="D24" t="str">
        <f t="shared" si="0"/>
        <v>Unique</v>
      </c>
      <c r="E24" t="s">
        <v>147</v>
      </c>
      <c r="F24" s="3">
        <f t="shared" si="2"/>
        <v>30</v>
      </c>
      <c r="G24" t="s">
        <v>32</v>
      </c>
      <c r="H24" t="str">
        <f t="shared" si="3"/>
        <v>Valid</v>
      </c>
      <c r="I24" t="s">
        <v>62</v>
      </c>
      <c r="J24" t="str">
        <f t="shared" si="4"/>
        <v>Kigoma Vijijini</v>
      </c>
      <c r="K24" t="s">
        <v>40</v>
      </c>
      <c r="L24" t="str" cm="1">
        <f t="array" ref="L24">_xlfn.IFS(
ISNUMBER(SEARCH("ICU",K24)), "ICU",
ISNUMBER(SEARCH("NEONATAL",K24)), PROPER("NEONATAL"),
ISNUMBER(SEARCH("LABOUR",K24)), PROPER("LABOUR"),
ISNUMBER(SEARCH("PAEDIATRIC",K24)), PROPER("PAEDIATRIC"),
ISNUMBER(SEARCH("FEMALE SURGICAL",K24)), PROPER("FEMALE SURG, ORTHO &amp; GYN"),
ISNUMBER(SEARCH("PSYCHIATRIST",K24)), PROPER("PSYCHIATRIST"),
ISNUMBER(SEARCH("GRADE 1",K24)), PROPER("GRADE 1"),
ISNUMBER(SEARCH("MALE SURGICAL",K24)), PROPER("MALE SURG &amp; ORTHOPEDIC"),
ISNUMBER(SEARCH("MALE MEDICAL",K24)), PROPER("MALE MEDICAL"),
ISNUMBER(SEARCH("GRADE 2",K24)), PROPER("GRADE 2"),
ISNUMBER(SEARCH("FEMALE WARD",K24)), PROPER("FEMALE MEDICAL"),
TRUE, "Unmapped: " &amp; K24)</f>
        <v>Labour</v>
      </c>
      <c r="M24" t="s">
        <v>22</v>
      </c>
      <c r="O24" t="s">
        <v>148</v>
      </c>
      <c r="P24" t="str">
        <f t="shared" si="5"/>
        <v>Text Error</v>
      </c>
      <c r="Q24" s="5">
        <v>45794.615844907406</v>
      </c>
      <c r="R24" t="str">
        <f t="shared" si="6"/>
        <v>Valid Date</v>
      </c>
      <c r="S24" t="s">
        <v>149</v>
      </c>
      <c r="T24" s="5">
        <v>46031.729756944442</v>
      </c>
      <c r="U24">
        <v>237</v>
      </c>
      <c r="V24" t="str">
        <f t="shared" si="7"/>
        <v>OK</v>
      </c>
      <c r="W24" t="s">
        <v>25</v>
      </c>
      <c r="Y24" t="s">
        <v>30</v>
      </c>
    </row>
    <row r="25" spans="1:25" x14ac:dyDescent="0.25">
      <c r="A25" t="s">
        <v>150</v>
      </c>
      <c r="B25" t="str">
        <f t="shared" si="1"/>
        <v>Prakseda Daniel Boyi</v>
      </c>
      <c r="C25">
        <v>105902</v>
      </c>
      <c r="D25" t="str">
        <f t="shared" si="0"/>
        <v>Unique</v>
      </c>
      <c r="E25" t="s">
        <v>151</v>
      </c>
      <c r="F25" s="3">
        <f t="shared" si="2"/>
        <v>22</v>
      </c>
      <c r="G25" t="s">
        <v>32</v>
      </c>
      <c r="H25" t="str">
        <f t="shared" si="3"/>
        <v>Valid</v>
      </c>
      <c r="I25" t="s">
        <v>33</v>
      </c>
      <c r="J25" t="str">
        <f t="shared" si="4"/>
        <v>Kigoma Ujiji Mc</v>
      </c>
      <c r="K25" t="s">
        <v>40</v>
      </c>
      <c r="L25" t="str" cm="1">
        <f t="array" ref="L25">_xlfn.IFS(
ISNUMBER(SEARCH("ICU",K25)), "ICU",
ISNUMBER(SEARCH("NEONATAL",K25)), PROPER("NEONATAL"),
ISNUMBER(SEARCH("LABOUR",K25)), PROPER("LABOUR"),
ISNUMBER(SEARCH("PAEDIATRIC",K25)), PROPER("PAEDIATRIC"),
ISNUMBER(SEARCH("FEMALE SURGICAL",K25)), PROPER("FEMALE SURG, ORTHO &amp; GYN"),
ISNUMBER(SEARCH("PSYCHIATRIST",K25)), PROPER("PSYCHIATRIST"),
ISNUMBER(SEARCH("GRADE 1",K25)), PROPER("GRADE 1"),
ISNUMBER(SEARCH("MALE SURGICAL",K25)), PROPER("MALE SURG &amp; ORTHOPEDIC"),
ISNUMBER(SEARCH("MALE MEDICAL",K25)), PROPER("MALE MEDICAL"),
ISNUMBER(SEARCH("GRADE 2",K25)), PROPER("GRADE 2"),
ISNUMBER(SEARCH("FEMALE WARD",K25)), PROPER("FEMALE MEDICAL"),
TRUE, "Unmapped: " &amp; K25)</f>
        <v>Labour</v>
      </c>
      <c r="M25" t="s">
        <v>22</v>
      </c>
      <c r="O25" t="s">
        <v>152</v>
      </c>
      <c r="P25" t="str">
        <f t="shared" si="5"/>
        <v>Text Error</v>
      </c>
      <c r="Q25" s="5">
        <v>45796.099814814814</v>
      </c>
      <c r="R25" t="str">
        <f t="shared" si="6"/>
        <v>Valid Date</v>
      </c>
      <c r="S25" t="s">
        <v>153</v>
      </c>
      <c r="T25" s="5">
        <v>46031.457442129627</v>
      </c>
      <c r="U25">
        <v>235</v>
      </c>
      <c r="V25" t="str">
        <f t="shared" si="7"/>
        <v>OK</v>
      </c>
      <c r="W25" t="s">
        <v>25</v>
      </c>
      <c r="Y25" t="s">
        <v>30</v>
      </c>
    </row>
    <row r="26" spans="1:25" x14ac:dyDescent="0.25">
      <c r="A26" t="s">
        <v>154</v>
      </c>
      <c r="B26" t="str">
        <f t="shared" si="1"/>
        <v>Brighton Melody Mikebela</v>
      </c>
      <c r="C26">
        <v>87415</v>
      </c>
      <c r="D26" t="str">
        <f t="shared" si="0"/>
        <v>Unique</v>
      </c>
      <c r="E26" t="s">
        <v>108</v>
      </c>
      <c r="F26" s="3">
        <f t="shared" si="2"/>
        <v>2</v>
      </c>
      <c r="G26" t="s">
        <v>19</v>
      </c>
      <c r="H26" t="str">
        <f t="shared" si="3"/>
        <v>Valid</v>
      </c>
      <c r="I26" t="s">
        <v>33</v>
      </c>
      <c r="J26" t="str">
        <f t="shared" si="4"/>
        <v>Kigoma Ujiji Mc</v>
      </c>
      <c r="K26" t="s">
        <v>109</v>
      </c>
      <c r="L26" t="str" cm="1">
        <f t="array" ref="L26">_xlfn.IFS(
ISNUMBER(SEARCH("ICU",K26)), "ICU",
ISNUMBER(SEARCH("NEONATAL",K26)), PROPER("NEONATAL"),
ISNUMBER(SEARCH("LABOUR",K26)), PROPER("LABOUR"),
ISNUMBER(SEARCH("PAEDIATRIC",K26)), PROPER("PAEDIATRIC"),
ISNUMBER(SEARCH("FEMALE SURGICAL",K26)), PROPER("FEMALE SURG, ORTHO &amp; GYN"),
ISNUMBER(SEARCH("PSYCHIATRIST",K26)), PROPER("PSYCHIATRIST"),
ISNUMBER(SEARCH("GRADE 1",K26)), PROPER("GRADE 1"),
ISNUMBER(SEARCH("MALE SURGICAL",K26)), PROPER("MALE SURG &amp; ORTHOPEDIC"),
ISNUMBER(SEARCH("MALE MEDICAL",K26)), PROPER("MALE MEDICAL"),
ISNUMBER(SEARCH("GRADE 2",K26)), PROPER("GRADE 2"),
ISNUMBER(SEARCH("FEMALE WARD",K26)), PROPER("FEMALE MEDICAL"),
TRUE, "Unmapped: " &amp; K26)</f>
        <v>Paediatric</v>
      </c>
      <c r="M26" t="s">
        <v>22</v>
      </c>
      <c r="O26" t="s">
        <v>155</v>
      </c>
      <c r="P26" t="str">
        <f t="shared" si="5"/>
        <v>Text Error</v>
      </c>
      <c r="Q26" s="5">
        <v>45799.587685185186</v>
      </c>
      <c r="R26" t="str">
        <f t="shared" si="6"/>
        <v>Valid Date</v>
      </c>
      <c r="S26" t="s">
        <v>156</v>
      </c>
      <c r="T26" s="5">
        <v>46035.497002314813</v>
      </c>
      <c r="U26">
        <v>235</v>
      </c>
      <c r="V26" t="str">
        <f t="shared" si="7"/>
        <v>OK</v>
      </c>
      <c r="W26" t="s">
        <v>25</v>
      </c>
      <c r="Y26" t="s">
        <v>30</v>
      </c>
    </row>
    <row r="27" spans="1:25" x14ac:dyDescent="0.25">
      <c r="A27" t="s">
        <v>158</v>
      </c>
      <c r="B27" t="str">
        <f t="shared" si="1"/>
        <v>Joana John Hamis</v>
      </c>
      <c r="C27">
        <v>106502</v>
      </c>
      <c r="D27" t="str">
        <f t="shared" si="0"/>
        <v>Unique</v>
      </c>
      <c r="E27" t="s">
        <v>18</v>
      </c>
      <c r="F27" s="3">
        <f t="shared" si="2"/>
        <v>1</v>
      </c>
      <c r="G27" t="s">
        <v>32</v>
      </c>
      <c r="H27" t="str">
        <f t="shared" si="3"/>
        <v>Valid</v>
      </c>
      <c r="I27" t="s">
        <v>33</v>
      </c>
      <c r="J27" t="str">
        <f t="shared" si="4"/>
        <v>Kigoma Ujiji Mc</v>
      </c>
      <c r="K27" t="s">
        <v>109</v>
      </c>
      <c r="L27" t="str" cm="1">
        <f t="array" ref="L27">_xlfn.IFS(
ISNUMBER(SEARCH("ICU",K27)), "ICU",
ISNUMBER(SEARCH("NEONATAL",K27)), PROPER("NEONATAL"),
ISNUMBER(SEARCH("LABOUR",K27)), PROPER("LABOUR"),
ISNUMBER(SEARCH("PAEDIATRIC",K27)), PROPER("PAEDIATRIC"),
ISNUMBER(SEARCH("FEMALE SURGICAL",K27)), PROPER("FEMALE SURG, ORTHO &amp; GYN"),
ISNUMBER(SEARCH("PSYCHIATRIST",K27)), PROPER("PSYCHIATRIST"),
ISNUMBER(SEARCH("GRADE 1",K27)), PROPER("GRADE 1"),
ISNUMBER(SEARCH("MALE SURGICAL",K27)), PROPER("MALE SURG &amp; ORTHOPEDIC"),
ISNUMBER(SEARCH("MALE MEDICAL",K27)), PROPER("MALE MEDICAL"),
ISNUMBER(SEARCH("GRADE 2",K27)), PROPER("GRADE 2"),
ISNUMBER(SEARCH("FEMALE WARD",K27)), PROPER("FEMALE MEDICAL"),
TRUE, "Unmapped: " &amp; K27)</f>
        <v>Paediatric</v>
      </c>
      <c r="M27" t="s">
        <v>22</v>
      </c>
      <c r="O27" t="s">
        <v>159</v>
      </c>
      <c r="P27" t="str">
        <f t="shared" si="5"/>
        <v>Text Error</v>
      </c>
      <c r="Q27" s="5">
        <v>45802.103773148148</v>
      </c>
      <c r="R27" t="str">
        <f t="shared" si="6"/>
        <v>Valid Date</v>
      </c>
      <c r="S27" t="s">
        <v>160</v>
      </c>
      <c r="T27" s="5">
        <v>46035.496724537035</v>
      </c>
      <c r="U27">
        <v>233</v>
      </c>
      <c r="V27" t="str">
        <f t="shared" si="7"/>
        <v>OK</v>
      </c>
      <c r="W27" t="s">
        <v>25</v>
      </c>
      <c r="Y27" t="s">
        <v>30</v>
      </c>
    </row>
    <row r="28" spans="1:25" x14ac:dyDescent="0.25">
      <c r="A28" t="s">
        <v>162</v>
      </c>
      <c r="B28" t="str">
        <f t="shared" si="1"/>
        <v>Biazana Yusuph Yassin</v>
      </c>
      <c r="C28">
        <v>106579</v>
      </c>
      <c r="D28" t="str">
        <f t="shared" si="0"/>
        <v>Unique</v>
      </c>
      <c r="E28" t="s">
        <v>108</v>
      </c>
      <c r="F28" s="3">
        <f t="shared" si="2"/>
        <v>2</v>
      </c>
      <c r="G28" t="s">
        <v>32</v>
      </c>
      <c r="H28" t="str">
        <f t="shared" si="3"/>
        <v>Valid</v>
      </c>
      <c r="I28" t="s">
        <v>62</v>
      </c>
      <c r="J28" t="str">
        <f t="shared" si="4"/>
        <v>Kigoma Vijijini</v>
      </c>
      <c r="K28" t="s">
        <v>109</v>
      </c>
      <c r="L28" t="str" cm="1">
        <f t="array" ref="L28">_xlfn.IFS(
ISNUMBER(SEARCH("ICU",K28)), "ICU",
ISNUMBER(SEARCH("NEONATAL",K28)), PROPER("NEONATAL"),
ISNUMBER(SEARCH("LABOUR",K28)), PROPER("LABOUR"),
ISNUMBER(SEARCH("PAEDIATRIC",K28)), PROPER("PAEDIATRIC"),
ISNUMBER(SEARCH("FEMALE SURGICAL",K28)), PROPER("FEMALE SURG, ORTHO &amp; GYN"),
ISNUMBER(SEARCH("PSYCHIATRIST",K28)), PROPER("PSYCHIATRIST"),
ISNUMBER(SEARCH("GRADE 1",K28)), PROPER("GRADE 1"),
ISNUMBER(SEARCH("MALE SURGICAL",K28)), PROPER("MALE SURG &amp; ORTHOPEDIC"),
ISNUMBER(SEARCH("MALE MEDICAL",K28)), PROPER("MALE MEDICAL"),
ISNUMBER(SEARCH("GRADE 2",K28)), PROPER("GRADE 2"),
ISNUMBER(SEARCH("FEMALE WARD",K28)), PROPER("FEMALE MEDICAL"),
TRUE, "Unmapped: " &amp; K28)</f>
        <v>Paediatric</v>
      </c>
      <c r="M28" t="s">
        <v>22</v>
      </c>
      <c r="O28" t="s">
        <v>163</v>
      </c>
      <c r="P28" t="str">
        <f t="shared" si="5"/>
        <v>Text Error</v>
      </c>
      <c r="Q28" s="5">
        <v>45803.739687499998</v>
      </c>
      <c r="R28" t="str">
        <f t="shared" si="6"/>
        <v>Valid Date</v>
      </c>
      <c r="S28" t="s">
        <v>164</v>
      </c>
      <c r="T28" s="5">
        <v>46035.49728009259</v>
      </c>
      <c r="U28">
        <v>231</v>
      </c>
      <c r="V28" t="str">
        <f t="shared" si="7"/>
        <v>OK</v>
      </c>
      <c r="W28" t="s">
        <v>25</v>
      </c>
      <c r="Y28" t="s">
        <v>30</v>
      </c>
    </row>
    <row r="29" spans="1:25" x14ac:dyDescent="0.25">
      <c r="A29" t="s">
        <v>167</v>
      </c>
      <c r="B29" t="str">
        <f t="shared" si="1"/>
        <v>Vicent Francis Almas</v>
      </c>
      <c r="C29">
        <v>107136</v>
      </c>
      <c r="D29" t="str">
        <f t="shared" si="0"/>
        <v>Unique</v>
      </c>
      <c r="E29" t="s">
        <v>18</v>
      </c>
      <c r="F29" s="3">
        <f t="shared" si="2"/>
        <v>1</v>
      </c>
      <c r="G29" t="s">
        <v>19</v>
      </c>
      <c r="H29" t="str">
        <f t="shared" si="3"/>
        <v>Valid</v>
      </c>
      <c r="I29" t="s">
        <v>33</v>
      </c>
      <c r="J29" t="str">
        <f t="shared" si="4"/>
        <v>Kigoma Ujiji Mc</v>
      </c>
      <c r="K29" t="s">
        <v>109</v>
      </c>
      <c r="L29" t="str" cm="1">
        <f t="array" ref="L29">_xlfn.IFS(
ISNUMBER(SEARCH("ICU",K29)), "ICU",
ISNUMBER(SEARCH("NEONATAL",K29)), PROPER("NEONATAL"),
ISNUMBER(SEARCH("LABOUR",K29)), PROPER("LABOUR"),
ISNUMBER(SEARCH("PAEDIATRIC",K29)), PROPER("PAEDIATRIC"),
ISNUMBER(SEARCH("FEMALE SURGICAL",K29)), PROPER("FEMALE SURG, ORTHO &amp; GYN"),
ISNUMBER(SEARCH("PSYCHIATRIST",K29)), PROPER("PSYCHIATRIST"),
ISNUMBER(SEARCH("GRADE 1",K29)), PROPER("GRADE 1"),
ISNUMBER(SEARCH("MALE SURGICAL",K29)), PROPER("MALE SURG &amp; ORTHOPEDIC"),
ISNUMBER(SEARCH("MALE MEDICAL",K29)), PROPER("MALE MEDICAL"),
ISNUMBER(SEARCH("GRADE 2",K29)), PROPER("GRADE 2"),
ISNUMBER(SEARCH("FEMALE WARD",K29)), PROPER("FEMALE MEDICAL"),
TRUE, "Unmapped: " &amp; K29)</f>
        <v>Paediatric</v>
      </c>
      <c r="M29" t="s">
        <v>22</v>
      </c>
      <c r="O29" t="s">
        <v>168</v>
      </c>
      <c r="P29" t="str">
        <f t="shared" si="5"/>
        <v>Text Error</v>
      </c>
      <c r="Q29" s="5">
        <v>45805.787812499999</v>
      </c>
      <c r="R29" t="str">
        <f t="shared" si="6"/>
        <v>Valid Date</v>
      </c>
      <c r="S29" t="s">
        <v>169</v>
      </c>
      <c r="T29" s="5">
        <v>46035.496412037035</v>
      </c>
      <c r="U29">
        <v>229</v>
      </c>
      <c r="V29" t="str">
        <f t="shared" si="7"/>
        <v>OK</v>
      </c>
      <c r="W29" t="s">
        <v>25</v>
      </c>
      <c r="Y29" t="s">
        <v>30</v>
      </c>
    </row>
    <row r="30" spans="1:25" x14ac:dyDescent="0.25">
      <c r="A30" t="s">
        <v>171</v>
      </c>
      <c r="B30" t="str">
        <f t="shared" si="1"/>
        <v>Zainanbu Isa Ramadhan</v>
      </c>
      <c r="C30">
        <v>106543</v>
      </c>
      <c r="D30" t="str">
        <f t="shared" si="0"/>
        <v>Unique</v>
      </c>
      <c r="E30" t="s">
        <v>142</v>
      </c>
      <c r="F30" s="3">
        <f t="shared" si="2"/>
        <v>20</v>
      </c>
      <c r="G30" t="s">
        <v>32</v>
      </c>
      <c r="H30" t="str">
        <f t="shared" si="3"/>
        <v>Valid</v>
      </c>
      <c r="I30" t="s">
        <v>62</v>
      </c>
      <c r="J30" t="str">
        <f t="shared" si="4"/>
        <v>Kigoma Vijijini</v>
      </c>
      <c r="K30" t="s">
        <v>40</v>
      </c>
      <c r="L30" t="str" cm="1">
        <f t="array" ref="L30">_xlfn.IFS(
ISNUMBER(SEARCH("ICU",K30)), "ICU",
ISNUMBER(SEARCH("NEONATAL",K30)), PROPER("NEONATAL"),
ISNUMBER(SEARCH("LABOUR",K30)), PROPER("LABOUR"),
ISNUMBER(SEARCH("PAEDIATRIC",K30)), PROPER("PAEDIATRIC"),
ISNUMBER(SEARCH("FEMALE SURGICAL",K30)), PROPER("FEMALE SURG, ORTHO &amp; GYN"),
ISNUMBER(SEARCH("PSYCHIATRIST",K30)), PROPER("PSYCHIATRIST"),
ISNUMBER(SEARCH("GRADE 1",K30)), PROPER("GRADE 1"),
ISNUMBER(SEARCH("MALE SURGICAL",K30)), PROPER("MALE SURG &amp; ORTHOPEDIC"),
ISNUMBER(SEARCH("MALE MEDICAL",K30)), PROPER("MALE MEDICAL"),
ISNUMBER(SEARCH("GRADE 2",K30)), PROPER("GRADE 2"),
ISNUMBER(SEARCH("FEMALE WARD",K30)), PROPER("FEMALE MEDICAL"),
TRUE, "Unmapped: " &amp; K30)</f>
        <v>Labour</v>
      </c>
      <c r="M30" t="s">
        <v>22</v>
      </c>
      <c r="O30" t="s">
        <v>172</v>
      </c>
      <c r="P30" t="str">
        <f t="shared" si="5"/>
        <v>Text Error</v>
      </c>
      <c r="Q30" s="5">
        <v>45802.828969907408</v>
      </c>
      <c r="R30" t="str">
        <f t="shared" si="6"/>
        <v>Valid Date</v>
      </c>
      <c r="S30" t="s">
        <v>173</v>
      </c>
      <c r="T30" s="5">
        <v>46031.729004629633</v>
      </c>
      <c r="U30">
        <v>228</v>
      </c>
      <c r="V30" t="str">
        <f t="shared" si="7"/>
        <v>OK</v>
      </c>
      <c r="W30" t="s">
        <v>25</v>
      </c>
      <c r="Y30" t="s">
        <v>30</v>
      </c>
    </row>
    <row r="31" spans="1:25" x14ac:dyDescent="0.25">
      <c r="A31" t="s">
        <v>174</v>
      </c>
      <c r="B31" t="str">
        <f t="shared" si="1"/>
        <v>Amina Boniphace Maulid</v>
      </c>
      <c r="C31">
        <v>107476</v>
      </c>
      <c r="D31" t="str">
        <f t="shared" si="0"/>
        <v>Unique</v>
      </c>
      <c r="E31" t="s">
        <v>175</v>
      </c>
      <c r="F31" s="3">
        <f t="shared" si="2"/>
        <v>8</v>
      </c>
      <c r="G31" t="s">
        <v>32</v>
      </c>
      <c r="H31" t="str">
        <f t="shared" si="3"/>
        <v>Valid</v>
      </c>
      <c r="I31" t="s">
        <v>33</v>
      </c>
      <c r="J31" t="str">
        <f t="shared" si="4"/>
        <v>Kigoma Ujiji Mc</v>
      </c>
      <c r="K31" t="s">
        <v>109</v>
      </c>
      <c r="L31" t="str" cm="1">
        <f t="array" ref="L31">_xlfn.IFS(
ISNUMBER(SEARCH("ICU",K31)), "ICU",
ISNUMBER(SEARCH("NEONATAL",K31)), PROPER("NEONATAL"),
ISNUMBER(SEARCH("LABOUR",K31)), PROPER("LABOUR"),
ISNUMBER(SEARCH("PAEDIATRIC",K31)), PROPER("PAEDIATRIC"),
ISNUMBER(SEARCH("FEMALE SURGICAL",K31)), PROPER("FEMALE SURG, ORTHO &amp; GYN"),
ISNUMBER(SEARCH("PSYCHIATRIST",K31)), PROPER("PSYCHIATRIST"),
ISNUMBER(SEARCH("GRADE 1",K31)), PROPER("GRADE 1"),
ISNUMBER(SEARCH("MALE SURGICAL",K31)), PROPER("MALE SURG &amp; ORTHOPEDIC"),
ISNUMBER(SEARCH("MALE MEDICAL",K31)), PROPER("MALE MEDICAL"),
ISNUMBER(SEARCH("GRADE 2",K31)), PROPER("GRADE 2"),
ISNUMBER(SEARCH("FEMALE WARD",K31)), PROPER("FEMALE MEDICAL"),
TRUE, "Unmapped: " &amp; K31)</f>
        <v>Paediatric</v>
      </c>
      <c r="M31" t="s">
        <v>22</v>
      </c>
      <c r="O31" t="s">
        <v>176</v>
      </c>
      <c r="P31" t="str">
        <f t="shared" si="5"/>
        <v>Text Error</v>
      </c>
      <c r="Q31" s="5">
        <v>45807.949629629627</v>
      </c>
      <c r="R31" t="str">
        <f t="shared" si="6"/>
        <v>Valid Date</v>
      </c>
      <c r="S31" t="s">
        <v>177</v>
      </c>
      <c r="T31" s="5">
        <v>46035.496111111112</v>
      </c>
      <c r="U31">
        <v>227</v>
      </c>
      <c r="V31" t="str">
        <f t="shared" si="7"/>
        <v>OK</v>
      </c>
      <c r="W31" t="s">
        <v>25</v>
      </c>
      <c r="Y31" t="s">
        <v>30</v>
      </c>
    </row>
    <row r="32" spans="1:25" x14ac:dyDescent="0.25">
      <c r="A32" t="s">
        <v>180</v>
      </c>
      <c r="B32" t="str">
        <f t="shared" si="1"/>
        <v>Alex Shaban Shabil</v>
      </c>
      <c r="C32">
        <v>107526</v>
      </c>
      <c r="D32" t="str">
        <f t="shared" si="0"/>
        <v>Unique</v>
      </c>
      <c r="E32" t="s">
        <v>181</v>
      </c>
      <c r="F32" s="3">
        <f t="shared" si="2"/>
        <v>7</v>
      </c>
      <c r="G32" t="s">
        <v>19</v>
      </c>
      <c r="H32" t="str">
        <f t="shared" si="3"/>
        <v>Valid</v>
      </c>
      <c r="I32" t="s">
        <v>33</v>
      </c>
      <c r="J32" t="str">
        <f t="shared" si="4"/>
        <v>Kigoma Ujiji Mc</v>
      </c>
      <c r="K32" t="s">
        <v>109</v>
      </c>
      <c r="L32" t="str" cm="1">
        <f t="array" ref="L32">_xlfn.IFS(
ISNUMBER(SEARCH("ICU",K32)), "ICU",
ISNUMBER(SEARCH("NEONATAL",K32)), PROPER("NEONATAL"),
ISNUMBER(SEARCH("LABOUR",K32)), PROPER("LABOUR"),
ISNUMBER(SEARCH("PAEDIATRIC",K32)), PROPER("PAEDIATRIC"),
ISNUMBER(SEARCH("FEMALE SURGICAL",K32)), PROPER("FEMALE SURG, ORTHO &amp; GYN"),
ISNUMBER(SEARCH("PSYCHIATRIST",K32)), PROPER("PSYCHIATRIST"),
ISNUMBER(SEARCH("GRADE 1",K32)), PROPER("GRADE 1"),
ISNUMBER(SEARCH("MALE SURGICAL",K32)), PROPER("MALE SURG &amp; ORTHOPEDIC"),
ISNUMBER(SEARCH("MALE MEDICAL",K32)), PROPER("MALE MEDICAL"),
ISNUMBER(SEARCH("GRADE 2",K32)), PROPER("GRADE 2"),
ISNUMBER(SEARCH("FEMALE WARD",K32)), PROPER("FEMALE MEDICAL"),
TRUE, "Unmapped: " &amp; K32)</f>
        <v>Paediatric</v>
      </c>
      <c r="M32" t="s">
        <v>22</v>
      </c>
      <c r="O32" t="s">
        <v>182</v>
      </c>
      <c r="P32" t="str">
        <f t="shared" si="5"/>
        <v>Text Error</v>
      </c>
      <c r="Q32" s="5">
        <v>45808.923483796294</v>
      </c>
      <c r="R32" t="str">
        <f t="shared" si="6"/>
        <v>Valid Date</v>
      </c>
      <c r="S32" t="s">
        <v>183</v>
      </c>
      <c r="T32" s="5">
        <v>46035.495520833334</v>
      </c>
      <c r="U32">
        <v>226</v>
      </c>
      <c r="V32" t="str">
        <f t="shared" si="7"/>
        <v>OK</v>
      </c>
      <c r="W32" t="s">
        <v>25</v>
      </c>
      <c r="Y32" t="s">
        <v>30</v>
      </c>
    </row>
    <row r="33" spans="1:25" x14ac:dyDescent="0.25">
      <c r="A33" t="s">
        <v>184</v>
      </c>
      <c r="B33" t="str">
        <f t="shared" si="1"/>
        <v>Karim Daniely Hungu</v>
      </c>
      <c r="C33">
        <v>107532</v>
      </c>
      <c r="D33" t="str">
        <f t="shared" si="0"/>
        <v>Unique</v>
      </c>
      <c r="E33" t="s">
        <v>18</v>
      </c>
      <c r="F33" s="3">
        <f t="shared" si="2"/>
        <v>1</v>
      </c>
      <c r="G33" t="s">
        <v>19</v>
      </c>
      <c r="H33" t="str">
        <f t="shared" si="3"/>
        <v>Valid</v>
      </c>
      <c r="I33" t="s">
        <v>20</v>
      </c>
      <c r="J33" t="str">
        <f t="shared" si="4"/>
        <v>Uvinza</v>
      </c>
      <c r="K33" t="s">
        <v>109</v>
      </c>
      <c r="L33" t="str" cm="1">
        <f t="array" ref="L33">_xlfn.IFS(
ISNUMBER(SEARCH("ICU",K33)), "ICU",
ISNUMBER(SEARCH("NEONATAL",K33)), PROPER("NEONATAL"),
ISNUMBER(SEARCH("LABOUR",K33)), PROPER("LABOUR"),
ISNUMBER(SEARCH("PAEDIATRIC",K33)), PROPER("PAEDIATRIC"),
ISNUMBER(SEARCH("FEMALE SURGICAL",K33)), PROPER("FEMALE SURG, ORTHO &amp; GYN"),
ISNUMBER(SEARCH("PSYCHIATRIST",K33)), PROPER("PSYCHIATRIST"),
ISNUMBER(SEARCH("GRADE 1",K33)), PROPER("GRADE 1"),
ISNUMBER(SEARCH("MALE SURGICAL",K33)), PROPER("MALE SURG &amp; ORTHOPEDIC"),
ISNUMBER(SEARCH("MALE MEDICAL",K33)), PROPER("MALE MEDICAL"),
ISNUMBER(SEARCH("GRADE 2",K33)), PROPER("GRADE 2"),
ISNUMBER(SEARCH("FEMALE WARD",K33)), PROPER("FEMALE MEDICAL"),
TRUE, "Unmapped: " &amp; K33)</f>
        <v>Paediatric</v>
      </c>
      <c r="M33" t="s">
        <v>22</v>
      </c>
      <c r="O33" t="s">
        <v>185</v>
      </c>
      <c r="P33" t="str">
        <f t="shared" si="5"/>
        <v>Text Error</v>
      </c>
      <c r="Q33" s="5">
        <v>45809.095671296294</v>
      </c>
      <c r="R33" t="str">
        <f t="shared" si="6"/>
        <v>Valid Date</v>
      </c>
      <c r="S33" t="s">
        <v>186</v>
      </c>
      <c r="T33" s="5">
        <v>46035.495879629627</v>
      </c>
      <c r="U33">
        <v>226</v>
      </c>
      <c r="V33" t="str">
        <f t="shared" si="7"/>
        <v>OK</v>
      </c>
      <c r="W33" t="s">
        <v>65</v>
      </c>
      <c r="Y33" t="s">
        <v>30</v>
      </c>
    </row>
    <row r="34" spans="1:25" x14ac:dyDescent="0.25">
      <c r="A34" t="s">
        <v>187</v>
      </c>
      <c r="B34" t="str">
        <f t="shared" si="1"/>
        <v>Hanifa Hamis Haruna</v>
      </c>
      <c r="C34">
        <v>107243</v>
      </c>
      <c r="D34" t="str">
        <f t="shared" si="0"/>
        <v>Unique</v>
      </c>
      <c r="E34" t="s">
        <v>188</v>
      </c>
      <c r="F34" s="3">
        <f t="shared" si="2"/>
        <v>28</v>
      </c>
      <c r="G34" t="s">
        <v>32</v>
      </c>
      <c r="H34" t="str">
        <f t="shared" si="3"/>
        <v>Valid</v>
      </c>
      <c r="I34" t="s">
        <v>62</v>
      </c>
      <c r="J34" t="str">
        <f t="shared" si="4"/>
        <v>Kigoma Vijijini</v>
      </c>
      <c r="K34" t="s">
        <v>40</v>
      </c>
      <c r="L34" t="str" cm="1">
        <f t="array" ref="L34">_xlfn.IFS(
ISNUMBER(SEARCH("ICU",K34)), "ICU",
ISNUMBER(SEARCH("NEONATAL",K34)), PROPER("NEONATAL"),
ISNUMBER(SEARCH("LABOUR",K34)), PROPER("LABOUR"),
ISNUMBER(SEARCH("PAEDIATRIC",K34)), PROPER("PAEDIATRIC"),
ISNUMBER(SEARCH("FEMALE SURGICAL",K34)), PROPER("FEMALE SURG, ORTHO &amp; GYN"),
ISNUMBER(SEARCH("PSYCHIATRIST",K34)), PROPER("PSYCHIATRIST"),
ISNUMBER(SEARCH("GRADE 1",K34)), PROPER("GRADE 1"),
ISNUMBER(SEARCH("MALE SURGICAL",K34)), PROPER("MALE SURG &amp; ORTHOPEDIC"),
ISNUMBER(SEARCH("MALE MEDICAL",K34)), PROPER("MALE MEDICAL"),
ISNUMBER(SEARCH("GRADE 2",K34)), PROPER("GRADE 2"),
ISNUMBER(SEARCH("FEMALE WARD",K34)), PROPER("FEMALE MEDICAL"),
TRUE, "Unmapped: " &amp; K34)</f>
        <v>Labour</v>
      </c>
      <c r="M34" t="s">
        <v>22</v>
      </c>
      <c r="O34" t="s">
        <v>189</v>
      </c>
      <c r="P34" t="str">
        <f t="shared" si="5"/>
        <v>Text Error</v>
      </c>
      <c r="Q34" s="5">
        <v>45806.537939814814</v>
      </c>
      <c r="R34" t="str">
        <f t="shared" si="6"/>
        <v>Valid Date</v>
      </c>
      <c r="S34" t="s">
        <v>190</v>
      </c>
      <c r="T34" s="5">
        <v>46031.72859953704</v>
      </c>
      <c r="U34">
        <v>225</v>
      </c>
      <c r="V34" t="str">
        <f t="shared" si="7"/>
        <v>OK</v>
      </c>
      <c r="W34" t="s">
        <v>25</v>
      </c>
      <c r="Y34" t="s">
        <v>30</v>
      </c>
    </row>
    <row r="35" spans="1:25" x14ac:dyDescent="0.25">
      <c r="A35" t="s">
        <v>192</v>
      </c>
      <c r="B35" t="str">
        <f t="shared" si="1"/>
        <v>Diyee Anzuruni Kosta</v>
      </c>
      <c r="C35">
        <v>40299</v>
      </c>
      <c r="D35" t="str">
        <f t="shared" si="0"/>
        <v>Unique</v>
      </c>
      <c r="E35" t="s">
        <v>193</v>
      </c>
      <c r="F35" s="3">
        <f t="shared" si="2"/>
        <v>5</v>
      </c>
      <c r="G35" t="s">
        <v>32</v>
      </c>
      <c r="H35" t="str">
        <f t="shared" si="3"/>
        <v>Valid</v>
      </c>
      <c r="I35" t="s">
        <v>20</v>
      </c>
      <c r="J35" t="str">
        <f t="shared" si="4"/>
        <v>Uvinza</v>
      </c>
      <c r="K35" t="s">
        <v>109</v>
      </c>
      <c r="L35" t="str" cm="1">
        <f t="array" ref="L35">_xlfn.IFS(
ISNUMBER(SEARCH("ICU",K35)), "ICU",
ISNUMBER(SEARCH("NEONATAL",K35)), PROPER("NEONATAL"),
ISNUMBER(SEARCH("LABOUR",K35)), PROPER("LABOUR"),
ISNUMBER(SEARCH("PAEDIATRIC",K35)), PROPER("PAEDIATRIC"),
ISNUMBER(SEARCH("FEMALE SURGICAL",K35)), PROPER("FEMALE SURG, ORTHO &amp; GYN"),
ISNUMBER(SEARCH("PSYCHIATRIST",K35)), PROPER("PSYCHIATRIST"),
ISNUMBER(SEARCH("GRADE 1",K35)), PROPER("GRADE 1"),
ISNUMBER(SEARCH("MALE SURGICAL",K35)), PROPER("MALE SURG &amp; ORTHOPEDIC"),
ISNUMBER(SEARCH("MALE MEDICAL",K35)), PROPER("MALE MEDICAL"),
ISNUMBER(SEARCH("GRADE 2",K35)), PROPER("GRADE 2"),
ISNUMBER(SEARCH("FEMALE WARD",K35)), PROPER("FEMALE MEDICAL"),
TRUE, "Unmapped: " &amp; K35)</f>
        <v>Paediatric</v>
      </c>
      <c r="M35" t="s">
        <v>22</v>
      </c>
      <c r="O35" t="s">
        <v>194</v>
      </c>
      <c r="P35" t="str">
        <f t="shared" si="5"/>
        <v>Text Error</v>
      </c>
      <c r="Q35" s="5">
        <v>45811.176574074074</v>
      </c>
      <c r="R35" t="str">
        <f t="shared" si="6"/>
        <v>Valid Date</v>
      </c>
      <c r="S35" t="s">
        <v>195</v>
      </c>
      <c r="T35" s="5">
        <v>46035.495219907411</v>
      </c>
      <c r="U35">
        <v>224</v>
      </c>
      <c r="V35" t="str">
        <f t="shared" si="7"/>
        <v>OK</v>
      </c>
      <c r="W35" t="s">
        <v>25</v>
      </c>
      <c r="Y35" t="s">
        <v>30</v>
      </c>
    </row>
    <row r="36" spans="1:25" x14ac:dyDescent="0.25">
      <c r="A36" t="s">
        <v>196</v>
      </c>
      <c r="B36" t="str">
        <f t="shared" si="1"/>
        <v>Mwali Mwailwa Iddy</v>
      </c>
      <c r="C36">
        <v>60276</v>
      </c>
      <c r="D36" t="str">
        <f t="shared" si="0"/>
        <v>Unique</v>
      </c>
      <c r="E36" t="s">
        <v>86</v>
      </c>
      <c r="F36" s="3">
        <f t="shared" si="2"/>
        <v>23</v>
      </c>
      <c r="G36" t="s">
        <v>32</v>
      </c>
      <c r="H36" t="str">
        <f t="shared" si="3"/>
        <v>Valid</v>
      </c>
      <c r="I36" t="s">
        <v>33</v>
      </c>
      <c r="J36" t="str">
        <f t="shared" si="4"/>
        <v>Kigoma Ujiji Mc</v>
      </c>
      <c r="K36" t="s">
        <v>40</v>
      </c>
      <c r="L36" t="str" cm="1">
        <f t="array" ref="L36">_xlfn.IFS(
ISNUMBER(SEARCH("ICU",K36)), "ICU",
ISNUMBER(SEARCH("NEONATAL",K36)), PROPER("NEONATAL"),
ISNUMBER(SEARCH("LABOUR",K36)), PROPER("LABOUR"),
ISNUMBER(SEARCH("PAEDIATRIC",K36)), PROPER("PAEDIATRIC"),
ISNUMBER(SEARCH("FEMALE SURGICAL",K36)), PROPER("FEMALE SURG, ORTHO &amp; GYN"),
ISNUMBER(SEARCH("PSYCHIATRIST",K36)), PROPER("PSYCHIATRIST"),
ISNUMBER(SEARCH("GRADE 1",K36)), PROPER("GRADE 1"),
ISNUMBER(SEARCH("MALE SURGICAL",K36)), PROPER("MALE SURG &amp; ORTHOPEDIC"),
ISNUMBER(SEARCH("MALE MEDICAL",K36)), PROPER("MALE MEDICAL"),
ISNUMBER(SEARCH("GRADE 2",K36)), PROPER("GRADE 2"),
ISNUMBER(SEARCH("FEMALE WARD",K36)), PROPER("FEMALE MEDICAL"),
TRUE, "Unmapped: " &amp; K36)</f>
        <v>Labour</v>
      </c>
      <c r="M36" t="s">
        <v>22</v>
      </c>
      <c r="O36" t="s">
        <v>197</v>
      </c>
      <c r="P36" t="str">
        <f t="shared" si="5"/>
        <v>Text Error</v>
      </c>
      <c r="Q36" s="5">
        <v>45807.899467592593</v>
      </c>
      <c r="R36" t="str">
        <f t="shared" si="6"/>
        <v>Valid Date</v>
      </c>
      <c r="S36" t="s">
        <v>198</v>
      </c>
      <c r="T36" s="5">
        <v>46031.455706018518</v>
      </c>
      <c r="U36">
        <v>223</v>
      </c>
      <c r="V36" t="str">
        <f t="shared" si="7"/>
        <v>OK</v>
      </c>
      <c r="W36" t="s">
        <v>25</v>
      </c>
      <c r="Y36" t="s">
        <v>30</v>
      </c>
    </row>
    <row r="37" spans="1:25" x14ac:dyDescent="0.25">
      <c r="A37" t="s">
        <v>200</v>
      </c>
      <c r="B37" t="str">
        <f t="shared" si="1"/>
        <v>Pendera Venus Songoro</v>
      </c>
      <c r="C37">
        <v>107590</v>
      </c>
      <c r="D37" t="str">
        <f t="shared" si="0"/>
        <v>Unique</v>
      </c>
      <c r="E37" t="s">
        <v>201</v>
      </c>
      <c r="F37" s="3">
        <f t="shared" si="2"/>
        <v>44</v>
      </c>
      <c r="G37" t="s">
        <v>19</v>
      </c>
      <c r="H37" t="str">
        <f t="shared" si="3"/>
        <v>Valid</v>
      </c>
      <c r="I37" t="s">
        <v>33</v>
      </c>
      <c r="J37" t="str">
        <f t="shared" si="4"/>
        <v>Kigoma Ujiji Mc</v>
      </c>
      <c r="K37" t="s">
        <v>202</v>
      </c>
      <c r="L37" t="str" cm="1">
        <f t="array" ref="L37">_xlfn.IFS(
ISNUMBER(SEARCH("ICU",K37)), "ICU",
ISNUMBER(SEARCH("NEONATAL",K37)), PROPER("NEONATAL"),
ISNUMBER(SEARCH("LABOUR",K37)), PROPER("LABOUR"),
ISNUMBER(SEARCH("PAEDIATRIC",K37)), PROPER("PAEDIATRIC"),
ISNUMBER(SEARCH("FEMALE SURGICAL",K37)), PROPER("FEMALE SURG, ORTHO &amp; GYN"),
ISNUMBER(SEARCH("PSYCHIATRIST",K37)), PROPER("PSYCHIATRIST"),
ISNUMBER(SEARCH("GRADE 1",K37)), PROPER("GRADE 1"),
ISNUMBER(SEARCH("MALE SURGICAL",K37)), PROPER("MALE SURG &amp; ORTHOPEDIC"),
ISNUMBER(SEARCH("MALE MEDICAL",K37)), PROPER("MALE MEDICAL"),
ISNUMBER(SEARCH("GRADE 2",K37)), PROPER("GRADE 2"),
ISNUMBER(SEARCH("FEMALE WARD",K37)), PROPER("FEMALE MEDICAL"),
TRUE, "Unmapped: " &amp; K37)</f>
        <v>Psychiatrist</v>
      </c>
      <c r="M37" t="s">
        <v>22</v>
      </c>
      <c r="O37" t="s">
        <v>203</v>
      </c>
      <c r="P37" t="str">
        <f t="shared" si="5"/>
        <v>Text Error</v>
      </c>
      <c r="Q37" s="5">
        <v>45810.004189814812</v>
      </c>
      <c r="R37" t="str">
        <f t="shared" si="6"/>
        <v>Valid Date</v>
      </c>
      <c r="S37" t="s">
        <v>204</v>
      </c>
      <c r="T37" s="5">
        <v>46031.77921296296</v>
      </c>
      <c r="U37">
        <v>221</v>
      </c>
      <c r="V37" t="str">
        <f t="shared" si="7"/>
        <v>OK</v>
      </c>
      <c r="W37" t="s">
        <v>65</v>
      </c>
      <c r="Y37" t="s">
        <v>30</v>
      </c>
    </row>
    <row r="38" spans="1:25" x14ac:dyDescent="0.25">
      <c r="A38" t="s">
        <v>207</v>
      </c>
      <c r="B38" t="str">
        <f t="shared" si="1"/>
        <v>Mwajuma Athumani Kitambo</v>
      </c>
      <c r="C38">
        <v>107666</v>
      </c>
      <c r="D38" t="str">
        <f t="shared" si="0"/>
        <v>Unique</v>
      </c>
      <c r="E38" t="s">
        <v>208</v>
      </c>
      <c r="F38" s="3">
        <f t="shared" si="2"/>
        <v>50</v>
      </c>
      <c r="G38" t="s">
        <v>32</v>
      </c>
      <c r="H38" t="str">
        <f t="shared" si="3"/>
        <v>Valid</v>
      </c>
      <c r="I38" t="s">
        <v>33</v>
      </c>
      <c r="J38" t="str">
        <f t="shared" si="4"/>
        <v>Kigoma Ujiji Mc</v>
      </c>
      <c r="K38" t="s">
        <v>123</v>
      </c>
      <c r="L38" t="str" cm="1">
        <f t="array" ref="L38">_xlfn.IFS(
ISNUMBER(SEARCH("ICU",K38)), "ICU",
ISNUMBER(SEARCH("NEONATAL",K38)), PROPER("NEONATAL"),
ISNUMBER(SEARCH("LABOUR",K38)), PROPER("LABOUR"),
ISNUMBER(SEARCH("PAEDIATRIC",K38)), PROPER("PAEDIATRIC"),
ISNUMBER(SEARCH("FEMALE SURGICAL",K38)), PROPER("FEMALE SURG, ORTHO &amp; GYN"),
ISNUMBER(SEARCH("PSYCHIATRIST",K38)), PROPER("PSYCHIATRIST"),
ISNUMBER(SEARCH("GRADE 1",K38)), PROPER("GRADE 1"),
ISNUMBER(SEARCH("MALE SURGICAL",K38)), PROPER("MALE SURG &amp; ORTHOPEDIC"),
ISNUMBER(SEARCH("MALE MEDICAL",K38)), PROPER("MALE MEDICAL"),
ISNUMBER(SEARCH("GRADE 2",K38)), PROPER("GRADE 2"),
ISNUMBER(SEARCH("FEMALE WARD",K38)), PROPER("FEMALE MEDICAL"),
TRUE, "Unmapped: " &amp; K38)</f>
        <v>Female Surg, Ortho &amp; Gyn</v>
      </c>
      <c r="M38" t="s">
        <v>22</v>
      </c>
      <c r="O38" t="s">
        <v>209</v>
      </c>
      <c r="P38" t="str">
        <f t="shared" si="5"/>
        <v>Text Error</v>
      </c>
      <c r="Q38" s="5">
        <v>45810.745254629626</v>
      </c>
      <c r="R38" t="str">
        <f t="shared" si="6"/>
        <v>Valid Date</v>
      </c>
      <c r="S38" t="s">
        <v>210</v>
      </c>
      <c r="T38" s="5">
        <v>46031.804895833331</v>
      </c>
      <c r="U38">
        <v>221</v>
      </c>
      <c r="V38" t="str">
        <f t="shared" si="7"/>
        <v>OK</v>
      </c>
      <c r="W38" t="s">
        <v>211</v>
      </c>
      <c r="Y38" t="s">
        <v>30</v>
      </c>
    </row>
    <row r="39" spans="1:25" x14ac:dyDescent="0.25">
      <c r="A39" t="s">
        <v>214</v>
      </c>
      <c r="B39" t="str">
        <f t="shared" si="1"/>
        <v>Ndajidimana Eveline Isaka</v>
      </c>
      <c r="C39">
        <v>107852</v>
      </c>
      <c r="D39" t="str">
        <f t="shared" si="0"/>
        <v>Unique</v>
      </c>
      <c r="E39" t="s">
        <v>215</v>
      </c>
      <c r="F39" s="3">
        <f t="shared" si="2"/>
        <v>25</v>
      </c>
      <c r="G39" t="s">
        <v>32</v>
      </c>
      <c r="H39" t="str">
        <f t="shared" si="3"/>
        <v>Valid</v>
      </c>
      <c r="I39" t="s">
        <v>62</v>
      </c>
      <c r="J39" t="str">
        <f t="shared" si="4"/>
        <v>Kigoma Vijijini</v>
      </c>
      <c r="K39" t="s">
        <v>123</v>
      </c>
      <c r="L39" t="str" cm="1">
        <f t="array" ref="L39">_xlfn.IFS(
ISNUMBER(SEARCH("ICU",K39)), "ICU",
ISNUMBER(SEARCH("NEONATAL",K39)), PROPER("NEONATAL"),
ISNUMBER(SEARCH("LABOUR",K39)), PROPER("LABOUR"),
ISNUMBER(SEARCH("PAEDIATRIC",K39)), PROPER("PAEDIATRIC"),
ISNUMBER(SEARCH("FEMALE SURGICAL",K39)), PROPER("FEMALE SURG, ORTHO &amp; GYN"),
ISNUMBER(SEARCH("PSYCHIATRIST",K39)), PROPER("PSYCHIATRIST"),
ISNUMBER(SEARCH("GRADE 1",K39)), PROPER("GRADE 1"),
ISNUMBER(SEARCH("MALE SURGICAL",K39)), PROPER("MALE SURG &amp; ORTHOPEDIC"),
ISNUMBER(SEARCH("MALE MEDICAL",K39)), PROPER("MALE MEDICAL"),
ISNUMBER(SEARCH("GRADE 2",K39)), PROPER("GRADE 2"),
ISNUMBER(SEARCH("FEMALE WARD",K39)), PROPER("FEMALE MEDICAL"),
TRUE, "Unmapped: " &amp; K39)</f>
        <v>Female Surg, Ortho &amp; Gyn</v>
      </c>
      <c r="M39" t="s">
        <v>216</v>
      </c>
      <c r="O39" t="s">
        <v>217</v>
      </c>
      <c r="P39" t="str">
        <f t="shared" si="5"/>
        <v>Text Error</v>
      </c>
      <c r="Q39" s="5">
        <v>45812.717986111114</v>
      </c>
      <c r="R39" t="str">
        <f t="shared" si="6"/>
        <v>Valid Date</v>
      </c>
      <c r="S39" t="s">
        <v>218</v>
      </c>
      <c r="T39" s="5">
        <v>46031.80537037037</v>
      </c>
      <c r="U39">
        <v>219</v>
      </c>
      <c r="V39" t="str">
        <f t="shared" si="7"/>
        <v>OK</v>
      </c>
      <c r="W39" t="s">
        <v>25</v>
      </c>
      <c r="Y39" t="s">
        <v>30</v>
      </c>
    </row>
    <row r="40" spans="1:25" x14ac:dyDescent="0.25">
      <c r="A40" t="s">
        <v>220</v>
      </c>
      <c r="B40" t="str">
        <f t="shared" si="1"/>
        <v>Baby Of Dina Adriano Marwa</v>
      </c>
      <c r="C40">
        <v>107997</v>
      </c>
      <c r="D40" t="str">
        <f t="shared" si="0"/>
        <v>Unique</v>
      </c>
      <c r="E40" t="s">
        <v>221</v>
      </c>
      <c r="F40" s="3" t="str">
        <f t="shared" si="2"/>
        <v>9/12</v>
      </c>
      <c r="G40" t="s">
        <v>32</v>
      </c>
      <c r="H40" t="str">
        <f t="shared" si="3"/>
        <v>Valid</v>
      </c>
      <c r="I40" t="s">
        <v>33</v>
      </c>
      <c r="J40" t="str">
        <f t="shared" si="4"/>
        <v>Kigoma Ujiji Mc</v>
      </c>
      <c r="K40" t="s">
        <v>21</v>
      </c>
      <c r="L40" t="str" cm="1">
        <f t="array" ref="L40">_xlfn.IFS(
ISNUMBER(SEARCH("ICU",K40)), "ICU",
ISNUMBER(SEARCH("NEONATAL",K40)), PROPER("NEONATAL"),
ISNUMBER(SEARCH("LABOUR",K40)), PROPER("LABOUR"),
ISNUMBER(SEARCH("PAEDIATRIC",K40)), PROPER("PAEDIATRIC"),
ISNUMBER(SEARCH("FEMALE SURGICAL",K40)), PROPER("FEMALE SURG, ORTHO &amp; GYN"),
ISNUMBER(SEARCH("PSYCHIATRIST",K40)), PROPER("PSYCHIATRIST"),
ISNUMBER(SEARCH("GRADE 1",K40)), PROPER("GRADE 1"),
ISNUMBER(SEARCH("MALE SURGICAL",K40)), PROPER("MALE SURG &amp; ORTHOPEDIC"),
ISNUMBER(SEARCH("MALE MEDICAL",K40)), PROPER("MALE MEDICAL"),
ISNUMBER(SEARCH("GRADE 2",K40)), PROPER("GRADE 2"),
ISNUMBER(SEARCH("FEMALE WARD",K40)), PROPER("FEMALE MEDICAL"),
TRUE, "Unmapped: " &amp; K40)</f>
        <v>Neonatal</v>
      </c>
      <c r="M40" t="s">
        <v>22</v>
      </c>
      <c r="O40" t="s">
        <v>222</v>
      </c>
      <c r="P40" t="str">
        <f t="shared" si="5"/>
        <v>Text Error</v>
      </c>
      <c r="Q40" s="5">
        <v>45814.045277777775</v>
      </c>
      <c r="R40" t="str">
        <f t="shared" si="6"/>
        <v>Valid Date</v>
      </c>
      <c r="S40" t="s">
        <v>223</v>
      </c>
      <c r="T40" s="5">
        <v>46031.788923611108</v>
      </c>
      <c r="U40">
        <v>217</v>
      </c>
      <c r="V40" t="str">
        <f t="shared" si="7"/>
        <v>OK</v>
      </c>
      <c r="W40" t="s">
        <v>25</v>
      </c>
      <c r="Y40" t="s">
        <v>30</v>
      </c>
    </row>
    <row r="41" spans="1:25" x14ac:dyDescent="0.25">
      <c r="A41" t="s">
        <v>226</v>
      </c>
      <c r="B41" t="str">
        <f t="shared" si="1"/>
        <v>Yusra Alshabir Karim</v>
      </c>
      <c r="C41">
        <v>73902</v>
      </c>
      <c r="D41" t="str">
        <f t="shared" si="0"/>
        <v>Unique</v>
      </c>
      <c r="E41" t="s">
        <v>193</v>
      </c>
      <c r="F41" s="3">
        <f t="shared" si="2"/>
        <v>5</v>
      </c>
      <c r="G41" t="s">
        <v>32</v>
      </c>
      <c r="H41" t="str">
        <f t="shared" si="3"/>
        <v>Valid</v>
      </c>
      <c r="I41" t="s">
        <v>227</v>
      </c>
      <c r="J41" t="str">
        <f t="shared" si="4"/>
        <v>KGG</v>
      </c>
      <c r="K41" t="s">
        <v>109</v>
      </c>
      <c r="L41" t="str" cm="1">
        <f t="array" ref="L41">_xlfn.IFS(
ISNUMBER(SEARCH("ICU",K41)), "ICU",
ISNUMBER(SEARCH("NEONATAL",K41)), PROPER("NEONATAL"),
ISNUMBER(SEARCH("LABOUR",K41)), PROPER("LABOUR"),
ISNUMBER(SEARCH("PAEDIATRIC",K41)), PROPER("PAEDIATRIC"),
ISNUMBER(SEARCH("FEMALE SURGICAL",K41)), PROPER("FEMALE SURG, ORTHO &amp; GYN"),
ISNUMBER(SEARCH("PSYCHIATRIST",K41)), PROPER("PSYCHIATRIST"),
ISNUMBER(SEARCH("GRADE 1",K41)), PROPER("GRADE 1"),
ISNUMBER(SEARCH("MALE SURGICAL",K41)), PROPER("MALE SURG &amp; ORTHOPEDIC"),
ISNUMBER(SEARCH("MALE MEDICAL",K41)), PROPER("MALE MEDICAL"),
ISNUMBER(SEARCH("GRADE 2",K41)), PROPER("GRADE 2"),
ISNUMBER(SEARCH("FEMALE WARD",K41)), PROPER("FEMALE MEDICAL"),
TRUE, "Unmapped: " &amp; K41)</f>
        <v>Paediatric</v>
      </c>
      <c r="M41" t="s">
        <v>22</v>
      </c>
      <c r="O41" t="s">
        <v>228</v>
      </c>
      <c r="P41" t="str">
        <f t="shared" si="5"/>
        <v>Text Error</v>
      </c>
      <c r="Q41" s="5">
        <v>45817.700150462966</v>
      </c>
      <c r="R41" t="str">
        <f t="shared" si="6"/>
        <v>Valid Date</v>
      </c>
      <c r="S41" t="s">
        <v>229</v>
      </c>
      <c r="T41" s="5">
        <v>46035.494988425926</v>
      </c>
      <c r="U41">
        <v>217</v>
      </c>
      <c r="V41" t="str">
        <f t="shared" si="7"/>
        <v>OK</v>
      </c>
      <c r="W41" t="s">
        <v>25</v>
      </c>
      <c r="Y41" t="s">
        <v>30</v>
      </c>
    </row>
    <row r="42" spans="1:25" x14ac:dyDescent="0.25">
      <c r="A42" t="s">
        <v>232</v>
      </c>
      <c r="B42" t="str">
        <f t="shared" si="1"/>
        <v>Mussa Bakari Mussa</v>
      </c>
      <c r="C42">
        <v>49150</v>
      </c>
      <c r="D42" t="str">
        <f t="shared" si="0"/>
        <v>Unique</v>
      </c>
      <c r="E42" t="s">
        <v>108</v>
      </c>
      <c r="F42" s="3">
        <f t="shared" si="2"/>
        <v>2</v>
      </c>
      <c r="G42" t="s">
        <v>19</v>
      </c>
      <c r="H42" t="str">
        <f t="shared" si="3"/>
        <v>Valid</v>
      </c>
      <c r="I42" t="s">
        <v>227</v>
      </c>
      <c r="J42" t="str">
        <f t="shared" si="4"/>
        <v>KGG</v>
      </c>
      <c r="K42" t="s">
        <v>109</v>
      </c>
      <c r="L42" t="str" cm="1">
        <f t="array" ref="L42">_xlfn.IFS(
ISNUMBER(SEARCH("ICU",K42)), "ICU",
ISNUMBER(SEARCH("NEONATAL",K42)), PROPER("NEONATAL"),
ISNUMBER(SEARCH("LABOUR",K42)), PROPER("LABOUR"),
ISNUMBER(SEARCH("PAEDIATRIC",K42)), PROPER("PAEDIATRIC"),
ISNUMBER(SEARCH("FEMALE SURGICAL",K42)), PROPER("FEMALE SURG, ORTHO &amp; GYN"),
ISNUMBER(SEARCH("PSYCHIATRIST",K42)), PROPER("PSYCHIATRIST"),
ISNUMBER(SEARCH("GRADE 1",K42)), PROPER("GRADE 1"),
ISNUMBER(SEARCH("MALE SURGICAL",K42)), PROPER("MALE SURG &amp; ORTHOPEDIC"),
ISNUMBER(SEARCH("MALE MEDICAL",K42)), PROPER("MALE MEDICAL"),
ISNUMBER(SEARCH("GRADE 2",K42)), PROPER("GRADE 2"),
ISNUMBER(SEARCH("FEMALE WARD",K42)), PROPER("FEMALE MEDICAL"),
TRUE, "Unmapped: " &amp; K42)</f>
        <v>Paediatric</v>
      </c>
      <c r="M42" t="s">
        <v>22</v>
      </c>
      <c r="O42" t="s">
        <v>233</v>
      </c>
      <c r="P42" t="str">
        <f t="shared" si="5"/>
        <v>Text Error</v>
      </c>
      <c r="Q42" s="5">
        <v>45817.839247685188</v>
      </c>
      <c r="R42" t="str">
        <f t="shared" si="6"/>
        <v>Valid Date</v>
      </c>
      <c r="S42" t="s">
        <v>234</v>
      </c>
      <c r="T42" s="5">
        <v>46035.494618055556</v>
      </c>
      <c r="U42">
        <v>217</v>
      </c>
      <c r="V42" t="str">
        <f t="shared" si="7"/>
        <v>OK</v>
      </c>
      <c r="W42" t="s">
        <v>25</v>
      </c>
      <c r="Y42" t="s">
        <v>30</v>
      </c>
    </row>
    <row r="43" spans="1:25" x14ac:dyDescent="0.25">
      <c r="A43" t="s">
        <v>236</v>
      </c>
      <c r="B43" t="str">
        <f t="shared" si="1"/>
        <v>Isumail Bakari Yohana</v>
      </c>
      <c r="C43">
        <v>108302</v>
      </c>
      <c r="D43" t="str">
        <f t="shared" si="0"/>
        <v>Unique</v>
      </c>
      <c r="E43" t="s">
        <v>18</v>
      </c>
      <c r="F43" s="3">
        <f t="shared" si="2"/>
        <v>1</v>
      </c>
      <c r="G43" t="s">
        <v>19</v>
      </c>
      <c r="H43" t="str">
        <f t="shared" si="3"/>
        <v>Valid</v>
      </c>
      <c r="I43" t="s">
        <v>33</v>
      </c>
      <c r="J43" t="str">
        <f t="shared" si="4"/>
        <v>Kigoma Ujiji Mc</v>
      </c>
      <c r="K43" t="s">
        <v>109</v>
      </c>
      <c r="L43" t="str" cm="1">
        <f t="array" ref="L43">_xlfn.IFS(
ISNUMBER(SEARCH("ICU",K43)), "ICU",
ISNUMBER(SEARCH("NEONATAL",K43)), PROPER("NEONATAL"),
ISNUMBER(SEARCH("LABOUR",K43)), PROPER("LABOUR"),
ISNUMBER(SEARCH("PAEDIATRIC",K43)), PROPER("PAEDIATRIC"),
ISNUMBER(SEARCH("FEMALE SURGICAL",K43)), PROPER("FEMALE SURG, ORTHO &amp; GYN"),
ISNUMBER(SEARCH("PSYCHIATRIST",K43)), PROPER("PSYCHIATRIST"),
ISNUMBER(SEARCH("GRADE 1",K43)), PROPER("GRADE 1"),
ISNUMBER(SEARCH("MALE SURGICAL",K43)), PROPER("MALE SURG &amp; ORTHOPEDIC"),
ISNUMBER(SEARCH("MALE MEDICAL",K43)), PROPER("MALE MEDICAL"),
ISNUMBER(SEARCH("GRADE 2",K43)), PROPER("GRADE 2"),
ISNUMBER(SEARCH("FEMALE WARD",K43)), PROPER("FEMALE MEDICAL"),
TRUE, "Unmapped: " &amp; K43)</f>
        <v>Paediatric</v>
      </c>
      <c r="M43" t="s">
        <v>22</v>
      </c>
      <c r="O43" t="s">
        <v>237</v>
      </c>
      <c r="P43" t="str">
        <f t="shared" si="5"/>
        <v>Text Error</v>
      </c>
      <c r="Q43" s="5">
        <v>45818.383576388886</v>
      </c>
      <c r="R43" t="str">
        <f t="shared" si="6"/>
        <v>Valid Date</v>
      </c>
      <c r="S43" t="s">
        <v>238</v>
      </c>
      <c r="T43" s="5">
        <v>46035.494363425925</v>
      </c>
      <c r="U43">
        <v>217</v>
      </c>
      <c r="V43" t="str">
        <f t="shared" si="7"/>
        <v>OK</v>
      </c>
      <c r="W43" t="s">
        <v>25</v>
      </c>
      <c r="Y43" t="s">
        <v>30</v>
      </c>
    </row>
    <row r="44" spans="1:25" x14ac:dyDescent="0.25">
      <c r="A44" t="s">
        <v>240</v>
      </c>
      <c r="B44" t="str">
        <f t="shared" si="1"/>
        <v>Mwamvita Seif Kalika</v>
      </c>
      <c r="C44">
        <v>95446</v>
      </c>
      <c r="D44" t="str">
        <f t="shared" si="0"/>
        <v>Unique</v>
      </c>
      <c r="E44" t="s">
        <v>147</v>
      </c>
      <c r="F44" s="3">
        <f t="shared" si="2"/>
        <v>30</v>
      </c>
      <c r="G44" t="s">
        <v>32</v>
      </c>
      <c r="H44" t="str">
        <f t="shared" si="3"/>
        <v>Valid</v>
      </c>
      <c r="I44" t="s">
        <v>33</v>
      </c>
      <c r="J44" t="str">
        <f t="shared" si="4"/>
        <v>Kigoma Ujiji Mc</v>
      </c>
      <c r="K44" t="s">
        <v>123</v>
      </c>
      <c r="L44" t="str" cm="1">
        <f t="array" ref="L44">_xlfn.IFS(
ISNUMBER(SEARCH("ICU",K44)), "ICU",
ISNUMBER(SEARCH("NEONATAL",K44)), PROPER("NEONATAL"),
ISNUMBER(SEARCH("LABOUR",K44)), PROPER("LABOUR"),
ISNUMBER(SEARCH("PAEDIATRIC",K44)), PROPER("PAEDIATRIC"),
ISNUMBER(SEARCH("FEMALE SURGICAL",K44)), PROPER("FEMALE SURG, ORTHO &amp; GYN"),
ISNUMBER(SEARCH("PSYCHIATRIST",K44)), PROPER("PSYCHIATRIST"),
ISNUMBER(SEARCH("GRADE 1",K44)), PROPER("GRADE 1"),
ISNUMBER(SEARCH("MALE SURGICAL",K44)), PROPER("MALE SURG &amp; ORTHOPEDIC"),
ISNUMBER(SEARCH("MALE MEDICAL",K44)), PROPER("MALE MEDICAL"),
ISNUMBER(SEARCH("GRADE 2",K44)), PROPER("GRADE 2"),
ISNUMBER(SEARCH("FEMALE WARD",K44)), PROPER("FEMALE MEDICAL"),
TRUE, "Unmapped: " &amp; K44)</f>
        <v>Female Surg, Ortho &amp; Gyn</v>
      </c>
      <c r="M44" t="s">
        <v>22</v>
      </c>
      <c r="O44" t="s">
        <v>241</v>
      </c>
      <c r="P44" t="str">
        <f t="shared" si="5"/>
        <v>Text Error</v>
      </c>
      <c r="Q44" s="5">
        <v>45817.631064814814</v>
      </c>
      <c r="R44" t="str">
        <f t="shared" si="6"/>
        <v>Valid Date</v>
      </c>
      <c r="S44" t="s">
        <v>242</v>
      </c>
      <c r="T44" s="5">
        <v>46031.80574074074</v>
      </c>
      <c r="U44">
        <v>214</v>
      </c>
      <c r="V44" t="str">
        <f t="shared" si="7"/>
        <v>OK</v>
      </c>
      <c r="W44" t="s">
        <v>65</v>
      </c>
      <c r="Y44" t="s">
        <v>30</v>
      </c>
    </row>
    <row r="45" spans="1:25" x14ac:dyDescent="0.25">
      <c r="A45" t="s">
        <v>244</v>
      </c>
      <c r="B45" t="str">
        <f t="shared" si="1"/>
        <v>Asia Hussein Juma</v>
      </c>
      <c r="C45">
        <v>108479</v>
      </c>
      <c r="D45" t="str">
        <f t="shared" si="0"/>
        <v>Unique</v>
      </c>
      <c r="E45" t="s">
        <v>151</v>
      </c>
      <c r="F45" s="3">
        <f t="shared" si="2"/>
        <v>22</v>
      </c>
      <c r="G45" t="s">
        <v>32</v>
      </c>
      <c r="H45" t="str">
        <f t="shared" si="3"/>
        <v>Valid</v>
      </c>
      <c r="I45" t="s">
        <v>62</v>
      </c>
      <c r="J45" t="str">
        <f t="shared" si="4"/>
        <v>Kigoma Vijijini</v>
      </c>
      <c r="K45" t="s">
        <v>123</v>
      </c>
      <c r="L45" t="str" cm="1">
        <f t="array" ref="L45">_xlfn.IFS(
ISNUMBER(SEARCH("ICU",K45)), "ICU",
ISNUMBER(SEARCH("NEONATAL",K45)), PROPER("NEONATAL"),
ISNUMBER(SEARCH("LABOUR",K45)), PROPER("LABOUR"),
ISNUMBER(SEARCH("PAEDIATRIC",K45)), PROPER("PAEDIATRIC"),
ISNUMBER(SEARCH("FEMALE SURGICAL",K45)), PROPER("FEMALE SURG, ORTHO &amp; GYN"),
ISNUMBER(SEARCH("PSYCHIATRIST",K45)), PROPER("PSYCHIATRIST"),
ISNUMBER(SEARCH("GRADE 1",K45)), PROPER("GRADE 1"),
ISNUMBER(SEARCH("MALE SURGICAL",K45)), PROPER("MALE SURG &amp; ORTHOPEDIC"),
ISNUMBER(SEARCH("MALE MEDICAL",K45)), PROPER("MALE MEDICAL"),
ISNUMBER(SEARCH("GRADE 2",K45)), PROPER("GRADE 2"),
ISNUMBER(SEARCH("FEMALE WARD",K45)), PROPER("FEMALE MEDICAL"),
TRUE, "Unmapped: " &amp; K45)</f>
        <v>Female Surg, Ortho &amp; Gyn</v>
      </c>
      <c r="M45" t="s">
        <v>22</v>
      </c>
      <c r="O45" t="s">
        <v>245</v>
      </c>
      <c r="P45" t="str">
        <f t="shared" si="5"/>
        <v>Text Error</v>
      </c>
      <c r="Q45" s="5">
        <v>45819.65519675926</v>
      </c>
      <c r="R45" t="str">
        <f t="shared" si="6"/>
        <v>Valid Date</v>
      </c>
      <c r="S45" t="s">
        <v>246</v>
      </c>
      <c r="T45" s="5">
        <v>46031.806261574071</v>
      </c>
      <c r="U45">
        <v>212</v>
      </c>
      <c r="V45" t="str">
        <f t="shared" si="7"/>
        <v>OK</v>
      </c>
      <c r="W45" t="s">
        <v>25</v>
      </c>
      <c r="Y45" t="s">
        <v>30</v>
      </c>
    </row>
    <row r="46" spans="1:25" x14ac:dyDescent="0.25">
      <c r="A46" t="s">
        <v>248</v>
      </c>
      <c r="B46" t="str">
        <f t="shared" si="1"/>
        <v>Husna Iddy Rashid</v>
      </c>
      <c r="C46">
        <v>108523</v>
      </c>
      <c r="D46" t="str">
        <f t="shared" si="0"/>
        <v>Unique</v>
      </c>
      <c r="E46" t="s">
        <v>61</v>
      </c>
      <c r="F46" s="3">
        <f t="shared" si="2"/>
        <v>29</v>
      </c>
      <c r="G46" t="s">
        <v>32</v>
      </c>
      <c r="H46" t="str">
        <f t="shared" si="3"/>
        <v>Valid</v>
      </c>
      <c r="I46" t="s">
        <v>33</v>
      </c>
      <c r="J46" t="str">
        <f t="shared" si="4"/>
        <v>Kigoma Ujiji Mc</v>
      </c>
      <c r="K46" t="s">
        <v>40</v>
      </c>
      <c r="L46" t="str" cm="1">
        <f t="array" ref="L46">_xlfn.IFS(
ISNUMBER(SEARCH("ICU",K46)), "ICU",
ISNUMBER(SEARCH("NEONATAL",K46)), PROPER("NEONATAL"),
ISNUMBER(SEARCH("LABOUR",K46)), PROPER("LABOUR"),
ISNUMBER(SEARCH("PAEDIATRIC",K46)), PROPER("PAEDIATRIC"),
ISNUMBER(SEARCH("FEMALE SURGICAL",K46)), PROPER("FEMALE SURG, ORTHO &amp; GYN"),
ISNUMBER(SEARCH("PSYCHIATRIST",K46)), PROPER("PSYCHIATRIST"),
ISNUMBER(SEARCH("GRADE 1",K46)), PROPER("GRADE 1"),
ISNUMBER(SEARCH("MALE SURGICAL",K46)), PROPER("MALE SURG &amp; ORTHOPEDIC"),
ISNUMBER(SEARCH("MALE MEDICAL",K46)), PROPER("MALE MEDICAL"),
ISNUMBER(SEARCH("GRADE 2",K46)), PROPER("GRADE 2"),
ISNUMBER(SEARCH("FEMALE WARD",K46)), PROPER("FEMALE MEDICAL"),
TRUE, "Unmapped: " &amp; K46)</f>
        <v>Labour</v>
      </c>
      <c r="M46" t="s">
        <v>22</v>
      </c>
      <c r="O46" t="s">
        <v>249</v>
      </c>
      <c r="P46" t="str">
        <f t="shared" si="5"/>
        <v>Text Error</v>
      </c>
      <c r="Q46" s="5">
        <v>45820.412303240744</v>
      </c>
      <c r="R46" t="str">
        <f t="shared" si="6"/>
        <v>Valid Date</v>
      </c>
      <c r="S46" t="s">
        <v>250</v>
      </c>
      <c r="T46" s="5">
        <v>46031.72792824074</v>
      </c>
      <c r="U46">
        <v>211</v>
      </c>
      <c r="V46" t="str">
        <f t="shared" si="7"/>
        <v>OK</v>
      </c>
      <c r="W46" t="s">
        <v>25</v>
      </c>
      <c r="Y46" t="s">
        <v>30</v>
      </c>
    </row>
    <row r="47" spans="1:25" x14ac:dyDescent="0.25">
      <c r="A47" t="s">
        <v>251</v>
      </c>
      <c r="B47" t="str">
        <f t="shared" si="1"/>
        <v>Dihya Rashid Kassimu</v>
      </c>
      <c r="C47">
        <v>109277</v>
      </c>
      <c r="D47" t="str">
        <f t="shared" si="0"/>
        <v>Unique</v>
      </c>
      <c r="E47" t="s">
        <v>252</v>
      </c>
      <c r="F47" s="3" t="str">
        <f t="shared" si="2"/>
        <v>10/12</v>
      </c>
      <c r="G47" t="s">
        <v>19</v>
      </c>
      <c r="H47" t="str">
        <f t="shared" si="3"/>
        <v>Valid</v>
      </c>
      <c r="I47" t="s">
        <v>33</v>
      </c>
      <c r="J47" t="str">
        <f t="shared" si="4"/>
        <v>Kigoma Ujiji Mc</v>
      </c>
      <c r="K47" t="s">
        <v>109</v>
      </c>
      <c r="L47" t="str" cm="1">
        <f t="array" ref="L47">_xlfn.IFS(
ISNUMBER(SEARCH("ICU",K47)), "ICU",
ISNUMBER(SEARCH("NEONATAL",K47)), PROPER("NEONATAL"),
ISNUMBER(SEARCH("LABOUR",K47)), PROPER("LABOUR"),
ISNUMBER(SEARCH("PAEDIATRIC",K47)), PROPER("PAEDIATRIC"),
ISNUMBER(SEARCH("FEMALE SURGICAL",K47)), PROPER("FEMALE SURG, ORTHO &amp; GYN"),
ISNUMBER(SEARCH("PSYCHIATRIST",K47)), PROPER("PSYCHIATRIST"),
ISNUMBER(SEARCH("GRADE 1",K47)), PROPER("GRADE 1"),
ISNUMBER(SEARCH("MALE SURGICAL",K47)), PROPER("MALE SURG &amp; ORTHOPEDIC"),
ISNUMBER(SEARCH("MALE MEDICAL",K47)), PROPER("MALE MEDICAL"),
ISNUMBER(SEARCH("GRADE 2",K47)), PROPER("GRADE 2"),
ISNUMBER(SEARCH("FEMALE WARD",K47)), PROPER("FEMALE MEDICAL"),
TRUE, "Unmapped: " &amp; K47)</f>
        <v>Paediatric</v>
      </c>
      <c r="M47" t="s">
        <v>22</v>
      </c>
      <c r="O47" t="s">
        <v>253</v>
      </c>
      <c r="P47" t="str">
        <f t="shared" si="5"/>
        <v>Text Error</v>
      </c>
      <c r="Q47" s="5">
        <v>45828.977592592593</v>
      </c>
      <c r="R47" t="str">
        <f t="shared" si="6"/>
        <v>Valid Date</v>
      </c>
      <c r="S47" t="s">
        <v>254</v>
      </c>
      <c r="T47" s="5">
        <v>46035.494050925925</v>
      </c>
      <c r="U47">
        <v>206</v>
      </c>
      <c r="V47" t="str">
        <f t="shared" si="7"/>
        <v>OK</v>
      </c>
      <c r="W47" t="s">
        <v>25</v>
      </c>
      <c r="Y47" t="s">
        <v>30</v>
      </c>
    </row>
    <row r="48" spans="1:25" x14ac:dyDescent="0.25">
      <c r="A48" t="s">
        <v>255</v>
      </c>
      <c r="B48" t="str">
        <f t="shared" si="1"/>
        <v>Baby Ofwitness Fanuel Ntuyamali</v>
      </c>
      <c r="C48">
        <v>109021</v>
      </c>
      <c r="D48" t="str">
        <f t="shared" si="0"/>
        <v>Unique</v>
      </c>
      <c r="E48" t="s">
        <v>221</v>
      </c>
      <c r="F48" s="3" t="str">
        <f t="shared" si="2"/>
        <v>9/12</v>
      </c>
      <c r="G48" t="s">
        <v>19</v>
      </c>
      <c r="H48" t="str">
        <f t="shared" si="3"/>
        <v>Valid</v>
      </c>
      <c r="I48" t="s">
        <v>62</v>
      </c>
      <c r="J48" t="str">
        <f t="shared" si="4"/>
        <v>Kigoma Vijijini</v>
      </c>
      <c r="K48" t="s">
        <v>21</v>
      </c>
      <c r="L48" t="str" cm="1">
        <f t="array" ref="L48">_xlfn.IFS(
ISNUMBER(SEARCH("ICU",K48)), "ICU",
ISNUMBER(SEARCH("NEONATAL",K48)), PROPER("NEONATAL"),
ISNUMBER(SEARCH("LABOUR",K48)), PROPER("LABOUR"),
ISNUMBER(SEARCH("PAEDIATRIC",K48)), PROPER("PAEDIATRIC"),
ISNUMBER(SEARCH("FEMALE SURGICAL",K48)), PROPER("FEMALE SURG, ORTHO &amp; GYN"),
ISNUMBER(SEARCH("PSYCHIATRIST",K48)), PROPER("PSYCHIATRIST"),
ISNUMBER(SEARCH("GRADE 1",K48)), PROPER("GRADE 1"),
ISNUMBER(SEARCH("MALE SURGICAL",K48)), PROPER("MALE SURG &amp; ORTHOPEDIC"),
ISNUMBER(SEARCH("MALE MEDICAL",K48)), PROPER("MALE MEDICAL"),
ISNUMBER(SEARCH("GRADE 2",K48)), PROPER("GRADE 2"),
ISNUMBER(SEARCH("FEMALE WARD",K48)), PROPER("FEMALE MEDICAL"),
TRUE, "Unmapped: " &amp; K48)</f>
        <v>Neonatal</v>
      </c>
      <c r="M48" t="s">
        <v>22</v>
      </c>
      <c r="O48" t="s">
        <v>256</v>
      </c>
      <c r="P48" t="str">
        <f t="shared" si="5"/>
        <v>Text Error</v>
      </c>
      <c r="Q48" s="5">
        <v>45826.526331018518</v>
      </c>
      <c r="R48" t="str">
        <f t="shared" si="6"/>
        <v>Valid Date</v>
      </c>
      <c r="S48" t="s">
        <v>257</v>
      </c>
      <c r="T48" s="5">
        <v>46031.789317129631</v>
      </c>
      <c r="U48">
        <v>205</v>
      </c>
      <c r="V48" t="str">
        <f t="shared" si="7"/>
        <v>OK</v>
      </c>
      <c r="W48" t="s">
        <v>25</v>
      </c>
      <c r="Y48" t="s">
        <v>30</v>
      </c>
    </row>
    <row r="49" spans="1:25" x14ac:dyDescent="0.25">
      <c r="A49" t="s">
        <v>259</v>
      </c>
      <c r="B49" t="str">
        <f t="shared" si="1"/>
        <v>Tatu Daniel Alfred</v>
      </c>
      <c r="C49">
        <v>109343</v>
      </c>
      <c r="D49" t="str">
        <f t="shared" si="0"/>
        <v>Unique</v>
      </c>
      <c r="E49" t="s">
        <v>221</v>
      </c>
      <c r="F49" s="3" t="str">
        <f t="shared" si="2"/>
        <v>9/12</v>
      </c>
      <c r="G49" t="s">
        <v>32</v>
      </c>
      <c r="H49" t="str">
        <f t="shared" si="3"/>
        <v>Valid</v>
      </c>
      <c r="I49" t="s">
        <v>260</v>
      </c>
      <c r="J49" t="str">
        <f t="shared" si="4"/>
        <v>Kasulu</v>
      </c>
      <c r="K49" t="s">
        <v>21</v>
      </c>
      <c r="L49" t="str" cm="1">
        <f t="array" ref="L49">_xlfn.IFS(
ISNUMBER(SEARCH("ICU",K49)), "ICU",
ISNUMBER(SEARCH("NEONATAL",K49)), PROPER("NEONATAL"),
ISNUMBER(SEARCH("LABOUR",K49)), PROPER("LABOUR"),
ISNUMBER(SEARCH("PAEDIATRIC",K49)), PROPER("PAEDIATRIC"),
ISNUMBER(SEARCH("FEMALE SURGICAL",K49)), PROPER("FEMALE SURG, ORTHO &amp; GYN"),
ISNUMBER(SEARCH("PSYCHIATRIST",K49)), PROPER("PSYCHIATRIST"),
ISNUMBER(SEARCH("GRADE 1",K49)), PROPER("GRADE 1"),
ISNUMBER(SEARCH("MALE SURGICAL",K49)), PROPER("MALE SURG &amp; ORTHOPEDIC"),
ISNUMBER(SEARCH("MALE MEDICAL",K49)), PROPER("MALE MEDICAL"),
ISNUMBER(SEARCH("GRADE 2",K49)), PROPER("GRADE 2"),
ISNUMBER(SEARCH("FEMALE WARD",K49)), PROPER("FEMALE MEDICAL"),
TRUE, "Unmapped: " &amp; K49)</f>
        <v>Neonatal</v>
      </c>
      <c r="M49" t="s">
        <v>22</v>
      </c>
      <c r="O49" t="s">
        <v>261</v>
      </c>
      <c r="P49" t="str">
        <f t="shared" si="5"/>
        <v>Text Error</v>
      </c>
      <c r="Q49" s="5">
        <v>45829.733136574076</v>
      </c>
      <c r="R49" t="str">
        <f t="shared" si="6"/>
        <v>Valid Date</v>
      </c>
      <c r="S49" t="s">
        <v>262</v>
      </c>
      <c r="T49" s="5">
        <v>46031.789699074077</v>
      </c>
      <c r="U49">
        <v>202</v>
      </c>
      <c r="V49" t="str">
        <f t="shared" si="7"/>
        <v>OK</v>
      </c>
      <c r="W49" t="s">
        <v>65</v>
      </c>
      <c r="Y49" t="s">
        <v>30</v>
      </c>
    </row>
    <row r="50" spans="1:25" x14ac:dyDescent="0.25">
      <c r="A50" t="s">
        <v>264</v>
      </c>
      <c r="B50" t="str">
        <f t="shared" si="1"/>
        <v>Mwajuma Ally Mussa</v>
      </c>
      <c r="C50">
        <v>109345</v>
      </c>
      <c r="D50" t="str">
        <f t="shared" si="0"/>
        <v>Unique</v>
      </c>
      <c r="E50" t="s">
        <v>39</v>
      </c>
      <c r="F50" s="3">
        <f t="shared" si="2"/>
        <v>33</v>
      </c>
      <c r="G50" t="s">
        <v>32</v>
      </c>
      <c r="H50" t="str">
        <f t="shared" si="3"/>
        <v>Valid</v>
      </c>
      <c r="I50" t="s">
        <v>33</v>
      </c>
      <c r="J50" t="str">
        <f t="shared" si="4"/>
        <v>Kigoma Ujiji Mc</v>
      </c>
      <c r="K50" t="s">
        <v>40</v>
      </c>
      <c r="L50" t="str" cm="1">
        <f t="array" ref="L50">_xlfn.IFS(
ISNUMBER(SEARCH("ICU",K50)), "ICU",
ISNUMBER(SEARCH("NEONATAL",K50)), PROPER("NEONATAL"),
ISNUMBER(SEARCH("LABOUR",K50)), PROPER("LABOUR"),
ISNUMBER(SEARCH("PAEDIATRIC",K50)), PROPER("PAEDIATRIC"),
ISNUMBER(SEARCH("FEMALE SURGICAL",K50)), PROPER("FEMALE SURG, ORTHO &amp; GYN"),
ISNUMBER(SEARCH("PSYCHIATRIST",K50)), PROPER("PSYCHIATRIST"),
ISNUMBER(SEARCH("GRADE 1",K50)), PROPER("GRADE 1"),
ISNUMBER(SEARCH("MALE SURGICAL",K50)), PROPER("MALE SURG &amp; ORTHOPEDIC"),
ISNUMBER(SEARCH("MALE MEDICAL",K50)), PROPER("MALE MEDICAL"),
ISNUMBER(SEARCH("GRADE 2",K50)), PROPER("GRADE 2"),
ISNUMBER(SEARCH("FEMALE WARD",K50)), PROPER("FEMALE MEDICAL"),
TRUE, "Unmapped: " &amp; K50)</f>
        <v>Labour</v>
      </c>
      <c r="M50" t="s">
        <v>22</v>
      </c>
      <c r="O50" t="s">
        <v>265</v>
      </c>
      <c r="P50" t="str">
        <f t="shared" si="5"/>
        <v>Text Error</v>
      </c>
      <c r="Q50" s="5">
        <v>45829.742175925923</v>
      </c>
      <c r="R50" t="str">
        <f t="shared" si="6"/>
        <v>Valid Date</v>
      </c>
      <c r="S50" t="s">
        <v>266</v>
      </c>
      <c r="T50" s="5">
        <v>46031.72519675926</v>
      </c>
      <c r="U50">
        <v>201</v>
      </c>
      <c r="V50" t="str">
        <f t="shared" si="7"/>
        <v>OK</v>
      </c>
      <c r="W50" t="s">
        <v>25</v>
      </c>
      <c r="Y50" t="s">
        <v>30</v>
      </c>
    </row>
    <row r="51" spans="1:25" x14ac:dyDescent="0.25">
      <c r="A51" t="s">
        <v>268</v>
      </c>
      <c r="B51" t="str">
        <f t="shared" si="1"/>
        <v>Nyabenda Ernest Ernest</v>
      </c>
      <c r="C51">
        <v>109518</v>
      </c>
      <c r="D51" t="str">
        <f t="shared" si="0"/>
        <v>Unique</v>
      </c>
      <c r="E51" t="s">
        <v>142</v>
      </c>
      <c r="F51" s="3">
        <f t="shared" si="2"/>
        <v>20</v>
      </c>
      <c r="G51" t="s">
        <v>32</v>
      </c>
      <c r="H51" t="str">
        <f t="shared" si="3"/>
        <v>Valid</v>
      </c>
      <c r="I51" t="s">
        <v>62</v>
      </c>
      <c r="J51" t="str">
        <f t="shared" si="4"/>
        <v>Kigoma Vijijini</v>
      </c>
      <c r="K51" t="s">
        <v>123</v>
      </c>
      <c r="L51" t="str" cm="1">
        <f t="array" ref="L51">_xlfn.IFS(
ISNUMBER(SEARCH("ICU",K51)), "ICU",
ISNUMBER(SEARCH("NEONATAL",K51)), PROPER("NEONATAL"),
ISNUMBER(SEARCH("LABOUR",K51)), PROPER("LABOUR"),
ISNUMBER(SEARCH("PAEDIATRIC",K51)), PROPER("PAEDIATRIC"),
ISNUMBER(SEARCH("FEMALE SURGICAL",K51)), PROPER("FEMALE SURG, ORTHO &amp; GYN"),
ISNUMBER(SEARCH("PSYCHIATRIST",K51)), PROPER("PSYCHIATRIST"),
ISNUMBER(SEARCH("GRADE 1",K51)), PROPER("GRADE 1"),
ISNUMBER(SEARCH("MALE SURGICAL",K51)), PROPER("MALE SURG &amp; ORTHOPEDIC"),
ISNUMBER(SEARCH("MALE MEDICAL",K51)), PROPER("MALE MEDICAL"),
ISNUMBER(SEARCH("GRADE 2",K51)), PROPER("GRADE 2"),
ISNUMBER(SEARCH("FEMALE WARD",K51)), PROPER("FEMALE MEDICAL"),
TRUE, "Unmapped: " &amp; K51)</f>
        <v>Female Surg, Ortho &amp; Gyn</v>
      </c>
      <c r="M51" t="s">
        <v>216</v>
      </c>
      <c r="O51" t="s">
        <v>269</v>
      </c>
      <c r="P51" t="str">
        <f t="shared" si="5"/>
        <v>Text Error</v>
      </c>
      <c r="Q51" s="5">
        <v>45831.74</v>
      </c>
      <c r="R51" t="str">
        <f t="shared" si="6"/>
        <v>Valid Date</v>
      </c>
      <c r="S51" t="s">
        <v>270</v>
      </c>
      <c r="T51" s="5">
        <v>46031.806666666664</v>
      </c>
      <c r="U51">
        <v>200</v>
      </c>
      <c r="V51" t="str">
        <f t="shared" si="7"/>
        <v>OK</v>
      </c>
      <c r="W51" t="s">
        <v>25</v>
      </c>
      <c r="Y51" t="s">
        <v>30</v>
      </c>
    </row>
    <row r="52" spans="1:25" x14ac:dyDescent="0.25">
      <c r="A52" t="s">
        <v>272</v>
      </c>
      <c r="B52" t="str">
        <f t="shared" si="1"/>
        <v>Baby Of Mwavita Haruna Ruzibila</v>
      </c>
      <c r="C52">
        <v>109857</v>
      </c>
      <c r="D52" t="str">
        <f t="shared" si="0"/>
        <v>Unique</v>
      </c>
      <c r="E52" t="s">
        <v>273</v>
      </c>
      <c r="F52" s="3" t="str">
        <f t="shared" si="2"/>
        <v>8/12</v>
      </c>
      <c r="G52" t="s">
        <v>32</v>
      </c>
      <c r="H52" t="str">
        <f t="shared" si="3"/>
        <v>Valid</v>
      </c>
      <c r="I52" t="s">
        <v>62</v>
      </c>
      <c r="J52" t="str">
        <f t="shared" si="4"/>
        <v>Kigoma Vijijini</v>
      </c>
      <c r="K52" t="s">
        <v>21</v>
      </c>
      <c r="L52" t="str" cm="1">
        <f t="array" ref="L52">_xlfn.IFS(
ISNUMBER(SEARCH("ICU",K52)), "ICU",
ISNUMBER(SEARCH("NEONATAL",K52)), PROPER("NEONATAL"),
ISNUMBER(SEARCH("LABOUR",K52)), PROPER("LABOUR"),
ISNUMBER(SEARCH("PAEDIATRIC",K52)), PROPER("PAEDIATRIC"),
ISNUMBER(SEARCH("FEMALE SURGICAL",K52)), PROPER("FEMALE SURG, ORTHO &amp; GYN"),
ISNUMBER(SEARCH("PSYCHIATRIST",K52)), PROPER("PSYCHIATRIST"),
ISNUMBER(SEARCH("GRADE 1",K52)), PROPER("GRADE 1"),
ISNUMBER(SEARCH("MALE SURGICAL",K52)), PROPER("MALE SURG &amp; ORTHOPEDIC"),
ISNUMBER(SEARCH("MALE MEDICAL",K52)), PROPER("MALE MEDICAL"),
ISNUMBER(SEARCH("GRADE 2",K52)), PROPER("GRADE 2"),
ISNUMBER(SEARCH("FEMALE WARD",K52)), PROPER("FEMALE MEDICAL"),
TRUE, "Unmapped: " &amp; K52)</f>
        <v>Neonatal</v>
      </c>
      <c r="M52" t="s">
        <v>22</v>
      </c>
      <c r="O52" t="s">
        <v>274</v>
      </c>
      <c r="P52" t="str">
        <f t="shared" si="5"/>
        <v>Text Error</v>
      </c>
      <c r="Q52" s="5">
        <v>45834.554166666669</v>
      </c>
      <c r="R52" t="str">
        <f t="shared" si="6"/>
        <v>Valid Date</v>
      </c>
      <c r="S52" t="s">
        <v>275</v>
      </c>
      <c r="T52" s="5">
        <v>46031.790219907409</v>
      </c>
      <c r="U52">
        <v>197</v>
      </c>
      <c r="V52" t="str">
        <f t="shared" si="7"/>
        <v>OK</v>
      </c>
      <c r="W52" t="s">
        <v>65</v>
      </c>
      <c r="Y52" t="s">
        <v>30</v>
      </c>
    </row>
    <row r="53" spans="1:25" x14ac:dyDescent="0.25">
      <c r="A53" t="s">
        <v>276</v>
      </c>
      <c r="B53" t="str">
        <f t="shared" si="1"/>
        <v>Baby Of Queen Kulwa Juma</v>
      </c>
      <c r="C53">
        <v>109900</v>
      </c>
      <c r="D53" t="str">
        <f t="shared" si="0"/>
        <v>Unique</v>
      </c>
      <c r="E53" t="s">
        <v>273</v>
      </c>
      <c r="F53" s="3" t="str">
        <f t="shared" si="2"/>
        <v>8/12</v>
      </c>
      <c r="G53" t="s">
        <v>19</v>
      </c>
      <c r="H53" t="str">
        <f t="shared" si="3"/>
        <v>Valid</v>
      </c>
      <c r="I53" t="s">
        <v>33</v>
      </c>
      <c r="J53" t="str">
        <f t="shared" si="4"/>
        <v>Kigoma Ujiji Mc</v>
      </c>
      <c r="K53" t="s">
        <v>21</v>
      </c>
      <c r="L53" t="str" cm="1">
        <f t="array" ref="L53">_xlfn.IFS(
ISNUMBER(SEARCH("ICU",K53)), "ICU",
ISNUMBER(SEARCH("NEONATAL",K53)), PROPER("NEONATAL"),
ISNUMBER(SEARCH("LABOUR",K53)), PROPER("LABOUR"),
ISNUMBER(SEARCH("PAEDIATRIC",K53)), PROPER("PAEDIATRIC"),
ISNUMBER(SEARCH("FEMALE SURGICAL",K53)), PROPER("FEMALE SURG, ORTHO &amp; GYN"),
ISNUMBER(SEARCH("PSYCHIATRIST",K53)), PROPER("PSYCHIATRIST"),
ISNUMBER(SEARCH("GRADE 1",K53)), PROPER("GRADE 1"),
ISNUMBER(SEARCH("MALE SURGICAL",K53)), PROPER("MALE SURG &amp; ORTHOPEDIC"),
ISNUMBER(SEARCH("MALE MEDICAL",K53)), PROPER("MALE MEDICAL"),
ISNUMBER(SEARCH("GRADE 2",K53)), PROPER("GRADE 2"),
ISNUMBER(SEARCH("FEMALE WARD",K53)), PROPER("FEMALE MEDICAL"),
TRUE, "Unmapped: " &amp; K53)</f>
        <v>Neonatal</v>
      </c>
      <c r="M53" t="s">
        <v>22</v>
      </c>
      <c r="O53" t="s">
        <v>277</v>
      </c>
      <c r="P53" t="str">
        <f t="shared" si="5"/>
        <v>Text Error</v>
      </c>
      <c r="Q53" s="5">
        <v>45835.498865740738</v>
      </c>
      <c r="R53" t="str">
        <f t="shared" si="6"/>
        <v>Valid Date</v>
      </c>
      <c r="S53" t="s">
        <v>278</v>
      </c>
      <c r="T53" s="5">
        <v>46031.790625000001</v>
      </c>
      <c r="U53">
        <v>196</v>
      </c>
      <c r="V53" t="str">
        <f t="shared" si="7"/>
        <v>OK</v>
      </c>
      <c r="W53" t="s">
        <v>25</v>
      </c>
      <c r="Y53" t="s">
        <v>30</v>
      </c>
    </row>
    <row r="54" spans="1:25" x14ac:dyDescent="0.25">
      <c r="A54" t="s">
        <v>280</v>
      </c>
      <c r="B54" t="str">
        <f t="shared" si="1"/>
        <v>Janeth Patrick Etieni</v>
      </c>
      <c r="C54">
        <v>109964</v>
      </c>
      <c r="D54" t="str">
        <f t="shared" si="0"/>
        <v>Unique</v>
      </c>
      <c r="E54" t="s">
        <v>281</v>
      </c>
      <c r="F54" s="3">
        <f t="shared" si="2"/>
        <v>36</v>
      </c>
      <c r="G54" t="s">
        <v>32</v>
      </c>
      <c r="H54" t="str">
        <f t="shared" si="3"/>
        <v>Valid</v>
      </c>
      <c r="I54" t="s">
        <v>33</v>
      </c>
      <c r="J54" t="str">
        <f t="shared" si="4"/>
        <v>Kigoma Ujiji Mc</v>
      </c>
      <c r="K54" t="s">
        <v>40</v>
      </c>
      <c r="L54" t="str" cm="1">
        <f t="array" ref="L54">_xlfn.IFS(
ISNUMBER(SEARCH("ICU",K54)), "ICU",
ISNUMBER(SEARCH("NEONATAL",K54)), PROPER("NEONATAL"),
ISNUMBER(SEARCH("LABOUR",K54)), PROPER("LABOUR"),
ISNUMBER(SEARCH("PAEDIATRIC",K54)), PROPER("PAEDIATRIC"),
ISNUMBER(SEARCH("FEMALE SURGICAL",K54)), PROPER("FEMALE SURG, ORTHO &amp; GYN"),
ISNUMBER(SEARCH("PSYCHIATRIST",K54)), PROPER("PSYCHIATRIST"),
ISNUMBER(SEARCH("GRADE 1",K54)), PROPER("GRADE 1"),
ISNUMBER(SEARCH("MALE SURGICAL",K54)), PROPER("MALE SURG &amp; ORTHOPEDIC"),
ISNUMBER(SEARCH("MALE MEDICAL",K54)), PROPER("MALE MEDICAL"),
ISNUMBER(SEARCH("GRADE 2",K54)), PROPER("GRADE 2"),
ISNUMBER(SEARCH("FEMALE WARD",K54)), PROPER("FEMALE MEDICAL"),
TRUE, "Unmapped: " &amp; K54)</f>
        <v>Labour</v>
      </c>
      <c r="M54" t="s">
        <v>22</v>
      </c>
      <c r="O54" t="s">
        <v>282</v>
      </c>
      <c r="P54" t="str">
        <f t="shared" si="5"/>
        <v>Text Error</v>
      </c>
      <c r="Q54" s="5">
        <v>45845.524907407409</v>
      </c>
      <c r="R54" t="str">
        <f t="shared" si="6"/>
        <v>Valid Date</v>
      </c>
      <c r="S54" t="s">
        <v>283</v>
      </c>
      <c r="T54" s="5">
        <v>46031.723981481482</v>
      </c>
      <c r="U54">
        <v>186</v>
      </c>
      <c r="V54" t="str">
        <f t="shared" si="7"/>
        <v>OK</v>
      </c>
      <c r="W54" t="s">
        <v>25</v>
      </c>
      <c r="Y54" t="s">
        <v>30</v>
      </c>
    </row>
    <row r="55" spans="1:25" x14ac:dyDescent="0.25">
      <c r="A55" t="s">
        <v>284</v>
      </c>
      <c r="B55" t="str">
        <f t="shared" si="1"/>
        <v>Amina Athumani Simpemba</v>
      </c>
      <c r="C55">
        <v>111614</v>
      </c>
      <c r="D55" t="str">
        <f t="shared" si="0"/>
        <v>Unique</v>
      </c>
      <c r="E55" t="s">
        <v>285</v>
      </c>
      <c r="F55" s="3">
        <f t="shared" si="2"/>
        <v>38</v>
      </c>
      <c r="G55" t="s">
        <v>32</v>
      </c>
      <c r="H55" t="str">
        <f t="shared" si="3"/>
        <v>Valid</v>
      </c>
      <c r="I55" t="s">
        <v>20</v>
      </c>
      <c r="J55" t="str">
        <f t="shared" si="4"/>
        <v>Uvinza</v>
      </c>
      <c r="K55" t="s">
        <v>123</v>
      </c>
      <c r="L55" t="str" cm="1">
        <f t="array" ref="L55">_xlfn.IFS(
ISNUMBER(SEARCH("ICU",K55)), "ICU",
ISNUMBER(SEARCH("NEONATAL",K55)), PROPER("NEONATAL"),
ISNUMBER(SEARCH("LABOUR",K55)), PROPER("LABOUR"),
ISNUMBER(SEARCH("PAEDIATRIC",K55)), PROPER("PAEDIATRIC"),
ISNUMBER(SEARCH("FEMALE SURGICAL",K55)), PROPER("FEMALE SURG, ORTHO &amp; GYN"),
ISNUMBER(SEARCH("PSYCHIATRIST",K55)), PROPER("PSYCHIATRIST"),
ISNUMBER(SEARCH("GRADE 1",K55)), PROPER("GRADE 1"),
ISNUMBER(SEARCH("MALE SURGICAL",K55)), PROPER("MALE SURG &amp; ORTHOPEDIC"),
ISNUMBER(SEARCH("MALE MEDICAL",K55)), PROPER("MALE MEDICAL"),
ISNUMBER(SEARCH("GRADE 2",K55)), PROPER("GRADE 2"),
ISNUMBER(SEARCH("FEMALE WARD",K55)), PROPER("FEMALE MEDICAL"),
TRUE, "Unmapped: " &amp; K55)</f>
        <v>Female Surg, Ortho &amp; Gyn</v>
      </c>
      <c r="M55" t="s">
        <v>22</v>
      </c>
      <c r="O55" t="s">
        <v>286</v>
      </c>
      <c r="P55" t="str">
        <f t="shared" si="5"/>
        <v>Text Error</v>
      </c>
      <c r="Q55" s="5">
        <v>45854.521296296298</v>
      </c>
      <c r="R55" t="str">
        <f t="shared" si="6"/>
        <v>Valid Date</v>
      </c>
      <c r="S55" t="s">
        <v>287</v>
      </c>
      <c r="T55" s="5">
        <v>46031.807511574072</v>
      </c>
      <c r="U55">
        <v>177</v>
      </c>
      <c r="V55" t="str">
        <f t="shared" si="7"/>
        <v>OK</v>
      </c>
      <c r="W55" t="s">
        <v>25</v>
      </c>
      <c r="Y55" t="s">
        <v>30</v>
      </c>
    </row>
    <row r="56" spans="1:25" x14ac:dyDescent="0.25">
      <c r="A56" t="s">
        <v>291</v>
      </c>
      <c r="B56" t="str">
        <f t="shared" si="1"/>
        <v>Johari Kassianpaulo Mabura</v>
      </c>
      <c r="C56">
        <v>111911</v>
      </c>
      <c r="D56" t="str">
        <f t="shared" si="0"/>
        <v>Unique</v>
      </c>
      <c r="E56" t="s">
        <v>18</v>
      </c>
      <c r="F56" s="3">
        <f t="shared" si="2"/>
        <v>1</v>
      </c>
      <c r="G56" t="s">
        <v>32</v>
      </c>
      <c r="H56" t="str">
        <f t="shared" si="3"/>
        <v>Valid</v>
      </c>
      <c r="I56" t="s">
        <v>33</v>
      </c>
      <c r="J56" t="str">
        <f t="shared" si="4"/>
        <v>Kigoma Ujiji Mc</v>
      </c>
      <c r="K56" t="s">
        <v>109</v>
      </c>
      <c r="L56" t="str" cm="1">
        <f t="array" ref="L56">_xlfn.IFS(
ISNUMBER(SEARCH("ICU",K56)), "ICU",
ISNUMBER(SEARCH("NEONATAL",K56)), PROPER("NEONATAL"),
ISNUMBER(SEARCH("LABOUR",K56)), PROPER("LABOUR"),
ISNUMBER(SEARCH("PAEDIATRIC",K56)), PROPER("PAEDIATRIC"),
ISNUMBER(SEARCH("FEMALE SURGICAL",K56)), PROPER("FEMALE SURG, ORTHO &amp; GYN"),
ISNUMBER(SEARCH("PSYCHIATRIST",K56)), PROPER("PSYCHIATRIST"),
ISNUMBER(SEARCH("GRADE 1",K56)), PROPER("GRADE 1"),
ISNUMBER(SEARCH("MALE SURGICAL",K56)), PROPER("MALE SURG &amp; ORTHOPEDIC"),
ISNUMBER(SEARCH("MALE MEDICAL",K56)), PROPER("MALE MEDICAL"),
ISNUMBER(SEARCH("GRADE 2",K56)), PROPER("GRADE 2"),
ISNUMBER(SEARCH("FEMALE WARD",K56)), PROPER("FEMALE MEDICAL"),
TRUE, "Unmapped: " &amp; K56)</f>
        <v>Paediatric</v>
      </c>
      <c r="M56" t="s">
        <v>292</v>
      </c>
      <c r="O56" t="s">
        <v>293</v>
      </c>
      <c r="P56" t="str">
        <f t="shared" si="5"/>
        <v>Text Error</v>
      </c>
      <c r="Q56" s="5">
        <v>45858.026712962965</v>
      </c>
      <c r="R56" t="str">
        <f t="shared" si="6"/>
        <v>Valid Date</v>
      </c>
      <c r="S56" t="s">
        <v>294</v>
      </c>
      <c r="T56" s="5">
        <v>46035.493738425925</v>
      </c>
      <c r="U56">
        <v>177</v>
      </c>
      <c r="V56" t="str">
        <f t="shared" si="7"/>
        <v>OK</v>
      </c>
      <c r="W56" t="s">
        <v>25</v>
      </c>
      <c r="Y56" t="s">
        <v>30</v>
      </c>
    </row>
    <row r="57" spans="1:25" x14ac:dyDescent="0.25">
      <c r="A57" t="s">
        <v>295</v>
      </c>
      <c r="B57" t="str">
        <f t="shared" si="1"/>
        <v>Matrida Nelson Kamnyola</v>
      </c>
      <c r="C57">
        <v>81768</v>
      </c>
      <c r="D57" t="str">
        <f t="shared" si="0"/>
        <v>Unique</v>
      </c>
      <c r="E57" t="s">
        <v>296</v>
      </c>
      <c r="F57" s="3">
        <f t="shared" si="2"/>
        <v>26</v>
      </c>
      <c r="G57" t="s">
        <v>32</v>
      </c>
      <c r="H57" t="str">
        <f t="shared" si="3"/>
        <v>Valid</v>
      </c>
      <c r="I57" t="s">
        <v>33</v>
      </c>
      <c r="J57" t="str">
        <f t="shared" si="4"/>
        <v>Kigoma Ujiji Mc</v>
      </c>
      <c r="K57" t="s">
        <v>202</v>
      </c>
      <c r="L57" t="str" cm="1">
        <f t="array" ref="L57">_xlfn.IFS(
ISNUMBER(SEARCH("ICU",K57)), "ICU",
ISNUMBER(SEARCH("NEONATAL",K57)), PROPER("NEONATAL"),
ISNUMBER(SEARCH("LABOUR",K57)), PROPER("LABOUR"),
ISNUMBER(SEARCH("PAEDIATRIC",K57)), PROPER("PAEDIATRIC"),
ISNUMBER(SEARCH("FEMALE SURGICAL",K57)), PROPER("FEMALE SURG, ORTHO &amp; GYN"),
ISNUMBER(SEARCH("PSYCHIATRIST",K57)), PROPER("PSYCHIATRIST"),
ISNUMBER(SEARCH("GRADE 1",K57)), PROPER("GRADE 1"),
ISNUMBER(SEARCH("MALE SURGICAL",K57)), PROPER("MALE SURG &amp; ORTHOPEDIC"),
ISNUMBER(SEARCH("MALE MEDICAL",K57)), PROPER("MALE MEDICAL"),
ISNUMBER(SEARCH("GRADE 2",K57)), PROPER("GRADE 2"),
ISNUMBER(SEARCH("FEMALE WARD",K57)), PROPER("FEMALE MEDICAL"),
TRUE, "Unmapped: " &amp; K57)</f>
        <v>Psychiatrist</v>
      </c>
      <c r="M57" t="s">
        <v>22</v>
      </c>
      <c r="O57" t="s">
        <v>297</v>
      </c>
      <c r="P57" t="str">
        <f t="shared" si="5"/>
        <v>Text Error</v>
      </c>
      <c r="Q57" s="5">
        <v>45858.144155092596</v>
      </c>
      <c r="R57" t="str">
        <f t="shared" si="6"/>
        <v>Valid Date</v>
      </c>
      <c r="S57" t="s">
        <v>298</v>
      </c>
      <c r="T57" s="5">
        <v>46031.77884259259</v>
      </c>
      <c r="U57">
        <v>173</v>
      </c>
      <c r="V57" t="str">
        <f t="shared" si="7"/>
        <v>OK</v>
      </c>
      <c r="W57" t="s">
        <v>25</v>
      </c>
      <c r="Y57" t="s">
        <v>30</v>
      </c>
    </row>
    <row r="58" spans="1:25" x14ac:dyDescent="0.25">
      <c r="A58" t="s">
        <v>300</v>
      </c>
      <c r="B58" t="str">
        <f t="shared" si="1"/>
        <v>Hadija Juhudi Omary</v>
      </c>
      <c r="C58">
        <v>112186</v>
      </c>
      <c r="D58" t="str">
        <f t="shared" si="0"/>
        <v>Unique</v>
      </c>
      <c r="E58" t="s">
        <v>301</v>
      </c>
      <c r="F58" s="3">
        <f t="shared" si="2"/>
        <v>16</v>
      </c>
      <c r="G58" t="s">
        <v>32</v>
      </c>
      <c r="H58" t="str">
        <f t="shared" si="3"/>
        <v>Valid</v>
      </c>
      <c r="I58" t="s">
        <v>33</v>
      </c>
      <c r="J58" t="str">
        <f t="shared" si="4"/>
        <v>Kigoma Ujiji Mc</v>
      </c>
      <c r="K58" t="s">
        <v>123</v>
      </c>
      <c r="L58" t="str" cm="1">
        <f t="array" ref="L58">_xlfn.IFS(
ISNUMBER(SEARCH("ICU",K58)), "ICU",
ISNUMBER(SEARCH("NEONATAL",K58)), PROPER("NEONATAL"),
ISNUMBER(SEARCH("LABOUR",K58)), PROPER("LABOUR"),
ISNUMBER(SEARCH("PAEDIATRIC",K58)), PROPER("PAEDIATRIC"),
ISNUMBER(SEARCH("FEMALE SURGICAL",K58)), PROPER("FEMALE SURG, ORTHO &amp; GYN"),
ISNUMBER(SEARCH("PSYCHIATRIST",K58)), PROPER("PSYCHIATRIST"),
ISNUMBER(SEARCH("GRADE 1",K58)), PROPER("GRADE 1"),
ISNUMBER(SEARCH("MALE SURGICAL",K58)), PROPER("MALE SURG &amp; ORTHOPEDIC"),
ISNUMBER(SEARCH("MALE MEDICAL",K58)), PROPER("MALE MEDICAL"),
ISNUMBER(SEARCH("GRADE 2",K58)), PROPER("GRADE 2"),
ISNUMBER(SEARCH("FEMALE WARD",K58)), PROPER("FEMALE MEDICAL"),
TRUE, "Unmapped: " &amp; K58)</f>
        <v>Female Surg, Ortho &amp; Gyn</v>
      </c>
      <c r="M58" t="s">
        <v>22</v>
      </c>
      <c r="O58" t="s">
        <v>302</v>
      </c>
      <c r="P58" t="str">
        <f t="shared" si="5"/>
        <v>Text Error</v>
      </c>
      <c r="Q58" s="5">
        <v>45861.060543981483</v>
      </c>
      <c r="R58" t="str">
        <f t="shared" si="6"/>
        <v>Valid Date</v>
      </c>
      <c r="S58" t="s">
        <v>303</v>
      </c>
      <c r="T58" s="5">
        <v>46031.807916666665</v>
      </c>
      <c r="U58">
        <v>170</v>
      </c>
      <c r="V58" t="str">
        <f t="shared" si="7"/>
        <v>OK</v>
      </c>
      <c r="W58" t="s">
        <v>25</v>
      </c>
      <c r="Y58" t="s">
        <v>30</v>
      </c>
    </row>
    <row r="59" spans="1:25" x14ac:dyDescent="0.25">
      <c r="A59" t="s">
        <v>305</v>
      </c>
      <c r="B59" t="str">
        <f t="shared" si="1"/>
        <v>Babyof Buke Mayege</v>
      </c>
      <c r="C59">
        <v>112578</v>
      </c>
      <c r="D59" t="str">
        <f t="shared" si="0"/>
        <v>Unique</v>
      </c>
      <c r="E59" t="s">
        <v>273</v>
      </c>
      <c r="F59" s="3" t="str">
        <f t="shared" si="2"/>
        <v>8/12</v>
      </c>
      <c r="G59" t="s">
        <v>32</v>
      </c>
      <c r="H59" t="str">
        <f t="shared" si="3"/>
        <v>Valid</v>
      </c>
      <c r="I59" t="s">
        <v>20</v>
      </c>
      <c r="J59" t="str">
        <f t="shared" si="4"/>
        <v>Uvinza</v>
      </c>
      <c r="K59" t="s">
        <v>21</v>
      </c>
      <c r="L59" t="str" cm="1">
        <f t="array" ref="L59">_xlfn.IFS(
ISNUMBER(SEARCH("ICU",K59)), "ICU",
ISNUMBER(SEARCH("NEONATAL",K59)), PROPER("NEONATAL"),
ISNUMBER(SEARCH("LABOUR",K59)), PROPER("LABOUR"),
ISNUMBER(SEARCH("PAEDIATRIC",K59)), PROPER("PAEDIATRIC"),
ISNUMBER(SEARCH("FEMALE SURGICAL",K59)), PROPER("FEMALE SURG, ORTHO &amp; GYN"),
ISNUMBER(SEARCH("PSYCHIATRIST",K59)), PROPER("PSYCHIATRIST"),
ISNUMBER(SEARCH("GRADE 1",K59)), PROPER("GRADE 1"),
ISNUMBER(SEARCH("MALE SURGICAL",K59)), PROPER("MALE SURG &amp; ORTHOPEDIC"),
ISNUMBER(SEARCH("MALE MEDICAL",K59)), PROPER("MALE MEDICAL"),
ISNUMBER(SEARCH("GRADE 2",K59)), PROPER("GRADE 2"),
ISNUMBER(SEARCH("FEMALE WARD",K59)), PROPER("FEMALE MEDICAL"),
TRUE, "Unmapped: " &amp; K59)</f>
        <v>Neonatal</v>
      </c>
      <c r="M59" t="s">
        <v>22</v>
      </c>
      <c r="O59" t="s">
        <v>306</v>
      </c>
      <c r="P59" t="str">
        <f t="shared" si="5"/>
        <v>Text Error</v>
      </c>
      <c r="Q59" s="5">
        <v>45865.635231481479</v>
      </c>
      <c r="R59" t="str">
        <f t="shared" si="6"/>
        <v>Valid Date</v>
      </c>
      <c r="S59" t="s">
        <v>307</v>
      </c>
      <c r="T59" s="5">
        <v>46031.791134259256</v>
      </c>
      <c r="U59">
        <v>166</v>
      </c>
      <c r="V59" t="str">
        <f t="shared" si="7"/>
        <v>OK</v>
      </c>
      <c r="W59" t="s">
        <v>211</v>
      </c>
      <c r="Y59" t="s">
        <v>30</v>
      </c>
    </row>
    <row r="60" spans="1:25" x14ac:dyDescent="0.25">
      <c r="A60" t="s">
        <v>309</v>
      </c>
      <c r="B60" t="str">
        <f t="shared" si="1"/>
        <v>Magdalena Makere Lukila</v>
      </c>
      <c r="C60">
        <v>105483</v>
      </c>
      <c r="D60" t="str">
        <f t="shared" si="0"/>
        <v>Unique</v>
      </c>
      <c r="E60" t="s">
        <v>310</v>
      </c>
      <c r="F60" s="3">
        <f t="shared" si="2"/>
        <v>90</v>
      </c>
      <c r="G60" t="s">
        <v>32</v>
      </c>
      <c r="H60" t="str">
        <f t="shared" si="3"/>
        <v>Valid</v>
      </c>
      <c r="I60" t="s">
        <v>260</v>
      </c>
      <c r="J60" t="str">
        <f t="shared" si="4"/>
        <v>Kasulu</v>
      </c>
      <c r="K60" t="s">
        <v>123</v>
      </c>
      <c r="L60" t="str" cm="1">
        <f t="array" ref="L60">_xlfn.IFS(
ISNUMBER(SEARCH("ICU",K60)), "ICU",
ISNUMBER(SEARCH("NEONATAL",K60)), PROPER("NEONATAL"),
ISNUMBER(SEARCH("LABOUR",K60)), PROPER("LABOUR"),
ISNUMBER(SEARCH("PAEDIATRIC",K60)), PROPER("PAEDIATRIC"),
ISNUMBER(SEARCH("FEMALE SURGICAL",K60)), PROPER("FEMALE SURG, ORTHO &amp; GYN"),
ISNUMBER(SEARCH("PSYCHIATRIST",K60)), PROPER("PSYCHIATRIST"),
ISNUMBER(SEARCH("GRADE 1",K60)), PROPER("GRADE 1"),
ISNUMBER(SEARCH("MALE SURGICAL",K60)), PROPER("MALE SURG &amp; ORTHOPEDIC"),
ISNUMBER(SEARCH("MALE MEDICAL",K60)), PROPER("MALE MEDICAL"),
ISNUMBER(SEARCH("GRADE 2",K60)), PROPER("GRADE 2"),
ISNUMBER(SEARCH("FEMALE WARD",K60)), PROPER("FEMALE MEDICAL"),
TRUE, "Unmapped: " &amp; K60)</f>
        <v>Female Surg, Ortho &amp; Gyn</v>
      </c>
      <c r="M60" t="s">
        <v>22</v>
      </c>
      <c r="O60" t="s">
        <v>311</v>
      </c>
      <c r="P60" t="str">
        <f t="shared" si="5"/>
        <v>Text Error</v>
      </c>
      <c r="Q60" s="5">
        <v>45866.555162037039</v>
      </c>
      <c r="R60" t="str">
        <f t="shared" si="6"/>
        <v>Valid Date</v>
      </c>
      <c r="S60" t="s">
        <v>312</v>
      </c>
      <c r="T60" s="5">
        <v>46031.808842592596</v>
      </c>
      <c r="U60">
        <v>165</v>
      </c>
      <c r="V60" t="str">
        <f t="shared" si="7"/>
        <v>OK</v>
      </c>
      <c r="W60" t="s">
        <v>25</v>
      </c>
      <c r="Y60" t="s">
        <v>30</v>
      </c>
    </row>
    <row r="61" spans="1:25" x14ac:dyDescent="0.25">
      <c r="A61" t="s">
        <v>314</v>
      </c>
      <c r="B61" t="str">
        <f t="shared" si="1"/>
        <v>Raphael Aloyce Luvandi</v>
      </c>
      <c r="C61">
        <v>98561</v>
      </c>
      <c r="D61" t="str">
        <f t="shared" si="0"/>
        <v>Unique</v>
      </c>
      <c r="E61" t="s">
        <v>315</v>
      </c>
      <c r="F61" s="3">
        <f t="shared" si="2"/>
        <v>31</v>
      </c>
      <c r="G61" t="s">
        <v>19</v>
      </c>
      <c r="H61" t="str">
        <f t="shared" si="3"/>
        <v>Valid</v>
      </c>
      <c r="I61" t="s">
        <v>33</v>
      </c>
      <c r="J61" t="str">
        <f t="shared" si="4"/>
        <v>Kigoma Ujiji Mc</v>
      </c>
      <c r="K61" t="s">
        <v>202</v>
      </c>
      <c r="L61" t="str" cm="1">
        <f t="array" ref="L61">_xlfn.IFS(
ISNUMBER(SEARCH("ICU",K61)), "ICU",
ISNUMBER(SEARCH("NEONATAL",K61)), PROPER("NEONATAL"),
ISNUMBER(SEARCH("LABOUR",K61)), PROPER("LABOUR"),
ISNUMBER(SEARCH("PAEDIATRIC",K61)), PROPER("PAEDIATRIC"),
ISNUMBER(SEARCH("FEMALE SURGICAL",K61)), PROPER("FEMALE SURG, ORTHO &amp; GYN"),
ISNUMBER(SEARCH("PSYCHIATRIST",K61)), PROPER("PSYCHIATRIST"),
ISNUMBER(SEARCH("GRADE 1",K61)), PROPER("GRADE 1"),
ISNUMBER(SEARCH("MALE SURGICAL",K61)), PROPER("MALE SURG &amp; ORTHOPEDIC"),
ISNUMBER(SEARCH("MALE MEDICAL",K61)), PROPER("MALE MEDICAL"),
ISNUMBER(SEARCH("GRADE 2",K61)), PROPER("GRADE 2"),
ISNUMBER(SEARCH("FEMALE WARD",K61)), PROPER("FEMALE MEDICAL"),
TRUE, "Unmapped: " &amp; K61)</f>
        <v>Psychiatrist</v>
      </c>
      <c r="M61" t="s">
        <v>22</v>
      </c>
      <c r="O61" t="s">
        <v>316</v>
      </c>
      <c r="P61" t="str">
        <f t="shared" si="5"/>
        <v>Text Error</v>
      </c>
      <c r="Q61" s="5">
        <v>45874.45385416667</v>
      </c>
      <c r="R61" t="str">
        <f t="shared" si="6"/>
        <v>Valid Date</v>
      </c>
      <c r="S61" t="s">
        <v>317</v>
      </c>
      <c r="T61" s="5">
        <v>46031.778310185182</v>
      </c>
      <c r="U61">
        <v>157</v>
      </c>
      <c r="V61" t="str">
        <f t="shared" si="7"/>
        <v>OK</v>
      </c>
      <c r="W61" t="s">
        <v>65</v>
      </c>
      <c r="Y61" t="s">
        <v>30</v>
      </c>
    </row>
    <row r="62" spans="1:25" x14ac:dyDescent="0.25">
      <c r="A62" t="s">
        <v>320</v>
      </c>
      <c r="B62" t="str">
        <f t="shared" si="1"/>
        <v>Elizabeth Mathias Hungukila</v>
      </c>
      <c r="C62">
        <v>113372</v>
      </c>
      <c r="D62" t="str">
        <f t="shared" si="0"/>
        <v>Unique</v>
      </c>
      <c r="E62" t="s">
        <v>68</v>
      </c>
      <c r="F62" s="3">
        <f t="shared" si="2"/>
        <v>32</v>
      </c>
      <c r="G62" t="s">
        <v>32</v>
      </c>
      <c r="H62" t="str">
        <f t="shared" si="3"/>
        <v>Valid</v>
      </c>
      <c r="I62" t="s">
        <v>20</v>
      </c>
      <c r="J62" t="str">
        <f t="shared" si="4"/>
        <v>Uvinza</v>
      </c>
      <c r="K62" t="s">
        <v>123</v>
      </c>
      <c r="L62" t="str" cm="1">
        <f t="array" ref="L62">_xlfn.IFS(
ISNUMBER(SEARCH("ICU",K62)), "ICU",
ISNUMBER(SEARCH("NEONATAL",K62)), PROPER("NEONATAL"),
ISNUMBER(SEARCH("LABOUR",K62)), PROPER("LABOUR"),
ISNUMBER(SEARCH("PAEDIATRIC",K62)), PROPER("PAEDIATRIC"),
ISNUMBER(SEARCH("FEMALE SURGICAL",K62)), PROPER("FEMALE SURG, ORTHO &amp; GYN"),
ISNUMBER(SEARCH("PSYCHIATRIST",K62)), PROPER("PSYCHIATRIST"),
ISNUMBER(SEARCH("GRADE 1",K62)), PROPER("GRADE 1"),
ISNUMBER(SEARCH("MALE SURGICAL",K62)), PROPER("MALE SURG &amp; ORTHOPEDIC"),
ISNUMBER(SEARCH("MALE MEDICAL",K62)), PROPER("MALE MEDICAL"),
ISNUMBER(SEARCH("GRADE 2",K62)), PROPER("GRADE 2"),
ISNUMBER(SEARCH("FEMALE WARD",K62)), PROPER("FEMALE MEDICAL"),
TRUE, "Unmapped: " &amp; K62)</f>
        <v>Female Surg, Ortho &amp; Gyn</v>
      </c>
      <c r="M62" t="s">
        <v>22</v>
      </c>
      <c r="O62" t="s">
        <v>321</v>
      </c>
      <c r="P62" t="str">
        <f t="shared" si="5"/>
        <v>Text Error</v>
      </c>
      <c r="Q62" s="5">
        <v>45874.876307870371</v>
      </c>
      <c r="R62" t="str">
        <f t="shared" si="6"/>
        <v>Valid Date</v>
      </c>
      <c r="S62" t="s">
        <v>322</v>
      </c>
      <c r="T62" s="5">
        <v>46031.809236111112</v>
      </c>
      <c r="U62">
        <v>156</v>
      </c>
      <c r="V62" t="str">
        <f t="shared" si="7"/>
        <v>OK</v>
      </c>
      <c r="W62" t="s">
        <v>25</v>
      </c>
      <c r="Y62" t="s">
        <v>30</v>
      </c>
    </row>
    <row r="63" spans="1:25" x14ac:dyDescent="0.25">
      <c r="A63" t="s">
        <v>324</v>
      </c>
      <c r="B63" t="str">
        <f t="shared" si="1"/>
        <v>Riziki Kabika Abedi</v>
      </c>
      <c r="C63">
        <v>110186</v>
      </c>
      <c r="D63" t="str">
        <f t="shared" si="0"/>
        <v>Unique</v>
      </c>
      <c r="E63" t="s">
        <v>122</v>
      </c>
      <c r="F63" s="3">
        <f t="shared" si="2"/>
        <v>40</v>
      </c>
      <c r="G63" t="s">
        <v>32</v>
      </c>
      <c r="H63" t="str">
        <f t="shared" si="3"/>
        <v>Valid</v>
      </c>
      <c r="I63" t="s">
        <v>33</v>
      </c>
      <c r="J63" t="str">
        <f t="shared" si="4"/>
        <v>Kigoma Ujiji Mc</v>
      </c>
      <c r="K63" t="s">
        <v>123</v>
      </c>
      <c r="L63" t="str" cm="1">
        <f t="array" ref="L63">_xlfn.IFS(
ISNUMBER(SEARCH("ICU",K63)), "ICU",
ISNUMBER(SEARCH("NEONATAL",K63)), PROPER("NEONATAL"),
ISNUMBER(SEARCH("LABOUR",K63)), PROPER("LABOUR"),
ISNUMBER(SEARCH("PAEDIATRIC",K63)), PROPER("PAEDIATRIC"),
ISNUMBER(SEARCH("FEMALE SURGICAL",K63)), PROPER("FEMALE SURG, ORTHO &amp; GYN"),
ISNUMBER(SEARCH("PSYCHIATRIST",K63)), PROPER("PSYCHIATRIST"),
ISNUMBER(SEARCH("GRADE 1",K63)), PROPER("GRADE 1"),
ISNUMBER(SEARCH("MALE SURGICAL",K63)), PROPER("MALE SURG &amp; ORTHOPEDIC"),
ISNUMBER(SEARCH("MALE MEDICAL",K63)), PROPER("MALE MEDICAL"),
ISNUMBER(SEARCH("GRADE 2",K63)), PROPER("GRADE 2"),
ISNUMBER(SEARCH("FEMALE WARD",K63)), PROPER("FEMALE MEDICAL"),
TRUE, "Unmapped: " &amp; K63)</f>
        <v>Female Surg, Ortho &amp; Gyn</v>
      </c>
      <c r="M63" t="s">
        <v>22</v>
      </c>
      <c r="O63" t="s">
        <v>325</v>
      </c>
      <c r="P63" t="str">
        <f t="shared" si="5"/>
        <v>Text Error</v>
      </c>
      <c r="Q63" s="5">
        <v>45876.502592592595</v>
      </c>
      <c r="R63" t="str">
        <f t="shared" si="6"/>
        <v>Valid Date</v>
      </c>
      <c r="S63" t="s">
        <v>326</v>
      </c>
      <c r="T63" s="5">
        <v>46031.809467592589</v>
      </c>
      <c r="U63">
        <v>155</v>
      </c>
      <c r="V63" t="str">
        <f t="shared" si="7"/>
        <v>OK</v>
      </c>
      <c r="W63" t="s">
        <v>25</v>
      </c>
      <c r="Y63" t="s">
        <v>30</v>
      </c>
    </row>
    <row r="64" spans="1:25" x14ac:dyDescent="0.25">
      <c r="A64" t="s">
        <v>328</v>
      </c>
      <c r="B64" t="str">
        <f t="shared" si="1"/>
        <v>Agness Charles Masale</v>
      </c>
      <c r="C64">
        <v>113671</v>
      </c>
      <c r="D64" t="str">
        <f t="shared" si="0"/>
        <v>Unique</v>
      </c>
      <c r="E64" t="s">
        <v>142</v>
      </c>
      <c r="F64" s="3">
        <f t="shared" si="2"/>
        <v>20</v>
      </c>
      <c r="G64" t="s">
        <v>32</v>
      </c>
      <c r="H64" t="str">
        <f t="shared" si="3"/>
        <v>Valid</v>
      </c>
      <c r="I64" t="s">
        <v>33</v>
      </c>
      <c r="J64" t="str">
        <f t="shared" si="4"/>
        <v>Kigoma Ujiji Mc</v>
      </c>
      <c r="K64" t="s">
        <v>123</v>
      </c>
      <c r="L64" t="str" cm="1">
        <f t="array" ref="L64">_xlfn.IFS(
ISNUMBER(SEARCH("ICU",K64)), "ICU",
ISNUMBER(SEARCH("NEONATAL",K64)), PROPER("NEONATAL"),
ISNUMBER(SEARCH("LABOUR",K64)), PROPER("LABOUR"),
ISNUMBER(SEARCH("PAEDIATRIC",K64)), PROPER("PAEDIATRIC"),
ISNUMBER(SEARCH("FEMALE SURGICAL",K64)), PROPER("FEMALE SURG, ORTHO &amp; GYN"),
ISNUMBER(SEARCH("PSYCHIATRIST",K64)), PROPER("PSYCHIATRIST"),
ISNUMBER(SEARCH("GRADE 1",K64)), PROPER("GRADE 1"),
ISNUMBER(SEARCH("MALE SURGICAL",K64)), PROPER("MALE SURG &amp; ORTHOPEDIC"),
ISNUMBER(SEARCH("MALE MEDICAL",K64)), PROPER("MALE MEDICAL"),
ISNUMBER(SEARCH("GRADE 2",K64)), PROPER("GRADE 2"),
ISNUMBER(SEARCH("FEMALE WARD",K64)), PROPER("FEMALE MEDICAL"),
TRUE, "Unmapped: " &amp; K64)</f>
        <v>Female Surg, Ortho &amp; Gyn</v>
      </c>
      <c r="M64" t="s">
        <v>22</v>
      </c>
      <c r="O64" t="s">
        <v>329</v>
      </c>
      <c r="P64" t="str">
        <f t="shared" si="5"/>
        <v>Text Error</v>
      </c>
      <c r="Q64" s="5">
        <v>45878.566342592596</v>
      </c>
      <c r="R64" t="str">
        <f t="shared" si="6"/>
        <v>Valid Date</v>
      </c>
      <c r="S64" t="s">
        <v>330</v>
      </c>
      <c r="T64" s="5">
        <v>46031.809872685182</v>
      </c>
      <c r="U64">
        <v>153</v>
      </c>
      <c r="V64" t="str">
        <f t="shared" si="7"/>
        <v>OK</v>
      </c>
      <c r="W64" t="s">
        <v>65</v>
      </c>
      <c r="Y64" t="s">
        <v>30</v>
      </c>
    </row>
    <row r="65" spans="1:25" x14ac:dyDescent="0.25">
      <c r="A65" t="s">
        <v>332</v>
      </c>
      <c r="B65" t="str">
        <f t="shared" si="1"/>
        <v>Elizabeth Adewatha Mukrim</v>
      </c>
      <c r="C65">
        <v>113708</v>
      </c>
      <c r="D65" t="str">
        <f t="shared" si="0"/>
        <v>Unique</v>
      </c>
      <c r="E65" t="s">
        <v>138</v>
      </c>
      <c r="F65" s="3">
        <f t="shared" si="2"/>
        <v>18</v>
      </c>
      <c r="G65" t="s">
        <v>32</v>
      </c>
      <c r="H65" t="str">
        <f t="shared" si="3"/>
        <v>Valid</v>
      </c>
      <c r="I65" t="s">
        <v>33</v>
      </c>
      <c r="J65" t="str">
        <f t="shared" si="4"/>
        <v>Kigoma Ujiji Mc</v>
      </c>
      <c r="K65" t="s">
        <v>40</v>
      </c>
      <c r="L65" t="str" cm="1">
        <f t="array" ref="L65">_xlfn.IFS(
ISNUMBER(SEARCH("ICU",K65)), "ICU",
ISNUMBER(SEARCH("NEONATAL",K65)), PROPER("NEONATAL"),
ISNUMBER(SEARCH("LABOUR",K65)), PROPER("LABOUR"),
ISNUMBER(SEARCH("PAEDIATRIC",K65)), PROPER("PAEDIATRIC"),
ISNUMBER(SEARCH("FEMALE SURGICAL",K65)), PROPER("FEMALE SURG, ORTHO &amp; GYN"),
ISNUMBER(SEARCH("PSYCHIATRIST",K65)), PROPER("PSYCHIATRIST"),
ISNUMBER(SEARCH("GRADE 1",K65)), PROPER("GRADE 1"),
ISNUMBER(SEARCH("MALE SURGICAL",K65)), PROPER("MALE SURG &amp; ORTHOPEDIC"),
ISNUMBER(SEARCH("MALE MEDICAL",K65)), PROPER("MALE MEDICAL"),
ISNUMBER(SEARCH("GRADE 2",K65)), PROPER("GRADE 2"),
ISNUMBER(SEARCH("FEMALE WARD",K65)), PROPER("FEMALE MEDICAL"),
TRUE, "Unmapped: " &amp; K65)</f>
        <v>Labour</v>
      </c>
      <c r="M65" t="s">
        <v>22</v>
      </c>
      <c r="O65" t="s">
        <v>333</v>
      </c>
      <c r="P65" t="str">
        <f t="shared" si="5"/>
        <v>Text Error</v>
      </c>
      <c r="Q65" s="5">
        <v>45879.073263888888</v>
      </c>
      <c r="R65" t="str">
        <f t="shared" si="6"/>
        <v>Valid Date</v>
      </c>
      <c r="S65" t="s">
        <v>334</v>
      </c>
      <c r="T65" s="5">
        <v>46031.721076388887</v>
      </c>
      <c r="U65">
        <v>152</v>
      </c>
      <c r="V65" t="str">
        <f t="shared" si="7"/>
        <v>OK</v>
      </c>
      <c r="W65" t="s">
        <v>25</v>
      </c>
      <c r="Y65" t="s">
        <v>30</v>
      </c>
    </row>
    <row r="66" spans="1:25" x14ac:dyDescent="0.25">
      <c r="A66" t="s">
        <v>335</v>
      </c>
      <c r="B66" t="str">
        <f t="shared" si="1"/>
        <v>Sauda Kassim Juma</v>
      </c>
      <c r="C66">
        <v>107641</v>
      </c>
      <c r="D66" t="str">
        <f t="shared" ref="D66:D129" si="8">IF(COUNTIF($C$2:$C$905,C66)&gt;1,"Duplicate","Unique")</f>
        <v>Unique</v>
      </c>
      <c r="E66" t="s">
        <v>285</v>
      </c>
      <c r="F66" s="3">
        <f t="shared" si="2"/>
        <v>38</v>
      </c>
      <c r="G66" t="s">
        <v>32</v>
      </c>
      <c r="H66" t="str">
        <f t="shared" si="3"/>
        <v>Valid</v>
      </c>
      <c r="I66" t="s">
        <v>33</v>
      </c>
      <c r="J66" t="str">
        <f t="shared" si="4"/>
        <v>Kigoma Ujiji Mc</v>
      </c>
      <c r="K66" t="s">
        <v>40</v>
      </c>
      <c r="L66" t="str" cm="1">
        <f t="array" ref="L66">_xlfn.IFS(
ISNUMBER(SEARCH("ICU",K66)), "ICU",
ISNUMBER(SEARCH("NEONATAL",K66)), PROPER("NEONATAL"),
ISNUMBER(SEARCH("LABOUR",K66)), PROPER("LABOUR"),
ISNUMBER(SEARCH("PAEDIATRIC",K66)), PROPER("PAEDIATRIC"),
ISNUMBER(SEARCH("FEMALE SURGICAL",K66)), PROPER("FEMALE SURG, ORTHO &amp; GYN"),
ISNUMBER(SEARCH("PSYCHIATRIST",K66)), PROPER("PSYCHIATRIST"),
ISNUMBER(SEARCH("GRADE 1",K66)), PROPER("GRADE 1"),
ISNUMBER(SEARCH("MALE SURGICAL",K66)), PROPER("MALE SURG &amp; ORTHOPEDIC"),
ISNUMBER(SEARCH("MALE MEDICAL",K66)), PROPER("MALE MEDICAL"),
ISNUMBER(SEARCH("GRADE 2",K66)), PROPER("GRADE 2"),
ISNUMBER(SEARCH("FEMALE WARD",K66)), PROPER("FEMALE MEDICAL"),
TRUE, "Unmapped: " &amp; K66)</f>
        <v>Labour</v>
      </c>
      <c r="M66" t="s">
        <v>22</v>
      </c>
      <c r="O66" t="s">
        <v>336</v>
      </c>
      <c r="P66" t="str">
        <f t="shared" si="5"/>
        <v>Text Error</v>
      </c>
      <c r="Q66" s="5">
        <v>45879.776446759257</v>
      </c>
      <c r="R66" t="str">
        <f t="shared" si="6"/>
        <v>Valid Date</v>
      </c>
      <c r="S66" t="s">
        <v>337</v>
      </c>
      <c r="T66" s="5">
        <v>46031.719305555554</v>
      </c>
      <c r="U66">
        <v>151</v>
      </c>
      <c r="V66" t="str">
        <f t="shared" si="7"/>
        <v>OK</v>
      </c>
      <c r="W66" t="s">
        <v>25</v>
      </c>
      <c r="Y66" t="s">
        <v>30</v>
      </c>
    </row>
    <row r="67" spans="1:25" x14ac:dyDescent="0.25">
      <c r="A67" t="s">
        <v>338</v>
      </c>
      <c r="B67" t="str">
        <f t="shared" ref="B67:B130" si="9">IF(LEN(TRIM(A67))-LEN(SUBSTITUTE(TRIM(A67)," ",""))&gt;=1,TRIM(A67),"⚠ Only 1 name: "&amp;TRIM(A67))</f>
        <v>Annastazia Salvatory Salvatory</v>
      </c>
      <c r="C67">
        <v>114325</v>
      </c>
      <c r="D67" t="str">
        <f t="shared" si="8"/>
        <v>Unique</v>
      </c>
      <c r="E67" t="s">
        <v>80</v>
      </c>
      <c r="F67" s="3">
        <f t="shared" ref="F67:F130" si="10">IF(ISNUMBER(SEARCH("month",E67)), LEFT(E67,FIND(" ",E67)-1)&amp;"/12", VALUE(LEFT(E67,FIND(" ",E67)-1)))</f>
        <v>24</v>
      </c>
      <c r="G67" t="s">
        <v>32</v>
      </c>
      <c r="H67" t="str">
        <f t="shared" ref="H67:H130" si="11">IF(OR(TRIM(G67)="Male", TRIM(G67)="Female"), "Valid", "Inconsistent")</f>
        <v>Valid</v>
      </c>
      <c r="I67" t="s">
        <v>20</v>
      </c>
      <c r="J67" t="str">
        <f t="shared" ref="J67:J130" si="12">SUBSTITUTE(SUBSTITUTE(TRIM(CLEAN(I67)),"Manisipaa ya kigoma ujiji","Kigoma Ujiji Mc"),"Buhingwe","Buhigwe")</f>
        <v>Uvinza</v>
      </c>
      <c r="K67" t="s">
        <v>123</v>
      </c>
      <c r="L67" t="str" cm="1">
        <f t="array" ref="L67">_xlfn.IFS(
ISNUMBER(SEARCH("ICU",K67)), "ICU",
ISNUMBER(SEARCH("NEONATAL",K67)), PROPER("NEONATAL"),
ISNUMBER(SEARCH("LABOUR",K67)), PROPER("LABOUR"),
ISNUMBER(SEARCH("PAEDIATRIC",K67)), PROPER("PAEDIATRIC"),
ISNUMBER(SEARCH("FEMALE SURGICAL",K67)), PROPER("FEMALE SURG, ORTHO &amp; GYN"),
ISNUMBER(SEARCH("PSYCHIATRIST",K67)), PROPER("PSYCHIATRIST"),
ISNUMBER(SEARCH("GRADE 1",K67)), PROPER("GRADE 1"),
ISNUMBER(SEARCH("MALE SURGICAL",K67)), PROPER("MALE SURG &amp; ORTHOPEDIC"),
ISNUMBER(SEARCH("MALE MEDICAL",K67)), PROPER("MALE MEDICAL"),
ISNUMBER(SEARCH("GRADE 2",K67)), PROPER("GRADE 2"),
ISNUMBER(SEARCH("FEMALE WARD",K67)), PROPER("FEMALE MEDICAL"),
TRUE, "Unmapped: " &amp; K67)</f>
        <v>Female Surg, Ortho &amp; Gyn</v>
      </c>
      <c r="M67" t="s">
        <v>22</v>
      </c>
      <c r="O67" t="s">
        <v>339</v>
      </c>
      <c r="P67" t="str">
        <f t="shared" ref="P67:P130" si="13">IF(ISNUMBER(O67), "Valid Date", "Text Error")</f>
        <v>Text Error</v>
      </c>
      <c r="Q67" s="5">
        <v>45886.68917824074</v>
      </c>
      <c r="R67" t="str">
        <f t="shared" ref="R67:R130" si="14">IF(ISNUMBER(Q67), "Valid Date", "Text Error")</f>
        <v>Valid Date</v>
      </c>
      <c r="S67" t="s">
        <v>340</v>
      </c>
      <c r="T67" s="5">
        <v>46031.810347222221</v>
      </c>
      <c r="U67">
        <v>145</v>
      </c>
      <c r="V67" t="str">
        <f t="shared" ref="V67:V130" si="15">IF(NOT(ISNUMBER(U67)), "Text Error", IF(U67&lt;0, "Negative", "OK"))</f>
        <v>OK</v>
      </c>
      <c r="W67" t="s">
        <v>25</v>
      </c>
      <c r="Y67" t="s">
        <v>30</v>
      </c>
    </row>
    <row r="68" spans="1:25" x14ac:dyDescent="0.25">
      <c r="A68" t="s">
        <v>342</v>
      </c>
      <c r="B68" t="str">
        <f t="shared" si="9"/>
        <v>Babyof Pndo James Emmanuel</v>
      </c>
      <c r="C68">
        <v>114802</v>
      </c>
      <c r="D68" t="str">
        <f t="shared" si="8"/>
        <v>Unique</v>
      </c>
      <c r="E68" t="s">
        <v>343</v>
      </c>
      <c r="F68" s="3" t="str">
        <f t="shared" si="10"/>
        <v>7/12</v>
      </c>
      <c r="G68" t="s">
        <v>32</v>
      </c>
      <c r="H68" t="str">
        <f t="shared" si="11"/>
        <v>Valid</v>
      </c>
      <c r="I68" t="s">
        <v>33</v>
      </c>
      <c r="J68" t="str">
        <f t="shared" si="12"/>
        <v>Kigoma Ujiji Mc</v>
      </c>
      <c r="K68" t="s">
        <v>21</v>
      </c>
      <c r="L68" t="str" cm="1">
        <f t="array" ref="L68">_xlfn.IFS(
ISNUMBER(SEARCH("ICU",K68)), "ICU",
ISNUMBER(SEARCH("NEONATAL",K68)), PROPER("NEONATAL"),
ISNUMBER(SEARCH("LABOUR",K68)), PROPER("LABOUR"),
ISNUMBER(SEARCH("PAEDIATRIC",K68)), PROPER("PAEDIATRIC"),
ISNUMBER(SEARCH("FEMALE SURGICAL",K68)), PROPER("FEMALE SURG, ORTHO &amp; GYN"),
ISNUMBER(SEARCH("PSYCHIATRIST",K68)), PROPER("PSYCHIATRIST"),
ISNUMBER(SEARCH("GRADE 1",K68)), PROPER("GRADE 1"),
ISNUMBER(SEARCH("MALE SURGICAL",K68)), PROPER("MALE SURG &amp; ORTHOPEDIC"),
ISNUMBER(SEARCH("MALE MEDICAL",K68)), PROPER("MALE MEDICAL"),
ISNUMBER(SEARCH("GRADE 2",K68)), PROPER("GRADE 2"),
ISNUMBER(SEARCH("FEMALE WARD",K68)), PROPER("FEMALE MEDICAL"),
TRUE, "Unmapped: " &amp; K68)</f>
        <v>Neonatal</v>
      </c>
      <c r="M68" t="s">
        <v>22</v>
      </c>
      <c r="O68" t="s">
        <v>344</v>
      </c>
      <c r="P68" t="str">
        <f t="shared" si="13"/>
        <v>Text Error</v>
      </c>
      <c r="Q68" s="5">
        <v>45891.197233796294</v>
      </c>
      <c r="R68" t="str">
        <f t="shared" si="14"/>
        <v>Valid Date</v>
      </c>
      <c r="S68" t="s">
        <v>345</v>
      </c>
      <c r="T68" s="5">
        <v>46031.791620370372</v>
      </c>
      <c r="U68">
        <v>140</v>
      </c>
      <c r="V68" t="str">
        <f t="shared" si="15"/>
        <v>OK</v>
      </c>
      <c r="W68" t="s">
        <v>25</v>
      </c>
      <c r="Y68" t="s">
        <v>30</v>
      </c>
    </row>
    <row r="69" spans="1:25" x14ac:dyDescent="0.25">
      <c r="A69" t="s">
        <v>347</v>
      </c>
      <c r="B69" t="str">
        <f t="shared" si="9"/>
        <v>Baby Of Irine Emmanuel Kulwa</v>
      </c>
      <c r="C69">
        <v>115413</v>
      </c>
      <c r="D69" t="str">
        <f t="shared" si="8"/>
        <v>Unique</v>
      </c>
      <c r="E69" t="s">
        <v>348</v>
      </c>
      <c r="F69" s="3" t="str">
        <f t="shared" si="10"/>
        <v>6/12</v>
      </c>
      <c r="G69" t="s">
        <v>32</v>
      </c>
      <c r="H69" t="str">
        <f t="shared" si="11"/>
        <v>Valid</v>
      </c>
      <c r="I69" t="s">
        <v>62</v>
      </c>
      <c r="J69" t="str">
        <f t="shared" si="12"/>
        <v>Kigoma Vijijini</v>
      </c>
      <c r="K69" t="s">
        <v>21</v>
      </c>
      <c r="L69" t="str" cm="1">
        <f t="array" ref="L69">_xlfn.IFS(
ISNUMBER(SEARCH("ICU",K69)), "ICU",
ISNUMBER(SEARCH("NEONATAL",K69)), PROPER("NEONATAL"),
ISNUMBER(SEARCH("LABOUR",K69)), PROPER("LABOUR"),
ISNUMBER(SEARCH("PAEDIATRIC",K69)), PROPER("PAEDIATRIC"),
ISNUMBER(SEARCH("FEMALE SURGICAL",K69)), PROPER("FEMALE SURG, ORTHO &amp; GYN"),
ISNUMBER(SEARCH("PSYCHIATRIST",K69)), PROPER("PSYCHIATRIST"),
ISNUMBER(SEARCH("GRADE 1",K69)), PROPER("GRADE 1"),
ISNUMBER(SEARCH("MALE SURGICAL",K69)), PROPER("MALE SURG &amp; ORTHOPEDIC"),
ISNUMBER(SEARCH("MALE MEDICAL",K69)), PROPER("MALE MEDICAL"),
ISNUMBER(SEARCH("GRADE 2",K69)), PROPER("GRADE 2"),
ISNUMBER(SEARCH("FEMALE WARD",K69)), PROPER("FEMALE MEDICAL"),
TRUE, "Unmapped: " &amp; K69)</f>
        <v>Neonatal</v>
      </c>
      <c r="M69" t="s">
        <v>22</v>
      </c>
      <c r="O69" t="s">
        <v>349</v>
      </c>
      <c r="P69" t="str">
        <f t="shared" si="13"/>
        <v>Text Error</v>
      </c>
      <c r="Q69" s="5">
        <v>45897.677222222221</v>
      </c>
      <c r="R69" t="str">
        <f t="shared" si="14"/>
        <v>Valid Date</v>
      </c>
      <c r="S69" t="s">
        <v>350</v>
      </c>
      <c r="T69" s="5">
        <v>46031.792037037034</v>
      </c>
      <c r="U69">
        <v>134</v>
      </c>
      <c r="V69" t="str">
        <f t="shared" si="15"/>
        <v>OK</v>
      </c>
      <c r="W69" t="s">
        <v>25</v>
      </c>
      <c r="Y69" t="s">
        <v>30</v>
      </c>
    </row>
    <row r="70" spans="1:25" x14ac:dyDescent="0.25">
      <c r="A70" t="s">
        <v>352</v>
      </c>
      <c r="B70" t="str">
        <f t="shared" si="9"/>
        <v>Hussein Bisu Hussein</v>
      </c>
      <c r="C70">
        <v>115664</v>
      </c>
      <c r="D70" t="str">
        <f t="shared" si="8"/>
        <v>Unique</v>
      </c>
      <c r="E70" t="s">
        <v>353</v>
      </c>
      <c r="F70" s="3">
        <f t="shared" si="10"/>
        <v>4</v>
      </c>
      <c r="G70" t="s">
        <v>19</v>
      </c>
      <c r="H70" t="str">
        <f t="shared" si="11"/>
        <v>Valid</v>
      </c>
      <c r="I70" t="s">
        <v>62</v>
      </c>
      <c r="J70" t="str">
        <f t="shared" si="12"/>
        <v>Kigoma Vijijini</v>
      </c>
      <c r="K70" t="s">
        <v>109</v>
      </c>
      <c r="L70" t="str" cm="1">
        <f t="array" ref="L70">_xlfn.IFS(
ISNUMBER(SEARCH("ICU",K70)), "ICU",
ISNUMBER(SEARCH("NEONATAL",K70)), PROPER("NEONATAL"),
ISNUMBER(SEARCH("LABOUR",K70)), PROPER("LABOUR"),
ISNUMBER(SEARCH("PAEDIATRIC",K70)), PROPER("PAEDIATRIC"),
ISNUMBER(SEARCH("FEMALE SURGICAL",K70)), PROPER("FEMALE SURG, ORTHO &amp; GYN"),
ISNUMBER(SEARCH("PSYCHIATRIST",K70)), PROPER("PSYCHIATRIST"),
ISNUMBER(SEARCH("GRADE 1",K70)), PROPER("GRADE 1"),
ISNUMBER(SEARCH("MALE SURGICAL",K70)), PROPER("MALE SURG &amp; ORTHOPEDIC"),
ISNUMBER(SEARCH("MALE MEDICAL",K70)), PROPER("MALE MEDICAL"),
ISNUMBER(SEARCH("GRADE 2",K70)), PROPER("GRADE 2"),
ISNUMBER(SEARCH("FEMALE WARD",K70)), PROPER("FEMALE MEDICAL"),
TRUE, "Unmapped: " &amp; K70)</f>
        <v>Paediatric</v>
      </c>
      <c r="M70" t="s">
        <v>22</v>
      </c>
      <c r="O70" t="s">
        <v>354</v>
      </c>
      <c r="P70" t="str">
        <f t="shared" si="13"/>
        <v>Text Error</v>
      </c>
      <c r="Q70" s="5">
        <v>45901.496423611112</v>
      </c>
      <c r="R70" t="str">
        <f t="shared" si="14"/>
        <v>Valid Date</v>
      </c>
      <c r="S70" t="s">
        <v>355</v>
      </c>
      <c r="T70" s="5">
        <v>46035.493437500001</v>
      </c>
      <c r="U70">
        <v>133</v>
      </c>
      <c r="V70" t="str">
        <f t="shared" si="15"/>
        <v>OK</v>
      </c>
      <c r="W70" t="s">
        <v>65</v>
      </c>
      <c r="Y70" t="s">
        <v>30</v>
      </c>
    </row>
    <row r="71" spans="1:25" x14ac:dyDescent="0.25">
      <c r="A71" t="s">
        <v>357</v>
      </c>
      <c r="B71" t="str">
        <f t="shared" si="9"/>
        <v>First Babyof Aisha Issa Hussein</v>
      </c>
      <c r="C71">
        <v>115579</v>
      </c>
      <c r="D71" t="str">
        <f t="shared" si="8"/>
        <v>Unique</v>
      </c>
      <c r="E71" t="s">
        <v>348</v>
      </c>
      <c r="F71" s="3" t="str">
        <f t="shared" si="10"/>
        <v>6/12</v>
      </c>
      <c r="G71" t="s">
        <v>32</v>
      </c>
      <c r="H71" t="str">
        <f t="shared" si="11"/>
        <v>Valid</v>
      </c>
      <c r="I71" t="s">
        <v>33</v>
      </c>
      <c r="J71" t="str">
        <f t="shared" si="12"/>
        <v>Kigoma Ujiji Mc</v>
      </c>
      <c r="K71" t="s">
        <v>21</v>
      </c>
      <c r="L71" t="str" cm="1">
        <f t="array" ref="L71">_xlfn.IFS(
ISNUMBER(SEARCH("ICU",K71)), "ICU",
ISNUMBER(SEARCH("NEONATAL",K71)), PROPER("NEONATAL"),
ISNUMBER(SEARCH("LABOUR",K71)), PROPER("LABOUR"),
ISNUMBER(SEARCH("PAEDIATRIC",K71)), PROPER("PAEDIATRIC"),
ISNUMBER(SEARCH("FEMALE SURGICAL",K71)), PROPER("FEMALE SURG, ORTHO &amp; GYN"),
ISNUMBER(SEARCH("PSYCHIATRIST",K71)), PROPER("PSYCHIATRIST"),
ISNUMBER(SEARCH("GRADE 1",K71)), PROPER("GRADE 1"),
ISNUMBER(SEARCH("MALE SURGICAL",K71)), PROPER("MALE SURG &amp; ORTHOPEDIC"),
ISNUMBER(SEARCH("MALE MEDICAL",K71)), PROPER("MALE MEDICAL"),
ISNUMBER(SEARCH("GRADE 2",K71)), PROPER("GRADE 2"),
ISNUMBER(SEARCH("FEMALE WARD",K71)), PROPER("FEMALE MEDICAL"),
TRUE, "Unmapped: " &amp; K71)</f>
        <v>Neonatal</v>
      </c>
      <c r="M71" t="s">
        <v>22</v>
      </c>
      <c r="O71" t="s">
        <v>358</v>
      </c>
      <c r="P71" t="str">
        <f t="shared" si="13"/>
        <v>Text Error</v>
      </c>
      <c r="Q71" s="5">
        <v>45899.951377314814</v>
      </c>
      <c r="R71" t="str">
        <f t="shared" si="14"/>
        <v>Valid Date</v>
      </c>
      <c r="S71" t="s">
        <v>359</v>
      </c>
      <c r="T71" s="5">
        <v>46031.792523148149</v>
      </c>
      <c r="U71">
        <v>131</v>
      </c>
      <c r="V71" t="str">
        <f t="shared" si="15"/>
        <v>OK</v>
      </c>
      <c r="W71" t="s">
        <v>25</v>
      </c>
      <c r="Y71" t="s">
        <v>30</v>
      </c>
    </row>
    <row r="72" spans="1:25" x14ac:dyDescent="0.25">
      <c r="A72" t="s">
        <v>360</v>
      </c>
      <c r="B72" t="str">
        <f t="shared" si="9"/>
        <v>Hajulikan Hajulikani Hajulikani</v>
      </c>
      <c r="C72">
        <v>115611</v>
      </c>
      <c r="D72" t="str">
        <f t="shared" si="8"/>
        <v>Unique</v>
      </c>
      <c r="E72" t="s">
        <v>361</v>
      </c>
      <c r="F72" s="3">
        <f t="shared" si="10"/>
        <v>27</v>
      </c>
      <c r="G72" t="s">
        <v>19</v>
      </c>
      <c r="H72" t="str">
        <f t="shared" si="11"/>
        <v>Valid</v>
      </c>
      <c r="I72" t="s">
        <v>33</v>
      </c>
      <c r="J72" t="str">
        <f t="shared" si="12"/>
        <v>Kigoma Ujiji Mc</v>
      </c>
      <c r="K72" t="s">
        <v>202</v>
      </c>
      <c r="L72" t="str" cm="1">
        <f t="array" ref="L72">_xlfn.IFS(
ISNUMBER(SEARCH("ICU",K72)), "ICU",
ISNUMBER(SEARCH("NEONATAL",K72)), PROPER("NEONATAL"),
ISNUMBER(SEARCH("LABOUR",K72)), PROPER("LABOUR"),
ISNUMBER(SEARCH("PAEDIATRIC",K72)), PROPER("PAEDIATRIC"),
ISNUMBER(SEARCH("FEMALE SURGICAL",K72)), PROPER("FEMALE SURG, ORTHO &amp; GYN"),
ISNUMBER(SEARCH("PSYCHIATRIST",K72)), PROPER("PSYCHIATRIST"),
ISNUMBER(SEARCH("GRADE 1",K72)), PROPER("GRADE 1"),
ISNUMBER(SEARCH("MALE SURGICAL",K72)), PROPER("MALE SURG &amp; ORTHOPEDIC"),
ISNUMBER(SEARCH("MALE MEDICAL",K72)), PROPER("MALE MEDICAL"),
ISNUMBER(SEARCH("GRADE 2",K72)), PROPER("GRADE 2"),
ISNUMBER(SEARCH("FEMALE WARD",K72)), PROPER("FEMALE MEDICAL"),
TRUE, "Unmapped: " &amp; K72)</f>
        <v>Psychiatrist</v>
      </c>
      <c r="M72" t="s">
        <v>22</v>
      </c>
      <c r="O72" t="s">
        <v>362</v>
      </c>
      <c r="P72" t="str">
        <f t="shared" si="13"/>
        <v>Text Error</v>
      </c>
      <c r="Q72" s="5">
        <v>45900.580185185187</v>
      </c>
      <c r="R72" t="str">
        <f t="shared" si="14"/>
        <v>Valid Date</v>
      </c>
      <c r="S72" t="s">
        <v>363</v>
      </c>
      <c r="T72" s="5">
        <v>46031.779641203706</v>
      </c>
      <c r="U72">
        <v>131</v>
      </c>
      <c r="V72" t="str">
        <f t="shared" si="15"/>
        <v>OK</v>
      </c>
      <c r="W72" t="s">
        <v>65</v>
      </c>
      <c r="Y72" t="s">
        <v>30</v>
      </c>
    </row>
    <row r="73" spans="1:25" x14ac:dyDescent="0.25">
      <c r="A73" t="s">
        <v>365</v>
      </c>
      <c r="B73" t="str">
        <f t="shared" si="9"/>
        <v>Baby Of Mariam Mohamed Abdi</v>
      </c>
      <c r="C73">
        <v>115624</v>
      </c>
      <c r="D73" t="str">
        <f t="shared" si="8"/>
        <v>Unique</v>
      </c>
      <c r="E73" t="s">
        <v>348</v>
      </c>
      <c r="F73" s="3" t="str">
        <f t="shared" si="10"/>
        <v>6/12</v>
      </c>
      <c r="G73" t="s">
        <v>32</v>
      </c>
      <c r="H73" t="str">
        <f t="shared" si="11"/>
        <v>Valid</v>
      </c>
      <c r="I73" t="s">
        <v>62</v>
      </c>
      <c r="J73" t="str">
        <f t="shared" si="12"/>
        <v>Kigoma Vijijini</v>
      </c>
      <c r="K73" t="s">
        <v>21</v>
      </c>
      <c r="L73" t="str" cm="1">
        <f t="array" ref="L73">_xlfn.IFS(
ISNUMBER(SEARCH("ICU",K73)), "ICU",
ISNUMBER(SEARCH("NEONATAL",K73)), PROPER("NEONATAL"),
ISNUMBER(SEARCH("LABOUR",K73)), PROPER("LABOUR"),
ISNUMBER(SEARCH("PAEDIATRIC",K73)), PROPER("PAEDIATRIC"),
ISNUMBER(SEARCH("FEMALE SURGICAL",K73)), PROPER("FEMALE SURG, ORTHO &amp; GYN"),
ISNUMBER(SEARCH("PSYCHIATRIST",K73)), PROPER("PSYCHIATRIST"),
ISNUMBER(SEARCH("GRADE 1",K73)), PROPER("GRADE 1"),
ISNUMBER(SEARCH("MALE SURGICAL",K73)), PROPER("MALE SURG &amp; ORTHOPEDIC"),
ISNUMBER(SEARCH("MALE MEDICAL",K73)), PROPER("MALE MEDICAL"),
ISNUMBER(SEARCH("GRADE 2",K73)), PROPER("GRADE 2"),
ISNUMBER(SEARCH("FEMALE WARD",K73)), PROPER("FEMALE MEDICAL"),
TRUE, "Unmapped: " &amp; K73)</f>
        <v>Neonatal</v>
      </c>
      <c r="M73" t="s">
        <v>22</v>
      </c>
      <c r="O73" t="s">
        <v>366</v>
      </c>
      <c r="P73" t="str">
        <f t="shared" si="13"/>
        <v>Text Error</v>
      </c>
      <c r="Q73" s="5">
        <v>45900.713368055556</v>
      </c>
      <c r="R73" t="str">
        <f t="shared" si="14"/>
        <v>Valid Date</v>
      </c>
      <c r="S73" t="s">
        <v>367</v>
      </c>
      <c r="T73" s="5">
        <v>46031.792951388888</v>
      </c>
      <c r="U73">
        <v>131</v>
      </c>
      <c r="V73" t="str">
        <f t="shared" si="15"/>
        <v>OK</v>
      </c>
      <c r="W73" t="s">
        <v>211</v>
      </c>
      <c r="Y73" t="s">
        <v>30</v>
      </c>
    </row>
    <row r="74" spans="1:25" x14ac:dyDescent="0.25">
      <c r="A74" t="s">
        <v>369</v>
      </c>
      <c r="B74" t="str">
        <f t="shared" si="9"/>
        <v>Yohana Shimie Balandagiye</v>
      </c>
      <c r="C74">
        <v>116019</v>
      </c>
      <c r="D74" t="str">
        <f t="shared" si="8"/>
        <v>Unique</v>
      </c>
      <c r="E74" t="s">
        <v>18</v>
      </c>
      <c r="F74" s="3">
        <f t="shared" si="10"/>
        <v>1</v>
      </c>
      <c r="G74" t="s">
        <v>19</v>
      </c>
      <c r="H74" t="str">
        <f t="shared" si="11"/>
        <v>Valid</v>
      </c>
      <c r="I74" t="s">
        <v>33</v>
      </c>
      <c r="J74" t="str">
        <f t="shared" si="12"/>
        <v>Kigoma Ujiji Mc</v>
      </c>
      <c r="K74" t="s">
        <v>109</v>
      </c>
      <c r="L74" t="str" cm="1">
        <f t="array" ref="L74">_xlfn.IFS(
ISNUMBER(SEARCH("ICU",K74)), "ICU",
ISNUMBER(SEARCH("NEONATAL",K74)), PROPER("NEONATAL"),
ISNUMBER(SEARCH("LABOUR",K74)), PROPER("LABOUR"),
ISNUMBER(SEARCH("PAEDIATRIC",K74)), PROPER("PAEDIATRIC"),
ISNUMBER(SEARCH("FEMALE SURGICAL",K74)), PROPER("FEMALE SURG, ORTHO &amp; GYN"),
ISNUMBER(SEARCH("PSYCHIATRIST",K74)), PROPER("PSYCHIATRIST"),
ISNUMBER(SEARCH("GRADE 1",K74)), PROPER("GRADE 1"),
ISNUMBER(SEARCH("MALE SURGICAL",K74)), PROPER("MALE SURG &amp; ORTHOPEDIC"),
ISNUMBER(SEARCH("MALE MEDICAL",K74)), PROPER("MALE MEDICAL"),
ISNUMBER(SEARCH("GRADE 2",K74)), PROPER("GRADE 2"),
ISNUMBER(SEARCH("FEMALE WARD",K74)), PROPER("FEMALE MEDICAL"),
TRUE, "Unmapped: " &amp; K74)</f>
        <v>Paediatric</v>
      </c>
      <c r="M74" t="s">
        <v>22</v>
      </c>
      <c r="O74" t="s">
        <v>370</v>
      </c>
      <c r="P74" t="str">
        <f t="shared" si="13"/>
        <v>Text Error</v>
      </c>
      <c r="Q74" s="5">
        <v>45903.730821759258</v>
      </c>
      <c r="R74" t="str">
        <f t="shared" si="14"/>
        <v>Valid Date</v>
      </c>
      <c r="S74" t="s">
        <v>371</v>
      </c>
      <c r="T74" s="5">
        <v>46035.493101851855</v>
      </c>
      <c r="U74">
        <v>131</v>
      </c>
      <c r="V74" t="str">
        <f t="shared" si="15"/>
        <v>OK</v>
      </c>
      <c r="W74" t="s">
        <v>25</v>
      </c>
      <c r="Y74" t="s">
        <v>30</v>
      </c>
    </row>
    <row r="75" spans="1:25" x14ac:dyDescent="0.25">
      <c r="A75" t="s">
        <v>373</v>
      </c>
      <c r="B75" t="str">
        <f t="shared" si="9"/>
        <v>Valentina Omary Saidi</v>
      </c>
      <c r="C75">
        <v>69708</v>
      </c>
      <c r="D75" t="str">
        <f t="shared" si="8"/>
        <v>Unique</v>
      </c>
      <c r="E75" t="s">
        <v>374</v>
      </c>
      <c r="F75" s="3">
        <f t="shared" si="10"/>
        <v>37</v>
      </c>
      <c r="G75" t="s">
        <v>32</v>
      </c>
      <c r="H75" t="str">
        <f t="shared" si="11"/>
        <v>Valid</v>
      </c>
      <c r="I75" t="s">
        <v>227</v>
      </c>
      <c r="J75" t="str">
        <f t="shared" si="12"/>
        <v>KGG</v>
      </c>
      <c r="K75" t="s">
        <v>40</v>
      </c>
      <c r="L75" t="str" cm="1">
        <f t="array" ref="L75">_xlfn.IFS(
ISNUMBER(SEARCH("ICU",K75)), "ICU",
ISNUMBER(SEARCH("NEONATAL",K75)), PROPER("NEONATAL"),
ISNUMBER(SEARCH("LABOUR",K75)), PROPER("LABOUR"),
ISNUMBER(SEARCH("PAEDIATRIC",K75)), PROPER("PAEDIATRIC"),
ISNUMBER(SEARCH("FEMALE SURGICAL",K75)), PROPER("FEMALE SURG, ORTHO &amp; GYN"),
ISNUMBER(SEARCH("PSYCHIATRIST",K75)), PROPER("PSYCHIATRIST"),
ISNUMBER(SEARCH("GRADE 1",K75)), PROPER("GRADE 1"),
ISNUMBER(SEARCH("MALE SURGICAL",K75)), PROPER("MALE SURG &amp; ORTHOPEDIC"),
ISNUMBER(SEARCH("MALE MEDICAL",K75)), PROPER("MALE MEDICAL"),
ISNUMBER(SEARCH("GRADE 2",K75)), PROPER("GRADE 2"),
ISNUMBER(SEARCH("FEMALE WARD",K75)), PROPER("FEMALE MEDICAL"),
TRUE, "Unmapped: " &amp; K75)</f>
        <v>Labour</v>
      </c>
      <c r="M75" t="s">
        <v>22</v>
      </c>
      <c r="O75" t="s">
        <v>375</v>
      </c>
      <c r="P75" t="str">
        <f t="shared" si="13"/>
        <v>Text Error</v>
      </c>
      <c r="Q75" s="5">
        <v>45905.638043981482</v>
      </c>
      <c r="R75" t="str">
        <f t="shared" si="14"/>
        <v>Valid Date</v>
      </c>
      <c r="S75" t="s">
        <v>376</v>
      </c>
      <c r="T75" s="5">
        <v>46031.717256944445</v>
      </c>
      <c r="U75">
        <v>126</v>
      </c>
      <c r="V75" t="str">
        <f t="shared" si="15"/>
        <v>OK</v>
      </c>
      <c r="W75" t="s">
        <v>25</v>
      </c>
      <c r="Y75" t="s">
        <v>30</v>
      </c>
    </row>
    <row r="76" spans="1:25" x14ac:dyDescent="0.25">
      <c r="A76" t="s">
        <v>377</v>
      </c>
      <c r="B76" t="str">
        <f t="shared" si="9"/>
        <v>Mwatano Majuto Majaliwa</v>
      </c>
      <c r="C76">
        <v>116424</v>
      </c>
      <c r="D76" t="str">
        <f t="shared" si="8"/>
        <v>Unique</v>
      </c>
      <c r="E76" t="s">
        <v>108</v>
      </c>
      <c r="F76" s="3">
        <f t="shared" si="10"/>
        <v>2</v>
      </c>
      <c r="G76" t="s">
        <v>32</v>
      </c>
      <c r="H76" t="str">
        <f t="shared" si="11"/>
        <v>Valid</v>
      </c>
      <c r="I76" t="s">
        <v>20</v>
      </c>
      <c r="J76" t="str">
        <f t="shared" si="12"/>
        <v>Uvinza</v>
      </c>
      <c r="K76" t="s">
        <v>109</v>
      </c>
      <c r="L76" t="str" cm="1">
        <f t="array" ref="L76">_xlfn.IFS(
ISNUMBER(SEARCH("ICU",K76)), "ICU",
ISNUMBER(SEARCH("NEONATAL",K76)), PROPER("NEONATAL"),
ISNUMBER(SEARCH("LABOUR",K76)), PROPER("LABOUR"),
ISNUMBER(SEARCH("PAEDIATRIC",K76)), PROPER("PAEDIATRIC"),
ISNUMBER(SEARCH("FEMALE SURGICAL",K76)), PROPER("FEMALE SURG, ORTHO &amp; GYN"),
ISNUMBER(SEARCH("PSYCHIATRIST",K76)), PROPER("PSYCHIATRIST"),
ISNUMBER(SEARCH("GRADE 1",K76)), PROPER("GRADE 1"),
ISNUMBER(SEARCH("MALE SURGICAL",K76)), PROPER("MALE SURG &amp; ORTHOPEDIC"),
ISNUMBER(SEARCH("MALE MEDICAL",K76)), PROPER("MALE MEDICAL"),
ISNUMBER(SEARCH("GRADE 2",K76)), PROPER("GRADE 2"),
ISNUMBER(SEARCH("FEMALE WARD",K76)), PROPER("FEMALE MEDICAL"),
TRUE, "Unmapped: " &amp; K76)</f>
        <v>Paediatric</v>
      </c>
      <c r="M76" t="s">
        <v>22</v>
      </c>
      <c r="O76" t="s">
        <v>378</v>
      </c>
      <c r="P76" t="str">
        <f t="shared" si="13"/>
        <v>Text Error</v>
      </c>
      <c r="Q76" s="5">
        <v>45908.858182870368</v>
      </c>
      <c r="R76" t="str">
        <f t="shared" si="14"/>
        <v>Valid Date</v>
      </c>
      <c r="S76" t="s">
        <v>379</v>
      </c>
      <c r="T76" s="5">
        <v>46035.492662037039</v>
      </c>
      <c r="U76">
        <v>126</v>
      </c>
      <c r="V76" t="str">
        <f t="shared" si="15"/>
        <v>OK</v>
      </c>
      <c r="W76" t="s">
        <v>65</v>
      </c>
      <c r="Y76" t="s">
        <v>30</v>
      </c>
    </row>
    <row r="77" spans="1:25" x14ac:dyDescent="0.25">
      <c r="A77" t="s">
        <v>380</v>
      </c>
      <c r="B77" t="str">
        <f t="shared" si="9"/>
        <v>Juma Mbonimpa Juma</v>
      </c>
      <c r="C77">
        <v>116293</v>
      </c>
      <c r="D77" t="str">
        <f t="shared" si="8"/>
        <v>Unique</v>
      </c>
      <c r="E77" t="s">
        <v>138</v>
      </c>
      <c r="F77" s="3">
        <f t="shared" si="10"/>
        <v>18</v>
      </c>
      <c r="G77" t="s">
        <v>19</v>
      </c>
      <c r="H77" t="str">
        <f t="shared" si="11"/>
        <v>Valid</v>
      </c>
      <c r="I77" t="s">
        <v>260</v>
      </c>
      <c r="J77" t="str">
        <f t="shared" si="12"/>
        <v>Kasulu</v>
      </c>
      <c r="K77" t="s">
        <v>202</v>
      </c>
      <c r="L77" t="str" cm="1">
        <f t="array" ref="L77">_xlfn.IFS(
ISNUMBER(SEARCH("ICU",K77)), "ICU",
ISNUMBER(SEARCH("NEONATAL",K77)), PROPER("NEONATAL"),
ISNUMBER(SEARCH("LABOUR",K77)), PROPER("LABOUR"),
ISNUMBER(SEARCH("PAEDIATRIC",K77)), PROPER("PAEDIATRIC"),
ISNUMBER(SEARCH("FEMALE SURGICAL",K77)), PROPER("FEMALE SURG, ORTHO &amp; GYN"),
ISNUMBER(SEARCH("PSYCHIATRIST",K77)), PROPER("PSYCHIATRIST"),
ISNUMBER(SEARCH("GRADE 1",K77)), PROPER("GRADE 1"),
ISNUMBER(SEARCH("MALE SURGICAL",K77)), PROPER("MALE SURG &amp; ORTHOPEDIC"),
ISNUMBER(SEARCH("MALE MEDICAL",K77)), PROPER("MALE MEDICAL"),
ISNUMBER(SEARCH("GRADE 2",K77)), PROPER("GRADE 2"),
ISNUMBER(SEARCH("FEMALE WARD",K77)), PROPER("FEMALE MEDICAL"),
TRUE, "Unmapped: " &amp; K77)</f>
        <v>Psychiatrist</v>
      </c>
      <c r="M77" t="s">
        <v>22</v>
      </c>
      <c r="O77" t="s">
        <v>381</v>
      </c>
      <c r="P77" t="str">
        <f t="shared" si="13"/>
        <v>Text Error</v>
      </c>
      <c r="Q77" s="5">
        <v>45907.660405092596</v>
      </c>
      <c r="R77" t="str">
        <f t="shared" si="14"/>
        <v>Valid Date</v>
      </c>
      <c r="S77" t="s">
        <v>382</v>
      </c>
      <c r="T77" s="5">
        <v>46031.777997685182</v>
      </c>
      <c r="U77">
        <v>124</v>
      </c>
      <c r="V77" t="str">
        <f t="shared" si="15"/>
        <v>OK</v>
      </c>
      <c r="W77" t="s">
        <v>25</v>
      </c>
      <c r="Y77" t="s">
        <v>30</v>
      </c>
    </row>
    <row r="78" spans="1:25" x14ac:dyDescent="0.25">
      <c r="A78" t="s">
        <v>384</v>
      </c>
      <c r="B78" t="str">
        <f t="shared" si="9"/>
        <v>Baby Of Fatuma Hodari Lilola</v>
      </c>
      <c r="C78">
        <v>116564</v>
      </c>
      <c r="D78" t="str">
        <f t="shared" si="8"/>
        <v>Unique</v>
      </c>
      <c r="E78" t="s">
        <v>348</v>
      </c>
      <c r="F78" s="3" t="str">
        <f t="shared" si="10"/>
        <v>6/12</v>
      </c>
      <c r="G78" t="s">
        <v>19</v>
      </c>
      <c r="H78" t="str">
        <f t="shared" si="11"/>
        <v>Valid</v>
      </c>
      <c r="I78" t="s">
        <v>33</v>
      </c>
      <c r="J78" t="str">
        <f t="shared" si="12"/>
        <v>Kigoma Ujiji Mc</v>
      </c>
      <c r="K78" t="s">
        <v>21</v>
      </c>
      <c r="L78" t="str" cm="1">
        <f t="array" ref="L78">_xlfn.IFS(
ISNUMBER(SEARCH("ICU",K78)), "ICU",
ISNUMBER(SEARCH("NEONATAL",K78)), PROPER("NEONATAL"),
ISNUMBER(SEARCH("LABOUR",K78)), PROPER("LABOUR"),
ISNUMBER(SEARCH("PAEDIATRIC",K78)), PROPER("PAEDIATRIC"),
ISNUMBER(SEARCH("FEMALE SURGICAL",K78)), PROPER("FEMALE SURG, ORTHO &amp; GYN"),
ISNUMBER(SEARCH("PSYCHIATRIST",K78)), PROPER("PSYCHIATRIST"),
ISNUMBER(SEARCH("GRADE 1",K78)), PROPER("GRADE 1"),
ISNUMBER(SEARCH("MALE SURGICAL",K78)), PROPER("MALE SURG &amp; ORTHOPEDIC"),
ISNUMBER(SEARCH("MALE MEDICAL",K78)), PROPER("MALE MEDICAL"),
ISNUMBER(SEARCH("GRADE 2",K78)), PROPER("GRADE 2"),
ISNUMBER(SEARCH("FEMALE WARD",K78)), PROPER("FEMALE MEDICAL"),
TRUE, "Unmapped: " &amp; K78)</f>
        <v>Neonatal</v>
      </c>
      <c r="M78" t="s">
        <v>22</v>
      </c>
      <c r="O78" t="s">
        <v>385</v>
      </c>
      <c r="P78" t="str">
        <f t="shared" si="13"/>
        <v>Text Error</v>
      </c>
      <c r="Q78" s="5">
        <v>45910.050671296296</v>
      </c>
      <c r="R78" t="str">
        <f t="shared" si="14"/>
        <v>Valid Date</v>
      </c>
      <c r="S78" t="s">
        <v>386</v>
      </c>
      <c r="T78" s="5">
        <v>46031.799004629633</v>
      </c>
      <c r="U78">
        <v>121</v>
      </c>
      <c r="V78" t="str">
        <f t="shared" si="15"/>
        <v>OK</v>
      </c>
      <c r="W78" t="s">
        <v>25</v>
      </c>
      <c r="Y78" t="s">
        <v>30</v>
      </c>
    </row>
    <row r="79" spans="1:25" x14ac:dyDescent="0.25">
      <c r="A79" t="s">
        <v>388</v>
      </c>
      <c r="B79" t="str">
        <f t="shared" si="9"/>
        <v>Baby Of Mariam Kiza Juma</v>
      </c>
      <c r="C79">
        <v>117214</v>
      </c>
      <c r="D79" t="str">
        <f t="shared" si="8"/>
        <v>Unique</v>
      </c>
      <c r="E79" t="s">
        <v>348</v>
      </c>
      <c r="F79" s="3" t="str">
        <f t="shared" si="10"/>
        <v>6/12</v>
      </c>
      <c r="G79" t="s">
        <v>32</v>
      </c>
      <c r="H79" t="str">
        <f t="shared" si="11"/>
        <v>Valid</v>
      </c>
      <c r="I79" t="s">
        <v>33</v>
      </c>
      <c r="J79" t="str">
        <f t="shared" si="12"/>
        <v>Kigoma Ujiji Mc</v>
      </c>
      <c r="K79" t="s">
        <v>21</v>
      </c>
      <c r="L79" t="str" cm="1">
        <f t="array" ref="L79">_xlfn.IFS(
ISNUMBER(SEARCH("ICU",K79)), "ICU",
ISNUMBER(SEARCH("NEONATAL",K79)), PROPER("NEONATAL"),
ISNUMBER(SEARCH("LABOUR",K79)), PROPER("LABOUR"),
ISNUMBER(SEARCH("PAEDIATRIC",K79)), PROPER("PAEDIATRIC"),
ISNUMBER(SEARCH("FEMALE SURGICAL",K79)), PROPER("FEMALE SURG, ORTHO &amp; GYN"),
ISNUMBER(SEARCH("PSYCHIATRIST",K79)), PROPER("PSYCHIATRIST"),
ISNUMBER(SEARCH("GRADE 1",K79)), PROPER("GRADE 1"),
ISNUMBER(SEARCH("MALE SURGICAL",K79)), PROPER("MALE SURG &amp; ORTHOPEDIC"),
ISNUMBER(SEARCH("MALE MEDICAL",K79)), PROPER("MALE MEDICAL"),
ISNUMBER(SEARCH("GRADE 2",K79)), PROPER("GRADE 2"),
ISNUMBER(SEARCH("FEMALE WARD",K79)), PROPER("FEMALE MEDICAL"),
TRUE, "Unmapped: " &amp; K79)</f>
        <v>Neonatal</v>
      </c>
      <c r="M79" t="s">
        <v>22</v>
      </c>
      <c r="O79" t="s">
        <v>389</v>
      </c>
      <c r="P79" t="str">
        <f t="shared" si="13"/>
        <v>Text Error</v>
      </c>
      <c r="Q79" s="5">
        <v>45917.621342592596</v>
      </c>
      <c r="R79" t="str">
        <f t="shared" si="14"/>
        <v>Valid Date</v>
      </c>
      <c r="S79" t="s">
        <v>390</v>
      </c>
      <c r="T79" s="5">
        <v>46031.798703703702</v>
      </c>
      <c r="U79">
        <v>114</v>
      </c>
      <c r="V79" t="str">
        <f t="shared" si="15"/>
        <v>OK</v>
      </c>
      <c r="W79" t="s">
        <v>211</v>
      </c>
      <c r="Y79" t="s">
        <v>30</v>
      </c>
    </row>
    <row r="80" spans="1:25" x14ac:dyDescent="0.25">
      <c r="A80" t="s">
        <v>391</v>
      </c>
      <c r="B80" t="str">
        <f t="shared" si="9"/>
        <v>Edwin Rweyemamu Mujwahuzi</v>
      </c>
      <c r="C80">
        <v>116946</v>
      </c>
      <c r="D80" t="str">
        <f t="shared" si="8"/>
        <v>Unique</v>
      </c>
      <c r="E80" t="s">
        <v>392</v>
      </c>
      <c r="F80" s="3">
        <f t="shared" si="10"/>
        <v>51</v>
      </c>
      <c r="G80" t="s">
        <v>19</v>
      </c>
      <c r="H80" t="str">
        <f t="shared" si="11"/>
        <v>Valid</v>
      </c>
      <c r="I80" t="s">
        <v>20</v>
      </c>
      <c r="J80" t="str">
        <f t="shared" si="12"/>
        <v>Uvinza</v>
      </c>
      <c r="K80" t="s">
        <v>393</v>
      </c>
      <c r="L80" t="str" cm="1">
        <f t="array" ref="L80">_xlfn.IFS(
ISNUMBER(SEARCH("ICU",K80)), "ICU",
ISNUMBER(SEARCH("NEONATAL",K80)), PROPER("NEONATAL"),
ISNUMBER(SEARCH("LABOUR",K80)), PROPER("LABOUR"),
ISNUMBER(SEARCH("PAEDIATRIC",K80)), PROPER("PAEDIATRIC"),
ISNUMBER(SEARCH("FEMALE SURGICAL",K80)), PROPER("FEMALE SURG, ORTHO &amp; GYN"),
ISNUMBER(SEARCH("PSYCHIATRIST",K80)), PROPER("PSYCHIATRIST"),
ISNUMBER(SEARCH("GRADE 1",K80)), PROPER("GRADE 1"),
ISNUMBER(SEARCH("MALE SURGICAL",K80)), PROPER("MALE SURG &amp; ORTHOPEDIC"),
ISNUMBER(SEARCH("MALE MEDICAL",K80)), PROPER("MALE MEDICAL"),
ISNUMBER(SEARCH("GRADE 2",K80)), PROPER("GRADE 2"),
ISNUMBER(SEARCH("FEMALE WARD",K80)), PROPER("FEMALE MEDICAL"),
TRUE, "Unmapped: " &amp; K80)</f>
        <v>Grade 1</v>
      </c>
      <c r="M80" t="s">
        <v>394</v>
      </c>
      <c r="O80" t="s">
        <v>395</v>
      </c>
      <c r="P80" t="str">
        <f t="shared" si="13"/>
        <v>Text Error</v>
      </c>
      <c r="Q80" s="5">
        <v>45917.747627314813</v>
      </c>
      <c r="R80" t="str">
        <f t="shared" si="14"/>
        <v>Valid Date</v>
      </c>
      <c r="S80" t="s">
        <v>396</v>
      </c>
      <c r="T80" s="5">
        <v>46031.782326388886</v>
      </c>
      <c r="U80">
        <v>114</v>
      </c>
      <c r="V80" t="str">
        <f t="shared" si="15"/>
        <v>OK</v>
      </c>
      <c r="W80" t="s">
        <v>397</v>
      </c>
      <c r="Y80" t="s">
        <v>30</v>
      </c>
    </row>
    <row r="81" spans="1:25" x14ac:dyDescent="0.25">
      <c r="A81" t="s">
        <v>399</v>
      </c>
      <c r="B81" t="str">
        <f t="shared" si="9"/>
        <v>Sarah Nchachu Nkabuka</v>
      </c>
      <c r="C81">
        <v>74524</v>
      </c>
      <c r="D81" t="str">
        <f t="shared" si="8"/>
        <v>Unique</v>
      </c>
      <c r="E81" t="s">
        <v>400</v>
      </c>
      <c r="F81" s="3">
        <f t="shared" si="10"/>
        <v>39</v>
      </c>
      <c r="G81" t="s">
        <v>32</v>
      </c>
      <c r="H81" t="str">
        <f t="shared" si="11"/>
        <v>Valid</v>
      </c>
      <c r="I81" t="s">
        <v>227</v>
      </c>
      <c r="J81" t="str">
        <f t="shared" si="12"/>
        <v>KGG</v>
      </c>
      <c r="K81" t="s">
        <v>123</v>
      </c>
      <c r="L81" t="str" cm="1">
        <f t="array" ref="L81">_xlfn.IFS(
ISNUMBER(SEARCH("ICU",K81)), "ICU",
ISNUMBER(SEARCH("NEONATAL",K81)), PROPER("NEONATAL"),
ISNUMBER(SEARCH("LABOUR",K81)), PROPER("LABOUR"),
ISNUMBER(SEARCH("PAEDIATRIC",K81)), PROPER("PAEDIATRIC"),
ISNUMBER(SEARCH("FEMALE SURGICAL",K81)), PROPER("FEMALE SURG, ORTHO &amp; GYN"),
ISNUMBER(SEARCH("PSYCHIATRIST",K81)), PROPER("PSYCHIATRIST"),
ISNUMBER(SEARCH("GRADE 1",K81)), PROPER("GRADE 1"),
ISNUMBER(SEARCH("MALE SURGICAL",K81)), PROPER("MALE SURG &amp; ORTHOPEDIC"),
ISNUMBER(SEARCH("MALE MEDICAL",K81)), PROPER("MALE MEDICAL"),
ISNUMBER(SEARCH("GRADE 2",K81)), PROPER("GRADE 2"),
ISNUMBER(SEARCH("FEMALE WARD",K81)), PROPER("FEMALE MEDICAL"),
TRUE, "Unmapped: " &amp; K81)</f>
        <v>Female Surg, Ortho &amp; Gyn</v>
      </c>
      <c r="M81" t="s">
        <v>22</v>
      </c>
      <c r="O81" t="s">
        <v>401</v>
      </c>
      <c r="P81" t="str">
        <f t="shared" si="13"/>
        <v>Text Error</v>
      </c>
      <c r="Q81" s="5">
        <v>45919.551215277781</v>
      </c>
      <c r="R81" t="str">
        <f t="shared" si="14"/>
        <v>Valid Date</v>
      </c>
      <c r="S81" t="s">
        <v>402</v>
      </c>
      <c r="T81" s="5">
        <v>46031.811319444445</v>
      </c>
      <c r="U81">
        <v>112</v>
      </c>
      <c r="V81" t="str">
        <f t="shared" si="15"/>
        <v>OK</v>
      </c>
      <c r="W81" t="s">
        <v>25</v>
      </c>
      <c r="Y81" t="s">
        <v>30</v>
      </c>
    </row>
    <row r="82" spans="1:25" x14ac:dyDescent="0.25">
      <c r="A82" t="s">
        <v>403</v>
      </c>
      <c r="B82" t="str">
        <f t="shared" si="9"/>
        <v>B/of Mwamvua Magimbo</v>
      </c>
      <c r="C82">
        <v>117448</v>
      </c>
      <c r="D82" t="str">
        <f t="shared" si="8"/>
        <v>Unique</v>
      </c>
      <c r="E82" t="s">
        <v>348</v>
      </c>
      <c r="F82" s="3" t="str">
        <f t="shared" si="10"/>
        <v>6/12</v>
      </c>
      <c r="G82" t="s">
        <v>19</v>
      </c>
      <c r="H82" t="str">
        <f t="shared" si="11"/>
        <v>Valid</v>
      </c>
      <c r="I82" t="s">
        <v>33</v>
      </c>
      <c r="J82" t="str">
        <f t="shared" si="12"/>
        <v>Kigoma Ujiji Mc</v>
      </c>
      <c r="K82" t="s">
        <v>21</v>
      </c>
      <c r="L82" t="str" cm="1">
        <f t="array" ref="L82">_xlfn.IFS(
ISNUMBER(SEARCH("ICU",K82)), "ICU",
ISNUMBER(SEARCH("NEONATAL",K82)), PROPER("NEONATAL"),
ISNUMBER(SEARCH("LABOUR",K82)), PROPER("LABOUR"),
ISNUMBER(SEARCH("PAEDIATRIC",K82)), PROPER("PAEDIATRIC"),
ISNUMBER(SEARCH("FEMALE SURGICAL",K82)), PROPER("FEMALE SURG, ORTHO &amp; GYN"),
ISNUMBER(SEARCH("PSYCHIATRIST",K82)), PROPER("PSYCHIATRIST"),
ISNUMBER(SEARCH("GRADE 1",K82)), PROPER("GRADE 1"),
ISNUMBER(SEARCH("MALE SURGICAL",K82)), PROPER("MALE SURG &amp; ORTHOPEDIC"),
ISNUMBER(SEARCH("MALE MEDICAL",K82)), PROPER("MALE MEDICAL"),
ISNUMBER(SEARCH("GRADE 2",K82)), PROPER("GRADE 2"),
ISNUMBER(SEARCH("FEMALE WARD",K82)), PROPER("FEMALE MEDICAL"),
TRUE, "Unmapped: " &amp; K82)</f>
        <v>Neonatal</v>
      </c>
      <c r="M82" t="s">
        <v>22</v>
      </c>
      <c r="O82" t="s">
        <v>404</v>
      </c>
      <c r="P82" t="str">
        <f t="shared" si="13"/>
        <v>Text Error</v>
      </c>
      <c r="Q82" s="5">
        <v>45919.631712962961</v>
      </c>
      <c r="R82" t="str">
        <f t="shared" si="14"/>
        <v>Valid Date</v>
      </c>
      <c r="S82" t="s">
        <v>405</v>
      </c>
      <c r="T82" s="5">
        <v>46031.793391203704</v>
      </c>
      <c r="U82">
        <v>112</v>
      </c>
      <c r="V82" t="str">
        <f t="shared" si="15"/>
        <v>OK</v>
      </c>
      <c r="W82" t="s">
        <v>25</v>
      </c>
      <c r="Y82" t="s">
        <v>30</v>
      </c>
    </row>
    <row r="83" spans="1:25" x14ac:dyDescent="0.25">
      <c r="A83" t="s">
        <v>406</v>
      </c>
      <c r="B83" t="str">
        <f t="shared" si="9"/>
        <v>Kizozi Ahimadi Ibrahim</v>
      </c>
      <c r="C83">
        <v>117533</v>
      </c>
      <c r="D83" t="str">
        <f t="shared" si="8"/>
        <v>Unique</v>
      </c>
      <c r="E83" t="s">
        <v>147</v>
      </c>
      <c r="F83" s="3">
        <f t="shared" si="10"/>
        <v>30</v>
      </c>
      <c r="G83" t="s">
        <v>32</v>
      </c>
      <c r="H83" t="str">
        <f t="shared" si="11"/>
        <v>Valid</v>
      </c>
      <c r="I83" t="s">
        <v>33</v>
      </c>
      <c r="J83" t="str">
        <f t="shared" si="12"/>
        <v>Kigoma Ujiji Mc</v>
      </c>
      <c r="K83" t="s">
        <v>40</v>
      </c>
      <c r="L83" t="str" cm="1">
        <f t="array" ref="L83">_xlfn.IFS(
ISNUMBER(SEARCH("ICU",K83)), "ICU",
ISNUMBER(SEARCH("NEONATAL",K83)), PROPER("NEONATAL"),
ISNUMBER(SEARCH("LABOUR",K83)), PROPER("LABOUR"),
ISNUMBER(SEARCH("PAEDIATRIC",K83)), PROPER("PAEDIATRIC"),
ISNUMBER(SEARCH("FEMALE SURGICAL",K83)), PROPER("FEMALE SURG, ORTHO &amp; GYN"),
ISNUMBER(SEARCH("PSYCHIATRIST",K83)), PROPER("PSYCHIATRIST"),
ISNUMBER(SEARCH("GRADE 1",K83)), PROPER("GRADE 1"),
ISNUMBER(SEARCH("MALE SURGICAL",K83)), PROPER("MALE SURG &amp; ORTHOPEDIC"),
ISNUMBER(SEARCH("MALE MEDICAL",K83)), PROPER("MALE MEDICAL"),
ISNUMBER(SEARCH("GRADE 2",K83)), PROPER("GRADE 2"),
ISNUMBER(SEARCH("FEMALE WARD",K83)), PROPER("FEMALE MEDICAL"),
TRUE, "Unmapped: " &amp; K83)</f>
        <v>Labour</v>
      </c>
      <c r="M83" t="s">
        <v>22</v>
      </c>
      <c r="O83" t="s">
        <v>407</v>
      </c>
      <c r="P83" t="str">
        <f t="shared" si="13"/>
        <v>Text Error</v>
      </c>
      <c r="Q83" s="5">
        <v>45920.748749999999</v>
      </c>
      <c r="R83" t="str">
        <f t="shared" si="14"/>
        <v>Valid Date</v>
      </c>
      <c r="S83" t="s">
        <v>408</v>
      </c>
      <c r="T83" s="5">
        <v>46031.710081018522</v>
      </c>
      <c r="U83">
        <v>110</v>
      </c>
      <c r="V83" t="str">
        <f t="shared" si="15"/>
        <v>OK</v>
      </c>
      <c r="W83" t="s">
        <v>25</v>
      </c>
      <c r="Y83" t="s">
        <v>30</v>
      </c>
    </row>
    <row r="84" spans="1:25" x14ac:dyDescent="0.25">
      <c r="A84" t="s">
        <v>409</v>
      </c>
      <c r="B84" t="str">
        <f t="shared" si="9"/>
        <v>Miliamu Alex Rwechungula</v>
      </c>
      <c r="C84">
        <v>117580</v>
      </c>
      <c r="D84" t="str">
        <f t="shared" si="8"/>
        <v>Unique</v>
      </c>
      <c r="E84" t="s">
        <v>348</v>
      </c>
      <c r="F84" s="3" t="str">
        <f t="shared" si="10"/>
        <v>6/12</v>
      </c>
      <c r="G84" t="s">
        <v>32</v>
      </c>
      <c r="H84" t="str">
        <f t="shared" si="11"/>
        <v>Valid</v>
      </c>
      <c r="I84" t="s">
        <v>33</v>
      </c>
      <c r="J84" t="str">
        <f t="shared" si="12"/>
        <v>Kigoma Ujiji Mc</v>
      </c>
      <c r="K84" t="s">
        <v>21</v>
      </c>
      <c r="L84" t="str" cm="1">
        <f t="array" ref="L84">_xlfn.IFS(
ISNUMBER(SEARCH("ICU",K84)), "ICU",
ISNUMBER(SEARCH("NEONATAL",K84)), PROPER("NEONATAL"),
ISNUMBER(SEARCH("LABOUR",K84)), PROPER("LABOUR"),
ISNUMBER(SEARCH("PAEDIATRIC",K84)), PROPER("PAEDIATRIC"),
ISNUMBER(SEARCH("FEMALE SURGICAL",K84)), PROPER("FEMALE SURG, ORTHO &amp; GYN"),
ISNUMBER(SEARCH("PSYCHIATRIST",K84)), PROPER("PSYCHIATRIST"),
ISNUMBER(SEARCH("GRADE 1",K84)), PROPER("GRADE 1"),
ISNUMBER(SEARCH("MALE SURGICAL",K84)), PROPER("MALE SURG &amp; ORTHOPEDIC"),
ISNUMBER(SEARCH("MALE MEDICAL",K84)), PROPER("MALE MEDICAL"),
ISNUMBER(SEARCH("GRADE 2",K84)), PROPER("GRADE 2"),
ISNUMBER(SEARCH("FEMALE WARD",K84)), PROPER("FEMALE MEDICAL"),
TRUE, "Unmapped: " &amp; K84)</f>
        <v>Neonatal</v>
      </c>
      <c r="M84" t="s">
        <v>22</v>
      </c>
      <c r="O84" t="s">
        <v>410</v>
      </c>
      <c r="P84" t="str">
        <f t="shared" si="13"/>
        <v>Text Error</v>
      </c>
      <c r="Q84" s="5">
        <v>45921.753078703703</v>
      </c>
      <c r="R84" t="str">
        <f t="shared" si="14"/>
        <v>Valid Date</v>
      </c>
      <c r="S84" t="s">
        <v>411</v>
      </c>
      <c r="T84" s="5">
        <v>46031.793703703705</v>
      </c>
      <c r="U84">
        <v>110</v>
      </c>
      <c r="V84" t="str">
        <f t="shared" si="15"/>
        <v>OK</v>
      </c>
      <c r="W84" t="s">
        <v>25</v>
      </c>
      <c r="Y84" t="s">
        <v>30</v>
      </c>
    </row>
    <row r="85" spans="1:25" x14ac:dyDescent="0.25">
      <c r="A85" t="s">
        <v>412</v>
      </c>
      <c r="B85" t="str">
        <f t="shared" si="9"/>
        <v>Bundi Badi Kulwa</v>
      </c>
      <c r="C85">
        <v>117917</v>
      </c>
      <c r="D85" t="str">
        <f t="shared" si="8"/>
        <v>Unique</v>
      </c>
      <c r="E85" t="s">
        <v>413</v>
      </c>
      <c r="F85" s="3">
        <f t="shared" si="10"/>
        <v>10</v>
      </c>
      <c r="G85" t="s">
        <v>19</v>
      </c>
      <c r="H85" t="str">
        <f t="shared" si="11"/>
        <v>Valid</v>
      </c>
      <c r="I85" t="s">
        <v>20</v>
      </c>
      <c r="J85" t="str">
        <f t="shared" si="12"/>
        <v>Uvinza</v>
      </c>
      <c r="K85" t="s">
        <v>109</v>
      </c>
      <c r="L85" t="str" cm="1">
        <f t="array" ref="L85">_xlfn.IFS(
ISNUMBER(SEARCH("ICU",K85)), "ICU",
ISNUMBER(SEARCH("NEONATAL",K85)), PROPER("NEONATAL"),
ISNUMBER(SEARCH("LABOUR",K85)), PROPER("LABOUR"),
ISNUMBER(SEARCH("PAEDIATRIC",K85)), PROPER("PAEDIATRIC"),
ISNUMBER(SEARCH("FEMALE SURGICAL",K85)), PROPER("FEMALE SURG, ORTHO &amp; GYN"),
ISNUMBER(SEARCH("PSYCHIATRIST",K85)), PROPER("PSYCHIATRIST"),
ISNUMBER(SEARCH("GRADE 1",K85)), PROPER("GRADE 1"),
ISNUMBER(SEARCH("MALE SURGICAL",K85)), PROPER("MALE SURG &amp; ORTHOPEDIC"),
ISNUMBER(SEARCH("MALE MEDICAL",K85)), PROPER("MALE MEDICAL"),
ISNUMBER(SEARCH("GRADE 2",K85)), PROPER("GRADE 2"),
ISNUMBER(SEARCH("FEMALE WARD",K85)), PROPER("FEMALE MEDICAL"),
TRUE, "Unmapped: " &amp; K85)</f>
        <v>Paediatric</v>
      </c>
      <c r="M85" t="s">
        <v>22</v>
      </c>
      <c r="O85" t="s">
        <v>414</v>
      </c>
      <c r="P85" t="str">
        <f t="shared" si="13"/>
        <v>Text Error</v>
      </c>
      <c r="Q85" s="5">
        <v>45924.813460648147</v>
      </c>
      <c r="R85" t="str">
        <f t="shared" si="14"/>
        <v>Valid Date</v>
      </c>
      <c r="S85" t="s">
        <v>415</v>
      </c>
      <c r="T85" s="5">
        <v>46035.49181712963</v>
      </c>
      <c r="U85">
        <v>110</v>
      </c>
      <c r="V85" t="str">
        <f t="shared" si="15"/>
        <v>OK</v>
      </c>
      <c r="W85" t="s">
        <v>397</v>
      </c>
      <c r="Y85" t="s">
        <v>30</v>
      </c>
    </row>
    <row r="86" spans="1:25" x14ac:dyDescent="0.25">
      <c r="A86" t="s">
        <v>417</v>
      </c>
      <c r="B86" t="str">
        <f t="shared" si="9"/>
        <v>Grace John Joseph</v>
      </c>
      <c r="C86">
        <v>117702</v>
      </c>
      <c r="D86" t="str">
        <f t="shared" si="8"/>
        <v>Unique</v>
      </c>
      <c r="E86" t="s">
        <v>296</v>
      </c>
      <c r="F86" s="3">
        <f t="shared" si="10"/>
        <v>26</v>
      </c>
      <c r="G86" t="s">
        <v>32</v>
      </c>
      <c r="H86" t="str">
        <f t="shared" si="11"/>
        <v>Valid</v>
      </c>
      <c r="I86" t="s">
        <v>33</v>
      </c>
      <c r="J86" t="str">
        <f t="shared" si="12"/>
        <v>Kigoma Ujiji Mc</v>
      </c>
      <c r="K86" t="s">
        <v>123</v>
      </c>
      <c r="L86" t="str" cm="1">
        <f t="array" ref="L86">_xlfn.IFS(
ISNUMBER(SEARCH("ICU",K86)), "ICU",
ISNUMBER(SEARCH("NEONATAL",K86)), PROPER("NEONATAL"),
ISNUMBER(SEARCH("LABOUR",K86)), PROPER("LABOUR"),
ISNUMBER(SEARCH("PAEDIATRIC",K86)), PROPER("PAEDIATRIC"),
ISNUMBER(SEARCH("FEMALE SURGICAL",K86)), PROPER("FEMALE SURG, ORTHO &amp; GYN"),
ISNUMBER(SEARCH("PSYCHIATRIST",K86)), PROPER("PSYCHIATRIST"),
ISNUMBER(SEARCH("GRADE 1",K86)), PROPER("GRADE 1"),
ISNUMBER(SEARCH("MALE SURGICAL",K86)), PROPER("MALE SURG &amp; ORTHOPEDIC"),
ISNUMBER(SEARCH("MALE MEDICAL",K86)), PROPER("MALE MEDICAL"),
ISNUMBER(SEARCH("GRADE 2",K86)), PROPER("GRADE 2"),
ISNUMBER(SEARCH("FEMALE WARD",K86)), PROPER("FEMALE MEDICAL"),
TRUE, "Unmapped: " &amp; K86)</f>
        <v>Female Surg, Ortho &amp; Gyn</v>
      </c>
      <c r="M86" t="s">
        <v>22</v>
      </c>
      <c r="O86" t="s">
        <v>418</v>
      </c>
      <c r="P86" t="str">
        <f t="shared" si="13"/>
        <v>Text Error</v>
      </c>
      <c r="Q86" s="5">
        <v>45922.836412037039</v>
      </c>
      <c r="R86" t="str">
        <f t="shared" si="14"/>
        <v>Valid Date</v>
      </c>
      <c r="S86" t="s">
        <v>419</v>
      </c>
      <c r="T86" s="5">
        <v>46031.811736111114</v>
      </c>
      <c r="U86">
        <v>108</v>
      </c>
      <c r="V86" t="str">
        <f t="shared" si="15"/>
        <v>OK</v>
      </c>
      <c r="W86" t="s">
        <v>65</v>
      </c>
      <c r="Y86" t="s">
        <v>30</v>
      </c>
    </row>
    <row r="87" spans="1:25" x14ac:dyDescent="0.25">
      <c r="A87" t="s">
        <v>420</v>
      </c>
      <c r="B87" t="str">
        <f t="shared" si="9"/>
        <v>Baby Of Regina Yohana Yohana</v>
      </c>
      <c r="C87">
        <v>117904</v>
      </c>
      <c r="D87" t="str">
        <f t="shared" si="8"/>
        <v>Unique</v>
      </c>
      <c r="E87" t="s">
        <v>348</v>
      </c>
      <c r="F87" s="3" t="str">
        <f t="shared" si="10"/>
        <v>6/12</v>
      </c>
      <c r="G87" t="s">
        <v>19</v>
      </c>
      <c r="H87" t="str">
        <f t="shared" si="11"/>
        <v>Valid</v>
      </c>
      <c r="I87" t="s">
        <v>20</v>
      </c>
      <c r="J87" t="str">
        <f t="shared" si="12"/>
        <v>Uvinza</v>
      </c>
      <c r="K87" t="s">
        <v>21</v>
      </c>
      <c r="L87" t="str" cm="1">
        <f t="array" ref="L87">_xlfn.IFS(
ISNUMBER(SEARCH("ICU",K87)), "ICU",
ISNUMBER(SEARCH("NEONATAL",K87)), PROPER("NEONATAL"),
ISNUMBER(SEARCH("LABOUR",K87)), PROPER("LABOUR"),
ISNUMBER(SEARCH("PAEDIATRIC",K87)), PROPER("PAEDIATRIC"),
ISNUMBER(SEARCH("FEMALE SURGICAL",K87)), PROPER("FEMALE SURG, ORTHO &amp; GYN"),
ISNUMBER(SEARCH("PSYCHIATRIST",K87)), PROPER("PSYCHIATRIST"),
ISNUMBER(SEARCH("GRADE 1",K87)), PROPER("GRADE 1"),
ISNUMBER(SEARCH("MALE SURGICAL",K87)), PROPER("MALE SURG &amp; ORTHOPEDIC"),
ISNUMBER(SEARCH("MALE MEDICAL",K87)), PROPER("MALE MEDICAL"),
ISNUMBER(SEARCH("GRADE 2",K87)), PROPER("GRADE 2"),
ISNUMBER(SEARCH("FEMALE WARD",K87)), PROPER("FEMALE MEDICAL"),
TRUE, "Unmapped: " &amp; K87)</f>
        <v>Neonatal</v>
      </c>
      <c r="M87" t="s">
        <v>22</v>
      </c>
      <c r="O87" t="s">
        <v>421</v>
      </c>
      <c r="P87" t="str">
        <f t="shared" si="13"/>
        <v>Text Error</v>
      </c>
      <c r="Q87" s="5">
        <v>45924.581979166665</v>
      </c>
      <c r="R87" t="str">
        <f t="shared" si="14"/>
        <v>Valid Date</v>
      </c>
      <c r="S87" t="s">
        <v>422</v>
      </c>
      <c r="T87" s="5">
        <v>46031.796597222223</v>
      </c>
      <c r="U87">
        <v>107</v>
      </c>
      <c r="V87" t="str">
        <f t="shared" si="15"/>
        <v>OK</v>
      </c>
      <c r="W87" t="s">
        <v>25</v>
      </c>
      <c r="Y87" t="s">
        <v>30</v>
      </c>
    </row>
    <row r="88" spans="1:25" x14ac:dyDescent="0.25">
      <c r="A88" t="s">
        <v>424</v>
      </c>
      <c r="B88" t="str">
        <f t="shared" si="9"/>
        <v>Regina Said Joseph</v>
      </c>
      <c r="C88">
        <v>117926</v>
      </c>
      <c r="D88" t="str">
        <f t="shared" si="8"/>
        <v>Unique</v>
      </c>
      <c r="E88" t="s">
        <v>74</v>
      </c>
      <c r="F88" s="3">
        <f t="shared" si="10"/>
        <v>35</v>
      </c>
      <c r="G88" t="s">
        <v>32</v>
      </c>
      <c r="H88" t="str">
        <f t="shared" si="11"/>
        <v>Valid</v>
      </c>
      <c r="I88" t="s">
        <v>20</v>
      </c>
      <c r="J88" t="str">
        <f t="shared" si="12"/>
        <v>Uvinza</v>
      </c>
      <c r="K88" t="s">
        <v>40</v>
      </c>
      <c r="L88" t="str" cm="1">
        <f t="array" ref="L88">_xlfn.IFS(
ISNUMBER(SEARCH("ICU",K88)), "ICU",
ISNUMBER(SEARCH("NEONATAL",K88)), PROPER("NEONATAL"),
ISNUMBER(SEARCH("LABOUR",K88)), PROPER("LABOUR"),
ISNUMBER(SEARCH("PAEDIATRIC",K88)), PROPER("PAEDIATRIC"),
ISNUMBER(SEARCH("FEMALE SURGICAL",K88)), PROPER("FEMALE SURG, ORTHO &amp; GYN"),
ISNUMBER(SEARCH("PSYCHIATRIST",K88)), PROPER("PSYCHIATRIST"),
ISNUMBER(SEARCH("GRADE 1",K88)), PROPER("GRADE 1"),
ISNUMBER(SEARCH("MALE SURGICAL",K88)), PROPER("MALE SURG &amp; ORTHOPEDIC"),
ISNUMBER(SEARCH("MALE MEDICAL",K88)), PROPER("MALE MEDICAL"),
ISNUMBER(SEARCH("GRADE 2",K88)), PROPER("GRADE 2"),
ISNUMBER(SEARCH("FEMALE WARD",K88)), PROPER("FEMALE MEDICAL"),
TRUE, "Unmapped: " &amp; K88)</f>
        <v>Labour</v>
      </c>
      <c r="M88" t="s">
        <v>22</v>
      </c>
      <c r="O88" t="s">
        <v>425</v>
      </c>
      <c r="P88" t="str">
        <f t="shared" si="13"/>
        <v>Text Error</v>
      </c>
      <c r="Q88" s="5">
        <v>45924.904872685183</v>
      </c>
      <c r="R88" t="str">
        <f t="shared" si="14"/>
        <v>Valid Date</v>
      </c>
      <c r="S88" t="s">
        <v>426</v>
      </c>
      <c r="T88" s="5">
        <v>46031.707048611112</v>
      </c>
      <c r="U88">
        <v>106</v>
      </c>
      <c r="V88" t="str">
        <f t="shared" si="15"/>
        <v>OK</v>
      </c>
      <c r="W88" t="s">
        <v>25</v>
      </c>
      <c r="Y88" t="s">
        <v>30</v>
      </c>
    </row>
    <row r="89" spans="1:25" x14ac:dyDescent="0.25">
      <c r="A89" t="s">
        <v>427</v>
      </c>
      <c r="B89" t="str">
        <f t="shared" si="9"/>
        <v>Athumani Nasibu Athumani</v>
      </c>
      <c r="C89">
        <v>118126</v>
      </c>
      <c r="D89" t="str">
        <f t="shared" si="8"/>
        <v>Unique</v>
      </c>
      <c r="E89" t="s">
        <v>147</v>
      </c>
      <c r="F89" s="3">
        <f t="shared" si="10"/>
        <v>30</v>
      </c>
      <c r="G89" t="s">
        <v>19</v>
      </c>
      <c r="H89" t="str">
        <f t="shared" si="11"/>
        <v>Valid</v>
      </c>
      <c r="I89" t="s">
        <v>20</v>
      </c>
      <c r="J89" t="str">
        <f t="shared" si="12"/>
        <v>Uvinza</v>
      </c>
      <c r="K89" t="s">
        <v>428</v>
      </c>
      <c r="L89" t="str" cm="1">
        <f t="array" ref="L89">_xlfn.IFS(
ISNUMBER(SEARCH("ICU",K89)), "ICU",
ISNUMBER(SEARCH("NEONATAL",K89)), PROPER("NEONATAL"),
ISNUMBER(SEARCH("LABOUR",K89)), PROPER("LABOUR"),
ISNUMBER(SEARCH("PAEDIATRIC",K89)), PROPER("PAEDIATRIC"),
ISNUMBER(SEARCH("FEMALE SURGICAL",K89)), PROPER("FEMALE SURG, ORTHO &amp; GYN"),
ISNUMBER(SEARCH("PSYCHIATRIST",K89)), PROPER("PSYCHIATRIST"),
ISNUMBER(SEARCH("GRADE 1",K89)), PROPER("GRADE 1"),
ISNUMBER(SEARCH("MALE SURGICAL",K89)), PROPER("MALE SURG &amp; ORTHOPEDIC"),
ISNUMBER(SEARCH("MALE MEDICAL",K89)), PROPER("MALE MEDICAL"),
ISNUMBER(SEARCH("GRADE 2",K89)), PROPER("GRADE 2"),
ISNUMBER(SEARCH("FEMALE WARD",K89)), PROPER("FEMALE MEDICAL"),
TRUE, "Unmapped: " &amp; K89)</f>
        <v>Male Surg &amp; Orthopedic</v>
      </c>
      <c r="M89" t="s">
        <v>22</v>
      </c>
      <c r="O89" t="s">
        <v>429</v>
      </c>
      <c r="P89" t="str">
        <f t="shared" si="13"/>
        <v>Text Error</v>
      </c>
      <c r="Q89" s="5">
        <v>45927.114340277774</v>
      </c>
      <c r="R89" t="str">
        <f t="shared" si="14"/>
        <v>Valid Date</v>
      </c>
      <c r="S89" t="s">
        <v>430</v>
      </c>
      <c r="T89" s="5">
        <v>46031.753321759257</v>
      </c>
      <c r="U89">
        <v>104</v>
      </c>
      <c r="V89" t="str">
        <f t="shared" si="15"/>
        <v>OK</v>
      </c>
      <c r="W89" t="s">
        <v>211</v>
      </c>
      <c r="Y89" t="s">
        <v>30</v>
      </c>
    </row>
    <row r="90" spans="1:25" x14ac:dyDescent="0.25">
      <c r="A90" t="s">
        <v>432</v>
      </c>
      <c r="B90" t="str">
        <f t="shared" si="9"/>
        <v>Nijimbela Inea Nikumana</v>
      </c>
      <c r="C90">
        <v>118253</v>
      </c>
      <c r="D90" t="str">
        <f t="shared" si="8"/>
        <v>Unique</v>
      </c>
      <c r="E90" t="s">
        <v>138</v>
      </c>
      <c r="F90" s="3">
        <f t="shared" si="10"/>
        <v>18</v>
      </c>
      <c r="G90" t="s">
        <v>32</v>
      </c>
      <c r="H90" t="str">
        <f t="shared" si="11"/>
        <v>Valid</v>
      </c>
      <c r="I90" t="s">
        <v>33</v>
      </c>
      <c r="J90" t="str">
        <f t="shared" si="12"/>
        <v>Kigoma Ujiji Mc</v>
      </c>
      <c r="K90" t="s">
        <v>40</v>
      </c>
      <c r="L90" t="str" cm="1">
        <f t="array" ref="L90">_xlfn.IFS(
ISNUMBER(SEARCH("ICU",K90)), "ICU",
ISNUMBER(SEARCH("NEONATAL",K90)), PROPER("NEONATAL"),
ISNUMBER(SEARCH("LABOUR",K90)), PROPER("LABOUR"),
ISNUMBER(SEARCH("PAEDIATRIC",K90)), PROPER("PAEDIATRIC"),
ISNUMBER(SEARCH("FEMALE SURGICAL",K90)), PROPER("FEMALE SURG, ORTHO &amp; GYN"),
ISNUMBER(SEARCH("PSYCHIATRIST",K90)), PROPER("PSYCHIATRIST"),
ISNUMBER(SEARCH("GRADE 1",K90)), PROPER("GRADE 1"),
ISNUMBER(SEARCH("MALE SURGICAL",K90)), PROPER("MALE SURG &amp; ORTHOPEDIC"),
ISNUMBER(SEARCH("MALE MEDICAL",K90)), PROPER("MALE MEDICAL"),
ISNUMBER(SEARCH("GRADE 2",K90)), PROPER("GRADE 2"),
ISNUMBER(SEARCH("FEMALE WARD",K90)), PROPER("FEMALE MEDICAL"),
TRUE, "Unmapped: " &amp; K90)</f>
        <v>Labour</v>
      </c>
      <c r="M90" t="s">
        <v>22</v>
      </c>
      <c r="O90" t="s">
        <v>433</v>
      </c>
      <c r="P90" t="str">
        <f t="shared" si="13"/>
        <v>Text Error</v>
      </c>
      <c r="Q90" s="5">
        <v>45929.43109953704</v>
      </c>
      <c r="R90" t="str">
        <f t="shared" si="14"/>
        <v>Valid Date</v>
      </c>
      <c r="S90" t="s">
        <v>434</v>
      </c>
      <c r="T90" s="5">
        <v>46031.703865740739</v>
      </c>
      <c r="U90">
        <v>102</v>
      </c>
      <c r="V90" t="str">
        <f t="shared" si="15"/>
        <v>OK</v>
      </c>
      <c r="W90" t="s">
        <v>65</v>
      </c>
      <c r="Y90" t="s">
        <v>30</v>
      </c>
    </row>
    <row r="91" spans="1:25" x14ac:dyDescent="0.25">
      <c r="A91" t="s">
        <v>436</v>
      </c>
      <c r="B91" t="str">
        <f t="shared" si="9"/>
        <v>Jackson Pius Kiboko</v>
      </c>
      <c r="C91">
        <v>118338</v>
      </c>
      <c r="D91" t="str">
        <f t="shared" si="8"/>
        <v>Unique</v>
      </c>
      <c r="E91" t="s">
        <v>122</v>
      </c>
      <c r="F91" s="3">
        <f t="shared" si="10"/>
        <v>40</v>
      </c>
      <c r="G91" t="s">
        <v>19</v>
      </c>
      <c r="H91" t="str">
        <f t="shared" si="11"/>
        <v>Valid</v>
      </c>
      <c r="I91" t="s">
        <v>20</v>
      </c>
      <c r="J91" t="str">
        <f t="shared" si="12"/>
        <v>Uvinza</v>
      </c>
      <c r="K91" t="s">
        <v>428</v>
      </c>
      <c r="L91" t="str" cm="1">
        <f t="array" ref="L91">_xlfn.IFS(
ISNUMBER(SEARCH("ICU",K91)), "ICU",
ISNUMBER(SEARCH("NEONATAL",K91)), PROPER("NEONATAL"),
ISNUMBER(SEARCH("LABOUR",K91)), PROPER("LABOUR"),
ISNUMBER(SEARCH("PAEDIATRIC",K91)), PROPER("PAEDIATRIC"),
ISNUMBER(SEARCH("FEMALE SURGICAL",K91)), PROPER("FEMALE SURG, ORTHO &amp; GYN"),
ISNUMBER(SEARCH("PSYCHIATRIST",K91)), PROPER("PSYCHIATRIST"),
ISNUMBER(SEARCH("GRADE 1",K91)), PROPER("GRADE 1"),
ISNUMBER(SEARCH("MALE SURGICAL",K91)), PROPER("MALE SURG &amp; ORTHOPEDIC"),
ISNUMBER(SEARCH("MALE MEDICAL",K91)), PROPER("MALE MEDICAL"),
ISNUMBER(SEARCH("GRADE 2",K91)), PROPER("GRADE 2"),
ISNUMBER(SEARCH("FEMALE WARD",K91)), PROPER("FEMALE MEDICAL"),
TRUE, "Unmapped: " &amp; K91)</f>
        <v>Male Surg &amp; Orthopedic</v>
      </c>
      <c r="M91" t="s">
        <v>22</v>
      </c>
      <c r="O91" t="s">
        <v>437</v>
      </c>
      <c r="P91" t="str">
        <f t="shared" si="13"/>
        <v>Text Error</v>
      </c>
      <c r="Q91" s="5">
        <v>45929.929189814815</v>
      </c>
      <c r="R91" t="str">
        <f t="shared" si="14"/>
        <v>Valid Date</v>
      </c>
      <c r="S91" t="s">
        <v>438</v>
      </c>
      <c r="T91" s="5">
        <v>46031.753831018519</v>
      </c>
      <c r="U91">
        <v>101</v>
      </c>
      <c r="V91" t="str">
        <f t="shared" si="15"/>
        <v>OK</v>
      </c>
      <c r="W91" t="s">
        <v>25</v>
      </c>
      <c r="Y91" t="s">
        <v>30</v>
      </c>
    </row>
    <row r="92" spans="1:25" x14ac:dyDescent="0.25">
      <c r="A92" t="s">
        <v>440</v>
      </c>
      <c r="B92" t="str">
        <f t="shared" si="9"/>
        <v>Tausi Abdallah Sudi</v>
      </c>
      <c r="C92">
        <v>118466</v>
      </c>
      <c r="D92" t="str">
        <f t="shared" si="8"/>
        <v>Unique</v>
      </c>
      <c r="E92" t="s">
        <v>441</v>
      </c>
      <c r="F92" s="3">
        <f t="shared" si="10"/>
        <v>60</v>
      </c>
      <c r="G92" t="s">
        <v>32</v>
      </c>
      <c r="H92" t="str">
        <f t="shared" si="11"/>
        <v>Valid</v>
      </c>
      <c r="I92" t="s">
        <v>20</v>
      </c>
      <c r="J92" t="str">
        <f t="shared" si="12"/>
        <v>Uvinza</v>
      </c>
      <c r="K92" t="s">
        <v>123</v>
      </c>
      <c r="L92" t="str" cm="1">
        <f t="array" ref="L92">_xlfn.IFS(
ISNUMBER(SEARCH("ICU",K92)), "ICU",
ISNUMBER(SEARCH("NEONATAL",K92)), PROPER("NEONATAL"),
ISNUMBER(SEARCH("LABOUR",K92)), PROPER("LABOUR"),
ISNUMBER(SEARCH("PAEDIATRIC",K92)), PROPER("PAEDIATRIC"),
ISNUMBER(SEARCH("FEMALE SURGICAL",K92)), PROPER("FEMALE SURG, ORTHO &amp; GYN"),
ISNUMBER(SEARCH("PSYCHIATRIST",K92)), PROPER("PSYCHIATRIST"),
ISNUMBER(SEARCH("GRADE 1",K92)), PROPER("GRADE 1"),
ISNUMBER(SEARCH("MALE SURGICAL",K92)), PROPER("MALE SURG &amp; ORTHOPEDIC"),
ISNUMBER(SEARCH("MALE MEDICAL",K92)), PROPER("MALE MEDICAL"),
ISNUMBER(SEARCH("GRADE 2",K92)), PROPER("GRADE 2"),
ISNUMBER(SEARCH("FEMALE WARD",K92)), PROPER("FEMALE MEDICAL"),
TRUE, "Unmapped: " &amp; K92)</f>
        <v>Female Surg, Ortho &amp; Gyn</v>
      </c>
      <c r="M92" t="s">
        <v>22</v>
      </c>
      <c r="O92" t="s">
        <v>442</v>
      </c>
      <c r="P92" t="str">
        <f t="shared" si="13"/>
        <v>Text Error</v>
      </c>
      <c r="Q92" s="5">
        <v>45930.656921296293</v>
      </c>
      <c r="R92" t="str">
        <f t="shared" si="14"/>
        <v>Valid Date</v>
      </c>
      <c r="S92" t="s">
        <v>443</v>
      </c>
      <c r="T92" s="5">
        <v>46031.812164351853</v>
      </c>
      <c r="U92">
        <v>101</v>
      </c>
      <c r="V92" t="str">
        <f t="shared" si="15"/>
        <v>OK</v>
      </c>
      <c r="W92" t="s">
        <v>25</v>
      </c>
      <c r="Y92" t="s">
        <v>30</v>
      </c>
    </row>
    <row r="93" spans="1:25" x14ac:dyDescent="0.25">
      <c r="A93" t="s">
        <v>445</v>
      </c>
      <c r="B93" t="str">
        <f t="shared" si="9"/>
        <v>Evarist Amos Mapigi</v>
      </c>
      <c r="C93">
        <v>118861</v>
      </c>
      <c r="D93" t="str">
        <f t="shared" si="8"/>
        <v>Unique</v>
      </c>
      <c r="E93" t="s">
        <v>18</v>
      </c>
      <c r="F93" s="3">
        <f t="shared" si="10"/>
        <v>1</v>
      </c>
      <c r="G93" t="s">
        <v>19</v>
      </c>
      <c r="H93" t="str">
        <f t="shared" si="11"/>
        <v>Valid</v>
      </c>
      <c r="I93" t="s">
        <v>20</v>
      </c>
      <c r="J93" t="str">
        <f t="shared" si="12"/>
        <v>Uvinza</v>
      </c>
      <c r="K93" t="s">
        <v>109</v>
      </c>
      <c r="L93" t="str" cm="1">
        <f t="array" ref="L93">_xlfn.IFS(
ISNUMBER(SEARCH("ICU",K93)), "ICU",
ISNUMBER(SEARCH("NEONATAL",K93)), PROPER("NEONATAL"),
ISNUMBER(SEARCH("LABOUR",K93)), PROPER("LABOUR"),
ISNUMBER(SEARCH("PAEDIATRIC",K93)), PROPER("PAEDIATRIC"),
ISNUMBER(SEARCH("FEMALE SURGICAL",K93)), PROPER("FEMALE SURG, ORTHO &amp; GYN"),
ISNUMBER(SEARCH("PSYCHIATRIST",K93)), PROPER("PSYCHIATRIST"),
ISNUMBER(SEARCH("GRADE 1",K93)), PROPER("GRADE 1"),
ISNUMBER(SEARCH("MALE SURGICAL",K93)), PROPER("MALE SURG &amp; ORTHOPEDIC"),
ISNUMBER(SEARCH("MALE MEDICAL",K93)), PROPER("MALE MEDICAL"),
ISNUMBER(SEARCH("GRADE 2",K93)), PROPER("GRADE 2"),
ISNUMBER(SEARCH("FEMALE WARD",K93)), PROPER("FEMALE MEDICAL"),
TRUE, "Unmapped: " &amp; K93)</f>
        <v>Paediatric</v>
      </c>
      <c r="M93" t="s">
        <v>22</v>
      </c>
      <c r="O93" t="s">
        <v>446</v>
      </c>
      <c r="P93" t="str">
        <f t="shared" si="13"/>
        <v>Text Error</v>
      </c>
      <c r="Q93" s="5">
        <v>45936.081979166665</v>
      </c>
      <c r="R93" t="str">
        <f t="shared" si="14"/>
        <v>Valid Date</v>
      </c>
      <c r="S93" t="s">
        <v>447</v>
      </c>
      <c r="T93" s="5">
        <v>46035.49077546296</v>
      </c>
      <c r="U93">
        <v>99</v>
      </c>
      <c r="V93" t="str">
        <f t="shared" si="15"/>
        <v>OK</v>
      </c>
      <c r="W93" t="s">
        <v>65</v>
      </c>
      <c r="Y93" t="s">
        <v>30</v>
      </c>
    </row>
    <row r="94" spans="1:25" x14ac:dyDescent="0.25">
      <c r="A94" t="s">
        <v>449</v>
      </c>
      <c r="B94" t="str">
        <f t="shared" si="9"/>
        <v>Matokeo Yahaya Kicho</v>
      </c>
      <c r="C94">
        <v>118961</v>
      </c>
      <c r="D94" t="str">
        <f t="shared" si="8"/>
        <v>Unique</v>
      </c>
      <c r="E94" t="s">
        <v>450</v>
      </c>
      <c r="F94" s="3">
        <f t="shared" si="10"/>
        <v>45</v>
      </c>
      <c r="G94" t="s">
        <v>32</v>
      </c>
      <c r="H94" t="str">
        <f t="shared" si="11"/>
        <v>Valid</v>
      </c>
      <c r="I94" t="s">
        <v>62</v>
      </c>
      <c r="J94" t="str">
        <f t="shared" si="12"/>
        <v>Kigoma Vijijini</v>
      </c>
      <c r="K94" t="s">
        <v>40</v>
      </c>
      <c r="L94" t="str" cm="1">
        <f t="array" ref="L94">_xlfn.IFS(
ISNUMBER(SEARCH("ICU",K94)), "ICU",
ISNUMBER(SEARCH("NEONATAL",K94)), PROPER("NEONATAL"),
ISNUMBER(SEARCH("LABOUR",K94)), PROPER("LABOUR"),
ISNUMBER(SEARCH("PAEDIATRIC",K94)), PROPER("PAEDIATRIC"),
ISNUMBER(SEARCH("FEMALE SURGICAL",K94)), PROPER("FEMALE SURG, ORTHO &amp; GYN"),
ISNUMBER(SEARCH("PSYCHIATRIST",K94)), PROPER("PSYCHIATRIST"),
ISNUMBER(SEARCH("GRADE 1",K94)), PROPER("GRADE 1"),
ISNUMBER(SEARCH("MALE SURGICAL",K94)), PROPER("MALE SURG &amp; ORTHOPEDIC"),
ISNUMBER(SEARCH("MALE MEDICAL",K94)), PROPER("MALE MEDICAL"),
ISNUMBER(SEARCH("GRADE 2",K94)), PROPER("GRADE 2"),
ISNUMBER(SEARCH("FEMALE WARD",K94)), PROPER("FEMALE MEDICAL"),
TRUE, "Unmapped: " &amp; K94)</f>
        <v>Labour</v>
      </c>
      <c r="M94" t="s">
        <v>22</v>
      </c>
      <c r="O94" t="s">
        <v>451</v>
      </c>
      <c r="P94" t="str">
        <f t="shared" si="13"/>
        <v>Text Error</v>
      </c>
      <c r="Q94" s="5">
        <v>45936.971655092595</v>
      </c>
      <c r="R94" t="str">
        <f t="shared" si="14"/>
        <v>Valid Date</v>
      </c>
      <c r="S94" t="s">
        <v>452</v>
      </c>
      <c r="T94" s="5">
        <v>46031.701956018522</v>
      </c>
      <c r="U94">
        <v>94</v>
      </c>
      <c r="V94" t="str">
        <f t="shared" si="15"/>
        <v>OK</v>
      </c>
      <c r="W94" t="s">
        <v>25</v>
      </c>
      <c r="Y94" t="s">
        <v>30</v>
      </c>
    </row>
    <row r="95" spans="1:25" x14ac:dyDescent="0.25">
      <c r="A95" t="s">
        <v>453</v>
      </c>
      <c r="B95" t="str">
        <f t="shared" si="9"/>
        <v>Yasin Seleman Mlindi</v>
      </c>
      <c r="C95">
        <v>119472</v>
      </c>
      <c r="D95" t="str">
        <f t="shared" si="8"/>
        <v>Unique</v>
      </c>
      <c r="E95" t="s">
        <v>454</v>
      </c>
      <c r="F95" s="3">
        <f t="shared" si="10"/>
        <v>3</v>
      </c>
      <c r="G95" t="s">
        <v>19</v>
      </c>
      <c r="H95" t="str">
        <f t="shared" si="11"/>
        <v>Valid</v>
      </c>
      <c r="I95" t="s">
        <v>33</v>
      </c>
      <c r="J95" t="str">
        <f t="shared" si="12"/>
        <v>Kigoma Ujiji Mc</v>
      </c>
      <c r="K95" t="s">
        <v>109</v>
      </c>
      <c r="L95" t="str" cm="1">
        <f t="array" ref="L95">_xlfn.IFS(
ISNUMBER(SEARCH("ICU",K95)), "ICU",
ISNUMBER(SEARCH("NEONATAL",K95)), PROPER("NEONATAL"),
ISNUMBER(SEARCH("LABOUR",K95)), PROPER("LABOUR"),
ISNUMBER(SEARCH("PAEDIATRIC",K95)), PROPER("PAEDIATRIC"),
ISNUMBER(SEARCH("FEMALE SURGICAL",K95)), PROPER("FEMALE SURG, ORTHO &amp; GYN"),
ISNUMBER(SEARCH("PSYCHIATRIST",K95)), PROPER("PSYCHIATRIST"),
ISNUMBER(SEARCH("GRADE 1",K95)), PROPER("GRADE 1"),
ISNUMBER(SEARCH("MALE SURGICAL",K95)), PROPER("MALE SURG &amp; ORTHOPEDIC"),
ISNUMBER(SEARCH("MALE MEDICAL",K95)), PROPER("MALE MEDICAL"),
ISNUMBER(SEARCH("GRADE 2",K95)), PROPER("GRADE 2"),
ISNUMBER(SEARCH("FEMALE WARD",K95)), PROPER("FEMALE MEDICAL"),
TRUE, "Unmapped: " &amp; K95)</f>
        <v>Paediatric</v>
      </c>
      <c r="M95" t="s">
        <v>22</v>
      </c>
      <c r="O95" t="s">
        <v>455</v>
      </c>
      <c r="P95" t="str">
        <f t="shared" si="13"/>
        <v>Text Error</v>
      </c>
      <c r="Q95" s="5">
        <v>45942.049745370372</v>
      </c>
      <c r="R95" t="str">
        <f t="shared" si="14"/>
        <v>Valid Date</v>
      </c>
      <c r="S95" t="s">
        <v>456</v>
      </c>
      <c r="T95" s="5">
        <v>46035.488530092596</v>
      </c>
      <c r="U95">
        <v>93</v>
      </c>
      <c r="V95" t="str">
        <f t="shared" si="15"/>
        <v>OK</v>
      </c>
      <c r="W95" t="s">
        <v>65</v>
      </c>
      <c r="Y95" t="s">
        <v>30</v>
      </c>
    </row>
    <row r="96" spans="1:25" x14ac:dyDescent="0.25">
      <c r="A96" t="s">
        <v>458</v>
      </c>
      <c r="B96" t="str">
        <f t="shared" si="9"/>
        <v>Joyce Antony Juma</v>
      </c>
      <c r="C96">
        <v>119099</v>
      </c>
      <c r="D96" t="str">
        <f t="shared" si="8"/>
        <v>Unique</v>
      </c>
      <c r="E96" t="s">
        <v>80</v>
      </c>
      <c r="F96" s="3">
        <f t="shared" si="10"/>
        <v>24</v>
      </c>
      <c r="G96" t="s">
        <v>32</v>
      </c>
      <c r="H96" t="str">
        <f t="shared" si="11"/>
        <v>Valid</v>
      </c>
      <c r="I96" t="s">
        <v>33</v>
      </c>
      <c r="J96" t="str">
        <f t="shared" si="12"/>
        <v>Kigoma Ujiji Mc</v>
      </c>
      <c r="K96" t="s">
        <v>123</v>
      </c>
      <c r="L96" t="str" cm="1">
        <f t="array" ref="L96">_xlfn.IFS(
ISNUMBER(SEARCH("ICU",K96)), "ICU",
ISNUMBER(SEARCH("NEONATAL",K96)), PROPER("NEONATAL"),
ISNUMBER(SEARCH("LABOUR",K96)), PROPER("LABOUR"),
ISNUMBER(SEARCH("PAEDIATRIC",K96)), PROPER("PAEDIATRIC"),
ISNUMBER(SEARCH("FEMALE SURGICAL",K96)), PROPER("FEMALE SURG, ORTHO &amp; GYN"),
ISNUMBER(SEARCH("PSYCHIATRIST",K96)), PROPER("PSYCHIATRIST"),
ISNUMBER(SEARCH("GRADE 1",K96)), PROPER("GRADE 1"),
ISNUMBER(SEARCH("MALE SURGICAL",K96)), PROPER("MALE SURG &amp; ORTHOPEDIC"),
ISNUMBER(SEARCH("MALE MEDICAL",K96)), PROPER("MALE MEDICAL"),
ISNUMBER(SEARCH("GRADE 2",K96)), PROPER("GRADE 2"),
ISNUMBER(SEARCH("FEMALE WARD",K96)), PROPER("FEMALE MEDICAL"),
TRUE, "Unmapped: " &amp; K96)</f>
        <v>Female Surg, Ortho &amp; Gyn</v>
      </c>
      <c r="M96" t="s">
        <v>22</v>
      </c>
      <c r="O96" t="s">
        <v>459</v>
      </c>
      <c r="P96" t="str">
        <f t="shared" si="13"/>
        <v>Text Error</v>
      </c>
      <c r="Q96" s="5">
        <v>45938.974849537037</v>
      </c>
      <c r="R96" t="str">
        <f t="shared" si="14"/>
        <v>Valid Date</v>
      </c>
      <c r="S96" t="s">
        <v>460</v>
      </c>
      <c r="T96" s="5">
        <v>46031.812465277777</v>
      </c>
      <c r="U96">
        <v>92</v>
      </c>
      <c r="V96" t="str">
        <f t="shared" si="15"/>
        <v>OK</v>
      </c>
      <c r="W96" t="s">
        <v>25</v>
      </c>
      <c r="Y96" t="s">
        <v>30</v>
      </c>
    </row>
    <row r="97" spans="1:25" x14ac:dyDescent="0.25">
      <c r="A97" t="s">
        <v>461</v>
      </c>
      <c r="B97" t="str">
        <f t="shared" si="9"/>
        <v>Omoka Swedi Omoka</v>
      </c>
      <c r="C97">
        <v>119215</v>
      </c>
      <c r="D97" t="str">
        <f t="shared" si="8"/>
        <v>Unique</v>
      </c>
      <c r="E97" t="s">
        <v>462</v>
      </c>
      <c r="F97" s="3">
        <f t="shared" si="10"/>
        <v>15</v>
      </c>
      <c r="G97" t="s">
        <v>19</v>
      </c>
      <c r="H97" t="str">
        <f t="shared" si="11"/>
        <v>Valid</v>
      </c>
      <c r="I97" t="s">
        <v>62</v>
      </c>
      <c r="J97" t="str">
        <f t="shared" si="12"/>
        <v>Kigoma Vijijini</v>
      </c>
      <c r="K97" t="s">
        <v>428</v>
      </c>
      <c r="L97" t="str" cm="1">
        <f t="array" ref="L97">_xlfn.IFS(
ISNUMBER(SEARCH("ICU",K97)), "ICU",
ISNUMBER(SEARCH("NEONATAL",K97)), PROPER("NEONATAL"),
ISNUMBER(SEARCH("LABOUR",K97)), PROPER("LABOUR"),
ISNUMBER(SEARCH("PAEDIATRIC",K97)), PROPER("PAEDIATRIC"),
ISNUMBER(SEARCH("FEMALE SURGICAL",K97)), PROPER("FEMALE SURG, ORTHO &amp; GYN"),
ISNUMBER(SEARCH("PSYCHIATRIST",K97)), PROPER("PSYCHIATRIST"),
ISNUMBER(SEARCH("GRADE 1",K97)), PROPER("GRADE 1"),
ISNUMBER(SEARCH("MALE SURGICAL",K97)), PROPER("MALE SURG &amp; ORTHOPEDIC"),
ISNUMBER(SEARCH("MALE MEDICAL",K97)), PROPER("MALE MEDICAL"),
ISNUMBER(SEARCH("GRADE 2",K97)), PROPER("GRADE 2"),
ISNUMBER(SEARCH("FEMALE WARD",K97)), PROPER("FEMALE MEDICAL"),
TRUE, "Unmapped: " &amp; K97)</f>
        <v>Male Surg &amp; Orthopedic</v>
      </c>
      <c r="M97" t="s">
        <v>22</v>
      </c>
      <c r="O97" t="s">
        <v>463</v>
      </c>
      <c r="P97" t="str">
        <f t="shared" si="13"/>
        <v>Text Error</v>
      </c>
      <c r="Q97" s="5">
        <v>45938.995567129627</v>
      </c>
      <c r="R97" t="str">
        <f t="shared" si="14"/>
        <v>Valid Date</v>
      </c>
      <c r="S97" t="s">
        <v>464</v>
      </c>
      <c r="T97" s="5">
        <v>46031.754479166666</v>
      </c>
      <c r="U97">
        <v>92</v>
      </c>
      <c r="V97" t="str">
        <f t="shared" si="15"/>
        <v>OK</v>
      </c>
      <c r="W97" t="s">
        <v>25</v>
      </c>
      <c r="Y97" t="s">
        <v>30</v>
      </c>
    </row>
    <row r="98" spans="1:25" x14ac:dyDescent="0.25">
      <c r="A98" t="s">
        <v>466</v>
      </c>
      <c r="B98" t="str">
        <f t="shared" si="9"/>
        <v>Bashiru Juma Msolewago</v>
      </c>
      <c r="C98">
        <v>119216</v>
      </c>
      <c r="D98" t="str">
        <f t="shared" si="8"/>
        <v>Unique</v>
      </c>
      <c r="E98" t="s">
        <v>462</v>
      </c>
      <c r="F98" s="3">
        <f t="shared" si="10"/>
        <v>15</v>
      </c>
      <c r="G98" t="s">
        <v>19</v>
      </c>
      <c r="H98" t="str">
        <f t="shared" si="11"/>
        <v>Valid</v>
      </c>
      <c r="I98" t="s">
        <v>62</v>
      </c>
      <c r="J98" t="str">
        <f t="shared" si="12"/>
        <v>Kigoma Vijijini</v>
      </c>
      <c r="K98" t="s">
        <v>428</v>
      </c>
      <c r="L98" t="str" cm="1">
        <f t="array" ref="L98">_xlfn.IFS(
ISNUMBER(SEARCH("ICU",K98)), "ICU",
ISNUMBER(SEARCH("NEONATAL",K98)), PROPER("NEONATAL"),
ISNUMBER(SEARCH("LABOUR",K98)), PROPER("LABOUR"),
ISNUMBER(SEARCH("PAEDIATRIC",K98)), PROPER("PAEDIATRIC"),
ISNUMBER(SEARCH("FEMALE SURGICAL",K98)), PROPER("FEMALE SURG, ORTHO &amp; GYN"),
ISNUMBER(SEARCH("PSYCHIATRIST",K98)), PROPER("PSYCHIATRIST"),
ISNUMBER(SEARCH("GRADE 1",K98)), PROPER("GRADE 1"),
ISNUMBER(SEARCH("MALE SURGICAL",K98)), PROPER("MALE SURG &amp; ORTHOPEDIC"),
ISNUMBER(SEARCH("MALE MEDICAL",K98)), PROPER("MALE MEDICAL"),
ISNUMBER(SEARCH("GRADE 2",K98)), PROPER("GRADE 2"),
ISNUMBER(SEARCH("FEMALE WARD",K98)), PROPER("FEMALE MEDICAL"),
TRUE, "Unmapped: " &amp; K98)</f>
        <v>Male Surg &amp; Orthopedic</v>
      </c>
      <c r="M98" t="s">
        <v>22</v>
      </c>
      <c r="O98" t="s">
        <v>467</v>
      </c>
      <c r="P98" t="str">
        <f t="shared" si="13"/>
        <v>Text Error</v>
      </c>
      <c r="Q98" s="5">
        <v>45938.995787037034</v>
      </c>
      <c r="R98" t="str">
        <f t="shared" si="14"/>
        <v>Valid Date</v>
      </c>
      <c r="S98" t="s">
        <v>468</v>
      </c>
      <c r="T98" s="5">
        <v>46031.755254629628</v>
      </c>
      <c r="U98">
        <v>92</v>
      </c>
      <c r="V98" t="str">
        <f t="shared" si="15"/>
        <v>OK</v>
      </c>
      <c r="W98" t="s">
        <v>25</v>
      </c>
      <c r="Y98" t="s">
        <v>30</v>
      </c>
    </row>
    <row r="99" spans="1:25" x14ac:dyDescent="0.25">
      <c r="A99" t="s">
        <v>469</v>
      </c>
      <c r="B99" t="str">
        <f t="shared" si="9"/>
        <v>Jesca Fales Bitaliho</v>
      </c>
      <c r="C99">
        <v>119514</v>
      </c>
      <c r="D99" t="str">
        <f t="shared" si="8"/>
        <v>Unique</v>
      </c>
      <c r="E99" t="s">
        <v>454</v>
      </c>
      <c r="F99" s="3">
        <f t="shared" si="10"/>
        <v>3</v>
      </c>
      <c r="G99" t="s">
        <v>32</v>
      </c>
      <c r="H99" t="str">
        <f t="shared" si="11"/>
        <v>Valid</v>
      </c>
      <c r="I99" t="s">
        <v>260</v>
      </c>
      <c r="J99" t="str">
        <f t="shared" si="12"/>
        <v>Kasulu</v>
      </c>
      <c r="K99" t="s">
        <v>109</v>
      </c>
      <c r="L99" t="str" cm="1">
        <f t="array" ref="L99">_xlfn.IFS(
ISNUMBER(SEARCH("ICU",K99)), "ICU",
ISNUMBER(SEARCH("NEONATAL",K99)), PROPER("NEONATAL"),
ISNUMBER(SEARCH("LABOUR",K99)), PROPER("LABOUR"),
ISNUMBER(SEARCH("PAEDIATRIC",K99)), PROPER("PAEDIATRIC"),
ISNUMBER(SEARCH("FEMALE SURGICAL",K99)), PROPER("FEMALE SURG, ORTHO &amp; GYN"),
ISNUMBER(SEARCH("PSYCHIATRIST",K99)), PROPER("PSYCHIATRIST"),
ISNUMBER(SEARCH("GRADE 1",K99)), PROPER("GRADE 1"),
ISNUMBER(SEARCH("MALE SURGICAL",K99)), PROPER("MALE SURG &amp; ORTHOPEDIC"),
ISNUMBER(SEARCH("MALE MEDICAL",K99)), PROPER("MALE MEDICAL"),
ISNUMBER(SEARCH("GRADE 2",K99)), PROPER("GRADE 2"),
ISNUMBER(SEARCH("FEMALE WARD",K99)), PROPER("FEMALE MEDICAL"),
TRUE, "Unmapped: " &amp; K99)</f>
        <v>Paediatric</v>
      </c>
      <c r="M99" t="s">
        <v>22</v>
      </c>
      <c r="O99" t="s">
        <v>470</v>
      </c>
      <c r="P99" t="str">
        <f t="shared" si="13"/>
        <v>Text Error</v>
      </c>
      <c r="Q99" s="5">
        <v>45942.737280092595</v>
      </c>
      <c r="R99" t="str">
        <f t="shared" si="14"/>
        <v>Valid Date</v>
      </c>
      <c r="S99" t="s">
        <v>471</v>
      </c>
      <c r="T99" s="5">
        <v>46035.488125000003</v>
      </c>
      <c r="U99">
        <v>92</v>
      </c>
      <c r="V99" t="str">
        <f t="shared" si="15"/>
        <v>OK</v>
      </c>
      <c r="W99" t="s">
        <v>65</v>
      </c>
      <c r="Y99" t="s">
        <v>30</v>
      </c>
    </row>
    <row r="100" spans="1:25" x14ac:dyDescent="0.25">
      <c r="A100" t="s">
        <v>473</v>
      </c>
      <c r="B100" t="str">
        <f t="shared" si="9"/>
        <v>Furaha Rashid Ishibyumbi</v>
      </c>
      <c r="C100">
        <v>113780</v>
      </c>
      <c r="D100" t="str">
        <f t="shared" si="8"/>
        <v>Unique</v>
      </c>
      <c r="E100" t="s">
        <v>474</v>
      </c>
      <c r="F100" s="3">
        <f t="shared" si="10"/>
        <v>53</v>
      </c>
      <c r="G100" t="s">
        <v>32</v>
      </c>
      <c r="H100" t="str">
        <f t="shared" si="11"/>
        <v>Valid</v>
      </c>
      <c r="I100" t="s">
        <v>33</v>
      </c>
      <c r="J100" t="str">
        <f t="shared" si="12"/>
        <v>Kigoma Ujiji Mc</v>
      </c>
      <c r="K100" t="s">
        <v>123</v>
      </c>
      <c r="L100" t="str" cm="1">
        <f t="array" ref="L100">_xlfn.IFS(
ISNUMBER(SEARCH("ICU",K100)), "ICU",
ISNUMBER(SEARCH("NEONATAL",K100)), PROPER("NEONATAL"),
ISNUMBER(SEARCH("LABOUR",K100)), PROPER("LABOUR"),
ISNUMBER(SEARCH("PAEDIATRIC",K100)), PROPER("PAEDIATRIC"),
ISNUMBER(SEARCH("FEMALE SURGICAL",K100)), PROPER("FEMALE SURG, ORTHO &amp; GYN"),
ISNUMBER(SEARCH("PSYCHIATRIST",K100)), PROPER("PSYCHIATRIST"),
ISNUMBER(SEARCH("GRADE 1",K100)), PROPER("GRADE 1"),
ISNUMBER(SEARCH("MALE SURGICAL",K100)), PROPER("MALE SURG &amp; ORTHOPEDIC"),
ISNUMBER(SEARCH("MALE MEDICAL",K100)), PROPER("MALE MEDICAL"),
ISNUMBER(SEARCH("GRADE 2",K100)), PROPER("GRADE 2"),
ISNUMBER(SEARCH("FEMALE WARD",K100)), PROPER("FEMALE MEDICAL"),
TRUE, "Unmapped: " &amp; K100)</f>
        <v>Female Surg, Ortho &amp; Gyn</v>
      </c>
      <c r="M100" t="s">
        <v>22</v>
      </c>
      <c r="O100" t="s">
        <v>475</v>
      </c>
      <c r="P100" t="str">
        <f t="shared" si="13"/>
        <v>Text Error</v>
      </c>
      <c r="Q100" s="5">
        <v>45942.612175925926</v>
      </c>
      <c r="R100" t="str">
        <f t="shared" si="14"/>
        <v>Valid Date</v>
      </c>
      <c r="S100" t="s">
        <v>476</v>
      </c>
      <c r="T100" s="5">
        <v>46031.813194444447</v>
      </c>
      <c r="U100">
        <v>89</v>
      </c>
      <c r="V100" t="str">
        <f t="shared" si="15"/>
        <v>OK</v>
      </c>
      <c r="W100" t="s">
        <v>397</v>
      </c>
      <c r="Y100" t="s">
        <v>30</v>
      </c>
    </row>
    <row r="101" spans="1:25" x14ac:dyDescent="0.25">
      <c r="A101" t="s">
        <v>478</v>
      </c>
      <c r="B101" t="str">
        <f t="shared" si="9"/>
        <v>Feisali Haruna Mussa</v>
      </c>
      <c r="C101">
        <v>120085</v>
      </c>
      <c r="D101" t="str">
        <f t="shared" si="8"/>
        <v>Unique</v>
      </c>
      <c r="E101" t="s">
        <v>18</v>
      </c>
      <c r="F101" s="3">
        <f t="shared" si="10"/>
        <v>1</v>
      </c>
      <c r="G101" t="s">
        <v>19</v>
      </c>
      <c r="H101" t="str">
        <f t="shared" si="11"/>
        <v>Valid</v>
      </c>
      <c r="I101" t="s">
        <v>62</v>
      </c>
      <c r="J101" t="str">
        <f t="shared" si="12"/>
        <v>Kigoma Vijijini</v>
      </c>
      <c r="K101" t="s">
        <v>109</v>
      </c>
      <c r="L101" t="str" cm="1">
        <f t="array" ref="L101">_xlfn.IFS(
ISNUMBER(SEARCH("ICU",K101)), "ICU",
ISNUMBER(SEARCH("NEONATAL",K101)), PROPER("NEONATAL"),
ISNUMBER(SEARCH("LABOUR",K101)), PROPER("LABOUR"),
ISNUMBER(SEARCH("PAEDIATRIC",K101)), PROPER("PAEDIATRIC"),
ISNUMBER(SEARCH("FEMALE SURGICAL",K101)), PROPER("FEMALE SURG, ORTHO &amp; GYN"),
ISNUMBER(SEARCH("PSYCHIATRIST",K101)), PROPER("PSYCHIATRIST"),
ISNUMBER(SEARCH("GRADE 1",K101)), PROPER("GRADE 1"),
ISNUMBER(SEARCH("MALE SURGICAL",K101)), PROPER("MALE SURG &amp; ORTHOPEDIC"),
ISNUMBER(SEARCH("MALE MEDICAL",K101)), PROPER("MALE MEDICAL"),
ISNUMBER(SEARCH("GRADE 2",K101)), PROPER("GRADE 2"),
ISNUMBER(SEARCH("FEMALE WARD",K101)), PROPER("FEMALE MEDICAL"),
TRUE, "Unmapped: " &amp; K101)</f>
        <v>Paediatric</v>
      </c>
      <c r="M101" t="s">
        <v>22</v>
      </c>
      <c r="O101" t="s">
        <v>479</v>
      </c>
      <c r="P101" t="str">
        <f t="shared" si="13"/>
        <v>Text Error</v>
      </c>
      <c r="Q101" s="5">
        <v>45945.60365740741</v>
      </c>
      <c r="R101" t="str">
        <f t="shared" si="14"/>
        <v>Valid Date</v>
      </c>
      <c r="S101" t="s">
        <v>480</v>
      </c>
      <c r="T101" s="5">
        <v>46035.487233796295</v>
      </c>
      <c r="U101">
        <v>89</v>
      </c>
      <c r="V101" t="str">
        <f t="shared" si="15"/>
        <v>OK</v>
      </c>
      <c r="W101" t="s">
        <v>65</v>
      </c>
      <c r="Y101" t="s">
        <v>30</v>
      </c>
    </row>
    <row r="102" spans="1:25" x14ac:dyDescent="0.25">
      <c r="A102" t="s">
        <v>483</v>
      </c>
      <c r="B102" t="str">
        <f t="shared" si="9"/>
        <v>William Shabani Malabe</v>
      </c>
      <c r="C102">
        <v>119510</v>
      </c>
      <c r="D102" t="str">
        <f t="shared" si="8"/>
        <v>Unique</v>
      </c>
      <c r="E102" t="s">
        <v>400</v>
      </c>
      <c r="F102" s="3">
        <f t="shared" si="10"/>
        <v>39</v>
      </c>
      <c r="G102" t="s">
        <v>19</v>
      </c>
      <c r="H102" t="str">
        <f t="shared" si="11"/>
        <v>Valid</v>
      </c>
      <c r="I102" t="s">
        <v>260</v>
      </c>
      <c r="J102" t="str">
        <f t="shared" si="12"/>
        <v>Kasulu</v>
      </c>
      <c r="K102" t="s">
        <v>484</v>
      </c>
      <c r="L102" t="str" cm="1">
        <f t="array" ref="L102">_xlfn.IFS(
ISNUMBER(SEARCH("ICU",K102)), "ICU",
ISNUMBER(SEARCH("NEONATAL",K102)), PROPER("NEONATAL"),
ISNUMBER(SEARCH("LABOUR",K102)), PROPER("LABOUR"),
ISNUMBER(SEARCH("PAEDIATRIC",K102)), PROPER("PAEDIATRIC"),
ISNUMBER(SEARCH("FEMALE SURGICAL",K102)), PROPER("FEMALE SURG, ORTHO &amp; GYN"),
ISNUMBER(SEARCH("PSYCHIATRIST",K102)), PROPER("PSYCHIATRIST"),
ISNUMBER(SEARCH("GRADE 1",K102)), PROPER("GRADE 1"),
ISNUMBER(SEARCH("MALE SURGICAL",K102)), PROPER("MALE SURG &amp; ORTHOPEDIC"),
ISNUMBER(SEARCH("MALE MEDICAL",K102)), PROPER("MALE MEDICAL"),
ISNUMBER(SEARCH("GRADE 2",K102)), PROPER("GRADE 2"),
ISNUMBER(SEARCH("FEMALE WARD",K102)), PROPER("FEMALE MEDICAL"),
TRUE, "Unmapped: " &amp; K102)</f>
        <v>Male Medical</v>
      </c>
      <c r="M102" t="s">
        <v>22</v>
      </c>
      <c r="O102" t="s">
        <v>485</v>
      </c>
      <c r="P102" t="str">
        <f t="shared" si="13"/>
        <v>Text Error</v>
      </c>
      <c r="Q102" s="5">
        <v>45942.802847222221</v>
      </c>
      <c r="R102" t="str">
        <f t="shared" si="14"/>
        <v>Valid Date</v>
      </c>
      <c r="S102" t="s">
        <v>486</v>
      </c>
      <c r="T102" s="5">
        <v>46031.760601851849</v>
      </c>
      <c r="U102">
        <v>88</v>
      </c>
      <c r="V102" t="str">
        <f t="shared" si="15"/>
        <v>OK</v>
      </c>
      <c r="W102" t="s">
        <v>211</v>
      </c>
      <c r="Y102" t="s">
        <v>30</v>
      </c>
    </row>
    <row r="103" spans="1:25" x14ac:dyDescent="0.25">
      <c r="A103" t="s">
        <v>488</v>
      </c>
      <c r="B103" t="str">
        <f t="shared" si="9"/>
        <v>Naomi Lisiasi Mayugi</v>
      </c>
      <c r="C103">
        <v>99717</v>
      </c>
      <c r="D103" t="str">
        <f t="shared" si="8"/>
        <v>Unique</v>
      </c>
      <c r="E103" t="s">
        <v>61</v>
      </c>
      <c r="F103" s="3">
        <f t="shared" si="10"/>
        <v>29</v>
      </c>
      <c r="G103" t="s">
        <v>32</v>
      </c>
      <c r="H103" t="str">
        <f t="shared" si="11"/>
        <v>Valid</v>
      </c>
      <c r="I103" t="s">
        <v>260</v>
      </c>
      <c r="J103" t="str">
        <f t="shared" si="12"/>
        <v>Kasulu</v>
      </c>
      <c r="K103" t="s">
        <v>202</v>
      </c>
      <c r="L103" t="str" cm="1">
        <f t="array" ref="L103">_xlfn.IFS(
ISNUMBER(SEARCH("ICU",K103)), "ICU",
ISNUMBER(SEARCH("NEONATAL",K103)), PROPER("NEONATAL"),
ISNUMBER(SEARCH("LABOUR",K103)), PROPER("LABOUR"),
ISNUMBER(SEARCH("PAEDIATRIC",K103)), PROPER("PAEDIATRIC"),
ISNUMBER(SEARCH("FEMALE SURGICAL",K103)), PROPER("FEMALE SURG, ORTHO &amp; GYN"),
ISNUMBER(SEARCH("PSYCHIATRIST",K103)), PROPER("PSYCHIATRIST"),
ISNUMBER(SEARCH("GRADE 1",K103)), PROPER("GRADE 1"),
ISNUMBER(SEARCH("MALE SURGICAL",K103)), PROPER("MALE SURG &amp; ORTHOPEDIC"),
ISNUMBER(SEARCH("MALE MEDICAL",K103)), PROPER("MALE MEDICAL"),
ISNUMBER(SEARCH("GRADE 2",K103)), PROPER("GRADE 2"),
ISNUMBER(SEARCH("FEMALE WARD",K103)), PROPER("FEMALE MEDICAL"),
TRUE, "Unmapped: " &amp; K103)</f>
        <v>Psychiatrist</v>
      </c>
      <c r="M103" t="s">
        <v>22</v>
      </c>
      <c r="O103" t="s">
        <v>489</v>
      </c>
      <c r="P103" t="str">
        <f t="shared" si="13"/>
        <v>Text Error</v>
      </c>
      <c r="Q103" s="5">
        <v>45947.482430555552</v>
      </c>
      <c r="R103" t="str">
        <f t="shared" si="14"/>
        <v>Valid Date</v>
      </c>
      <c r="S103" t="s">
        <v>490</v>
      </c>
      <c r="T103" s="5">
        <v>46034.651747685188</v>
      </c>
      <c r="U103">
        <v>87</v>
      </c>
      <c r="V103" t="str">
        <f t="shared" si="15"/>
        <v>OK</v>
      </c>
      <c r="W103" t="s">
        <v>25</v>
      </c>
      <c r="Y103" t="s">
        <v>30</v>
      </c>
    </row>
    <row r="104" spans="1:25" x14ac:dyDescent="0.25">
      <c r="A104" t="s">
        <v>494</v>
      </c>
      <c r="B104" t="str">
        <f t="shared" si="9"/>
        <v>Yesse Alex Ntaliligwa</v>
      </c>
      <c r="C104">
        <v>108267</v>
      </c>
      <c r="D104" t="str">
        <f t="shared" si="8"/>
        <v>Unique</v>
      </c>
      <c r="E104" t="s">
        <v>142</v>
      </c>
      <c r="F104" s="3">
        <f t="shared" si="10"/>
        <v>20</v>
      </c>
      <c r="G104" t="s">
        <v>19</v>
      </c>
      <c r="H104" t="str">
        <f t="shared" si="11"/>
        <v>Valid</v>
      </c>
      <c r="I104" t="s">
        <v>33</v>
      </c>
      <c r="J104" t="str">
        <f t="shared" si="12"/>
        <v>Kigoma Ujiji Mc</v>
      </c>
      <c r="K104" t="s">
        <v>428</v>
      </c>
      <c r="L104" t="str" cm="1">
        <f t="array" ref="L104">_xlfn.IFS(
ISNUMBER(SEARCH("ICU",K104)), "ICU",
ISNUMBER(SEARCH("NEONATAL",K104)), PROPER("NEONATAL"),
ISNUMBER(SEARCH("LABOUR",K104)), PROPER("LABOUR"),
ISNUMBER(SEARCH("PAEDIATRIC",K104)), PROPER("PAEDIATRIC"),
ISNUMBER(SEARCH("FEMALE SURGICAL",K104)), PROPER("FEMALE SURG, ORTHO &amp; GYN"),
ISNUMBER(SEARCH("PSYCHIATRIST",K104)), PROPER("PSYCHIATRIST"),
ISNUMBER(SEARCH("GRADE 1",K104)), PROPER("GRADE 1"),
ISNUMBER(SEARCH("MALE SURGICAL",K104)), PROPER("MALE SURG &amp; ORTHOPEDIC"),
ISNUMBER(SEARCH("MALE MEDICAL",K104)), PROPER("MALE MEDICAL"),
ISNUMBER(SEARCH("GRADE 2",K104)), PROPER("GRADE 2"),
ISNUMBER(SEARCH("FEMALE WARD",K104)), PROPER("FEMALE MEDICAL"),
TRUE, "Unmapped: " &amp; K104)</f>
        <v>Male Surg &amp; Orthopedic</v>
      </c>
      <c r="M104" t="s">
        <v>22</v>
      </c>
      <c r="O104" t="s">
        <v>495</v>
      </c>
      <c r="P104" t="str">
        <f t="shared" si="13"/>
        <v>Text Error</v>
      </c>
      <c r="Q104" s="5">
        <v>45944.837361111109</v>
      </c>
      <c r="R104" t="str">
        <f t="shared" si="14"/>
        <v>Valid Date</v>
      </c>
      <c r="S104" t="s">
        <v>496</v>
      </c>
      <c r="T104" s="5">
        <v>46031.755798611113</v>
      </c>
      <c r="U104">
        <v>86</v>
      </c>
      <c r="V104" t="str">
        <f t="shared" si="15"/>
        <v>OK</v>
      </c>
      <c r="W104" t="s">
        <v>25</v>
      </c>
      <c r="Y104" t="s">
        <v>30</v>
      </c>
    </row>
    <row r="105" spans="1:25" x14ac:dyDescent="0.25">
      <c r="A105" t="s">
        <v>498</v>
      </c>
      <c r="B105" t="str">
        <f t="shared" si="9"/>
        <v>Hajulikani Unkwown Hajulikani</v>
      </c>
      <c r="C105">
        <v>119945</v>
      </c>
      <c r="D105" t="str">
        <f t="shared" si="8"/>
        <v>Unique</v>
      </c>
      <c r="E105" t="s">
        <v>147</v>
      </c>
      <c r="F105" s="3">
        <f t="shared" si="10"/>
        <v>30</v>
      </c>
      <c r="G105" t="s">
        <v>19</v>
      </c>
      <c r="H105" t="str">
        <f t="shared" si="11"/>
        <v>Valid</v>
      </c>
      <c r="I105" t="s">
        <v>33</v>
      </c>
      <c r="J105" t="str">
        <f t="shared" si="12"/>
        <v>Kigoma Ujiji Mc</v>
      </c>
      <c r="K105" t="s">
        <v>428</v>
      </c>
      <c r="L105" t="str" cm="1">
        <f t="array" ref="L105">_xlfn.IFS(
ISNUMBER(SEARCH("ICU",K105)), "ICU",
ISNUMBER(SEARCH("NEONATAL",K105)), PROPER("NEONATAL"),
ISNUMBER(SEARCH("LABOUR",K105)), PROPER("LABOUR"),
ISNUMBER(SEARCH("PAEDIATRIC",K105)), PROPER("PAEDIATRIC"),
ISNUMBER(SEARCH("FEMALE SURGICAL",K105)), PROPER("FEMALE SURG, ORTHO &amp; GYN"),
ISNUMBER(SEARCH("PSYCHIATRIST",K105)), PROPER("PSYCHIATRIST"),
ISNUMBER(SEARCH("GRADE 1",K105)), PROPER("GRADE 1"),
ISNUMBER(SEARCH("MALE SURGICAL",K105)), PROPER("MALE SURG &amp; ORTHOPEDIC"),
ISNUMBER(SEARCH("MALE MEDICAL",K105)), PROPER("MALE MEDICAL"),
ISNUMBER(SEARCH("GRADE 2",K105)), PROPER("GRADE 2"),
ISNUMBER(SEARCH("FEMALE WARD",K105)), PROPER("FEMALE MEDICAL"),
TRUE, "Unmapped: " &amp; K105)</f>
        <v>Male Surg &amp; Orthopedic</v>
      </c>
      <c r="M105" t="s">
        <v>22</v>
      </c>
      <c r="O105" t="s">
        <v>499</v>
      </c>
      <c r="P105" t="str">
        <f t="shared" si="13"/>
        <v>Text Error</v>
      </c>
      <c r="Q105" s="5">
        <v>45945.059502314813</v>
      </c>
      <c r="R105" t="str">
        <f t="shared" si="14"/>
        <v>Valid Date</v>
      </c>
      <c r="S105" t="s">
        <v>500</v>
      </c>
      <c r="T105" s="5">
        <v>46031.756145833337</v>
      </c>
      <c r="U105">
        <v>86</v>
      </c>
      <c r="V105" t="str">
        <f t="shared" si="15"/>
        <v>OK</v>
      </c>
      <c r="W105" t="s">
        <v>25</v>
      </c>
      <c r="Y105" t="s">
        <v>30</v>
      </c>
    </row>
    <row r="106" spans="1:25" x14ac:dyDescent="0.25">
      <c r="A106" t="s">
        <v>501</v>
      </c>
      <c r="B106" t="str">
        <f t="shared" si="9"/>
        <v>Mariam Yadunia Stevin</v>
      </c>
      <c r="C106">
        <v>119942</v>
      </c>
      <c r="D106" t="str">
        <f t="shared" si="8"/>
        <v>Unique</v>
      </c>
      <c r="E106" t="s">
        <v>138</v>
      </c>
      <c r="F106" s="3">
        <f t="shared" si="10"/>
        <v>18</v>
      </c>
      <c r="G106" t="s">
        <v>32</v>
      </c>
      <c r="H106" t="str">
        <f t="shared" si="11"/>
        <v>Valid</v>
      </c>
      <c r="I106" t="s">
        <v>20</v>
      </c>
      <c r="J106" t="str">
        <f t="shared" si="12"/>
        <v>Uvinza</v>
      </c>
      <c r="K106" t="s">
        <v>123</v>
      </c>
      <c r="L106" t="str" cm="1">
        <f t="array" ref="L106">_xlfn.IFS(
ISNUMBER(SEARCH("ICU",K106)), "ICU",
ISNUMBER(SEARCH("NEONATAL",K106)), PROPER("NEONATAL"),
ISNUMBER(SEARCH("LABOUR",K106)), PROPER("LABOUR"),
ISNUMBER(SEARCH("PAEDIATRIC",K106)), PROPER("PAEDIATRIC"),
ISNUMBER(SEARCH("FEMALE SURGICAL",K106)), PROPER("FEMALE SURG, ORTHO &amp; GYN"),
ISNUMBER(SEARCH("PSYCHIATRIST",K106)), PROPER("PSYCHIATRIST"),
ISNUMBER(SEARCH("GRADE 1",K106)), PROPER("GRADE 1"),
ISNUMBER(SEARCH("MALE SURGICAL",K106)), PROPER("MALE SURG &amp; ORTHOPEDIC"),
ISNUMBER(SEARCH("MALE MEDICAL",K106)), PROPER("MALE MEDICAL"),
ISNUMBER(SEARCH("GRADE 2",K106)), PROPER("GRADE 2"),
ISNUMBER(SEARCH("FEMALE WARD",K106)), PROPER("FEMALE MEDICAL"),
TRUE, "Unmapped: " &amp; K106)</f>
        <v>Female Surg, Ortho &amp; Gyn</v>
      </c>
      <c r="M106" t="s">
        <v>22</v>
      </c>
      <c r="O106" t="s">
        <v>502</v>
      </c>
      <c r="P106" t="str">
        <f t="shared" si="13"/>
        <v>Text Error</v>
      </c>
      <c r="Q106" s="5">
        <v>45945.094710648147</v>
      </c>
      <c r="R106" t="str">
        <f t="shared" si="14"/>
        <v>Valid Date</v>
      </c>
      <c r="S106" t="s">
        <v>503</v>
      </c>
      <c r="T106" s="5">
        <v>46031.813506944447</v>
      </c>
      <c r="U106">
        <v>86</v>
      </c>
      <c r="V106" t="str">
        <f t="shared" si="15"/>
        <v>OK</v>
      </c>
      <c r="W106" t="s">
        <v>25</v>
      </c>
      <c r="Y106" t="s">
        <v>30</v>
      </c>
    </row>
    <row r="107" spans="1:25" x14ac:dyDescent="0.25">
      <c r="A107" t="s">
        <v>505</v>
      </c>
      <c r="B107" t="str">
        <f t="shared" si="9"/>
        <v>Rafael Elphini Rafael</v>
      </c>
      <c r="C107">
        <v>119835</v>
      </c>
      <c r="D107" t="str">
        <f t="shared" si="8"/>
        <v>Unique</v>
      </c>
      <c r="E107" t="s">
        <v>506</v>
      </c>
      <c r="F107" s="3" t="str">
        <f t="shared" si="10"/>
        <v>5/12</v>
      </c>
      <c r="G107" t="s">
        <v>32</v>
      </c>
      <c r="H107" t="str">
        <f t="shared" si="11"/>
        <v>Valid</v>
      </c>
      <c r="I107" t="s">
        <v>20</v>
      </c>
      <c r="J107" t="str">
        <f t="shared" si="12"/>
        <v>Uvinza</v>
      </c>
      <c r="K107" t="s">
        <v>21</v>
      </c>
      <c r="L107" t="str" cm="1">
        <f t="array" ref="L107">_xlfn.IFS(
ISNUMBER(SEARCH("ICU",K107)), "ICU",
ISNUMBER(SEARCH("NEONATAL",K107)), PROPER("NEONATAL"),
ISNUMBER(SEARCH("LABOUR",K107)), PROPER("LABOUR"),
ISNUMBER(SEARCH("PAEDIATRIC",K107)), PROPER("PAEDIATRIC"),
ISNUMBER(SEARCH("FEMALE SURGICAL",K107)), PROPER("FEMALE SURG, ORTHO &amp; GYN"),
ISNUMBER(SEARCH("PSYCHIATRIST",K107)), PROPER("PSYCHIATRIST"),
ISNUMBER(SEARCH("GRADE 1",K107)), PROPER("GRADE 1"),
ISNUMBER(SEARCH("MALE SURGICAL",K107)), PROPER("MALE SURG &amp; ORTHOPEDIC"),
ISNUMBER(SEARCH("MALE MEDICAL",K107)), PROPER("MALE MEDICAL"),
ISNUMBER(SEARCH("GRADE 2",K107)), PROPER("GRADE 2"),
ISNUMBER(SEARCH("FEMALE WARD",K107)), PROPER("FEMALE MEDICAL"),
TRUE, "Unmapped: " &amp; K107)</f>
        <v>Neonatal</v>
      </c>
      <c r="M107" t="s">
        <v>22</v>
      </c>
      <c r="O107" t="s">
        <v>507</v>
      </c>
      <c r="P107" t="str">
        <f t="shared" si="13"/>
        <v>Text Error</v>
      </c>
      <c r="Q107" s="5">
        <v>45945.310081018521</v>
      </c>
      <c r="R107" t="str">
        <f t="shared" si="14"/>
        <v>Valid Date</v>
      </c>
      <c r="S107" t="s">
        <v>508</v>
      </c>
      <c r="T107" s="5">
        <v>46031.796979166669</v>
      </c>
      <c r="U107">
        <v>86</v>
      </c>
      <c r="V107" t="str">
        <f t="shared" si="15"/>
        <v>OK</v>
      </c>
      <c r="W107" t="s">
        <v>25</v>
      </c>
      <c r="Y107" t="s">
        <v>30</v>
      </c>
    </row>
    <row r="108" spans="1:25" x14ac:dyDescent="0.25">
      <c r="A108" t="s">
        <v>509</v>
      </c>
      <c r="B108" t="str">
        <f t="shared" si="9"/>
        <v>Asia Yahaya Ramadhan</v>
      </c>
      <c r="C108">
        <v>120330</v>
      </c>
      <c r="D108" t="str">
        <f t="shared" si="8"/>
        <v>Unique</v>
      </c>
      <c r="E108" t="s">
        <v>80</v>
      </c>
      <c r="F108" s="3">
        <f t="shared" si="10"/>
        <v>24</v>
      </c>
      <c r="G108" t="s">
        <v>32</v>
      </c>
      <c r="H108" t="str">
        <f t="shared" si="11"/>
        <v>Valid</v>
      </c>
      <c r="I108" t="s">
        <v>62</v>
      </c>
      <c r="J108" t="str">
        <f t="shared" si="12"/>
        <v>Kigoma Vijijini</v>
      </c>
      <c r="K108" t="s">
        <v>40</v>
      </c>
      <c r="L108" t="str" cm="1">
        <f t="array" ref="L108">_xlfn.IFS(
ISNUMBER(SEARCH("ICU",K108)), "ICU",
ISNUMBER(SEARCH("NEONATAL",K108)), PROPER("NEONATAL"),
ISNUMBER(SEARCH("LABOUR",K108)), PROPER("LABOUR"),
ISNUMBER(SEARCH("PAEDIATRIC",K108)), PROPER("PAEDIATRIC"),
ISNUMBER(SEARCH("FEMALE SURGICAL",K108)), PROPER("FEMALE SURG, ORTHO &amp; GYN"),
ISNUMBER(SEARCH("PSYCHIATRIST",K108)), PROPER("PSYCHIATRIST"),
ISNUMBER(SEARCH("GRADE 1",K108)), PROPER("GRADE 1"),
ISNUMBER(SEARCH("MALE SURGICAL",K108)), PROPER("MALE SURG &amp; ORTHOPEDIC"),
ISNUMBER(SEARCH("MALE MEDICAL",K108)), PROPER("MALE MEDICAL"),
ISNUMBER(SEARCH("GRADE 2",K108)), PROPER("GRADE 2"),
ISNUMBER(SEARCH("FEMALE WARD",K108)), PROPER("FEMALE MEDICAL"),
TRUE, "Unmapped: " &amp; K108)</f>
        <v>Labour</v>
      </c>
      <c r="M108" t="s">
        <v>22</v>
      </c>
      <c r="O108" t="s">
        <v>510</v>
      </c>
      <c r="P108" t="str">
        <f t="shared" si="13"/>
        <v>Text Error</v>
      </c>
      <c r="Q108" s="5">
        <v>45946.834710648145</v>
      </c>
      <c r="R108" t="str">
        <f t="shared" si="14"/>
        <v>Valid Date</v>
      </c>
      <c r="S108" t="s">
        <v>511</v>
      </c>
      <c r="T108" s="5">
        <v>46031.735266203701</v>
      </c>
      <c r="U108">
        <v>84</v>
      </c>
      <c r="V108" t="str">
        <f t="shared" si="15"/>
        <v>OK</v>
      </c>
      <c r="W108" t="s">
        <v>25</v>
      </c>
      <c r="Y108" t="s">
        <v>30</v>
      </c>
    </row>
    <row r="109" spans="1:25" x14ac:dyDescent="0.25">
      <c r="A109" t="s">
        <v>512</v>
      </c>
      <c r="B109" t="str">
        <f t="shared" si="9"/>
        <v>Baby Of Mary Leonard Alimaoa</v>
      </c>
      <c r="C109">
        <v>120336</v>
      </c>
      <c r="D109" t="str">
        <f t="shared" si="8"/>
        <v>Unique</v>
      </c>
      <c r="E109" t="s">
        <v>506</v>
      </c>
      <c r="F109" s="3" t="str">
        <f t="shared" si="10"/>
        <v>5/12</v>
      </c>
      <c r="G109" t="s">
        <v>32</v>
      </c>
      <c r="H109" t="str">
        <f t="shared" si="11"/>
        <v>Valid</v>
      </c>
      <c r="I109" t="s">
        <v>62</v>
      </c>
      <c r="J109" t="str">
        <f t="shared" si="12"/>
        <v>Kigoma Vijijini</v>
      </c>
      <c r="K109" t="s">
        <v>21</v>
      </c>
      <c r="L109" t="str" cm="1">
        <f t="array" ref="L109">_xlfn.IFS(
ISNUMBER(SEARCH("ICU",K109)), "ICU",
ISNUMBER(SEARCH("NEONATAL",K109)), PROPER("NEONATAL"),
ISNUMBER(SEARCH("LABOUR",K109)), PROPER("LABOUR"),
ISNUMBER(SEARCH("PAEDIATRIC",K109)), PROPER("PAEDIATRIC"),
ISNUMBER(SEARCH("FEMALE SURGICAL",K109)), PROPER("FEMALE SURG, ORTHO &amp; GYN"),
ISNUMBER(SEARCH("PSYCHIATRIST",K109)), PROPER("PSYCHIATRIST"),
ISNUMBER(SEARCH("GRADE 1",K109)), PROPER("GRADE 1"),
ISNUMBER(SEARCH("MALE SURGICAL",K109)), PROPER("MALE SURG &amp; ORTHOPEDIC"),
ISNUMBER(SEARCH("MALE MEDICAL",K109)), PROPER("MALE MEDICAL"),
ISNUMBER(SEARCH("GRADE 2",K109)), PROPER("GRADE 2"),
ISNUMBER(SEARCH("FEMALE WARD",K109)), PROPER("FEMALE MEDICAL"),
TRUE, "Unmapped: " &amp; K109)</f>
        <v>Neonatal</v>
      </c>
      <c r="M109" t="s">
        <v>22</v>
      </c>
      <c r="O109" t="s">
        <v>513</v>
      </c>
      <c r="P109" t="str">
        <f t="shared" si="13"/>
        <v>Text Error</v>
      </c>
      <c r="Q109" s="5">
        <v>45947.094953703701</v>
      </c>
      <c r="R109" t="str">
        <f t="shared" si="14"/>
        <v>Valid Date</v>
      </c>
      <c r="S109" t="s">
        <v>514</v>
      </c>
      <c r="T109" s="5">
        <v>46031.797905092593</v>
      </c>
      <c r="U109">
        <v>84</v>
      </c>
      <c r="V109" t="str">
        <f t="shared" si="15"/>
        <v>OK</v>
      </c>
      <c r="W109" t="s">
        <v>211</v>
      </c>
      <c r="Y109" t="s">
        <v>30</v>
      </c>
    </row>
    <row r="110" spans="1:25" x14ac:dyDescent="0.25">
      <c r="A110" t="s">
        <v>515</v>
      </c>
      <c r="B110" t="str">
        <f t="shared" si="9"/>
        <v>Nasma Hassan Mayongo</v>
      </c>
      <c r="C110">
        <v>115152</v>
      </c>
      <c r="D110" t="str">
        <f t="shared" si="8"/>
        <v>Unique</v>
      </c>
      <c r="E110" t="s">
        <v>142</v>
      </c>
      <c r="F110" s="3">
        <f t="shared" si="10"/>
        <v>20</v>
      </c>
      <c r="G110" t="s">
        <v>32</v>
      </c>
      <c r="H110" t="str">
        <f t="shared" si="11"/>
        <v>Valid</v>
      </c>
      <c r="I110" t="s">
        <v>33</v>
      </c>
      <c r="J110" t="str">
        <f t="shared" si="12"/>
        <v>Kigoma Ujiji Mc</v>
      </c>
      <c r="K110" t="s">
        <v>123</v>
      </c>
      <c r="L110" t="str" cm="1">
        <f t="array" ref="L110">_xlfn.IFS(
ISNUMBER(SEARCH("ICU",K110)), "ICU",
ISNUMBER(SEARCH("NEONATAL",K110)), PROPER("NEONATAL"),
ISNUMBER(SEARCH("LABOUR",K110)), PROPER("LABOUR"),
ISNUMBER(SEARCH("PAEDIATRIC",K110)), PROPER("PAEDIATRIC"),
ISNUMBER(SEARCH("FEMALE SURGICAL",K110)), PROPER("FEMALE SURG, ORTHO &amp; GYN"),
ISNUMBER(SEARCH("PSYCHIATRIST",K110)), PROPER("PSYCHIATRIST"),
ISNUMBER(SEARCH("GRADE 1",K110)), PROPER("GRADE 1"),
ISNUMBER(SEARCH("MALE SURGICAL",K110)), PROPER("MALE SURG &amp; ORTHOPEDIC"),
ISNUMBER(SEARCH("MALE MEDICAL",K110)), PROPER("MALE MEDICAL"),
ISNUMBER(SEARCH("GRADE 2",K110)), PROPER("GRADE 2"),
ISNUMBER(SEARCH("FEMALE WARD",K110)), PROPER("FEMALE MEDICAL"),
TRUE, "Unmapped: " &amp; K110)</f>
        <v>Female Surg, Ortho &amp; Gyn</v>
      </c>
      <c r="M110" t="s">
        <v>22</v>
      </c>
      <c r="O110" t="s">
        <v>516</v>
      </c>
      <c r="P110" t="str">
        <f t="shared" si="13"/>
        <v>Text Error</v>
      </c>
      <c r="Q110" s="5">
        <v>45947.104421296295</v>
      </c>
      <c r="R110" t="str">
        <f t="shared" si="14"/>
        <v>Valid Date</v>
      </c>
      <c r="S110" t="s">
        <v>517</v>
      </c>
      <c r="T110" s="5">
        <v>46031.813796296294</v>
      </c>
      <c r="U110">
        <v>84</v>
      </c>
      <c r="V110" t="str">
        <f t="shared" si="15"/>
        <v>OK</v>
      </c>
      <c r="W110" t="s">
        <v>25</v>
      </c>
      <c r="Y110" t="s">
        <v>30</v>
      </c>
    </row>
    <row r="111" spans="1:25" x14ac:dyDescent="0.25">
      <c r="A111" t="s">
        <v>518</v>
      </c>
      <c r="B111" t="str">
        <f t="shared" si="9"/>
        <v>Sumaiya Ramadhani Rashidi</v>
      </c>
      <c r="C111">
        <v>120660</v>
      </c>
      <c r="D111" t="str">
        <f t="shared" si="8"/>
        <v>Unique</v>
      </c>
      <c r="E111" t="s">
        <v>193</v>
      </c>
      <c r="F111" s="3">
        <f t="shared" si="10"/>
        <v>5</v>
      </c>
      <c r="G111" t="s">
        <v>32</v>
      </c>
      <c r="H111" t="str">
        <f t="shared" si="11"/>
        <v>Valid</v>
      </c>
      <c r="I111" t="s">
        <v>33</v>
      </c>
      <c r="J111" t="str">
        <f t="shared" si="12"/>
        <v>Kigoma Ujiji Mc</v>
      </c>
      <c r="K111" t="s">
        <v>109</v>
      </c>
      <c r="L111" t="str" cm="1">
        <f t="array" ref="L111">_xlfn.IFS(
ISNUMBER(SEARCH("ICU",K111)), "ICU",
ISNUMBER(SEARCH("NEONATAL",K111)), PROPER("NEONATAL"),
ISNUMBER(SEARCH("LABOUR",K111)), PROPER("LABOUR"),
ISNUMBER(SEARCH("PAEDIATRIC",K111)), PROPER("PAEDIATRIC"),
ISNUMBER(SEARCH("FEMALE SURGICAL",K111)), PROPER("FEMALE SURG, ORTHO &amp; GYN"),
ISNUMBER(SEARCH("PSYCHIATRIST",K111)), PROPER("PSYCHIATRIST"),
ISNUMBER(SEARCH("GRADE 1",K111)), PROPER("GRADE 1"),
ISNUMBER(SEARCH("MALE SURGICAL",K111)), PROPER("MALE SURG &amp; ORTHOPEDIC"),
ISNUMBER(SEARCH("MALE MEDICAL",K111)), PROPER("MALE MEDICAL"),
ISNUMBER(SEARCH("GRADE 2",K111)), PROPER("GRADE 2"),
ISNUMBER(SEARCH("FEMALE WARD",K111)), PROPER("FEMALE MEDICAL"),
TRUE, "Unmapped: " &amp; K111)</f>
        <v>Paediatric</v>
      </c>
      <c r="M111" t="s">
        <v>22</v>
      </c>
      <c r="O111" t="s">
        <v>519</v>
      </c>
      <c r="P111" t="str">
        <f t="shared" si="13"/>
        <v>Text Error</v>
      </c>
      <c r="Q111" s="5">
        <v>45950.566874999997</v>
      </c>
      <c r="R111" t="str">
        <f t="shared" si="14"/>
        <v>Valid Date</v>
      </c>
      <c r="S111" t="s">
        <v>520</v>
      </c>
      <c r="T111" s="5">
        <v>46035.486932870372</v>
      </c>
      <c r="U111">
        <v>84</v>
      </c>
      <c r="V111" t="str">
        <f t="shared" si="15"/>
        <v>OK</v>
      </c>
      <c r="W111" t="s">
        <v>112</v>
      </c>
      <c r="Y111" t="s">
        <v>30</v>
      </c>
    </row>
    <row r="112" spans="1:25" x14ac:dyDescent="0.25">
      <c r="A112" t="s">
        <v>521</v>
      </c>
      <c r="B112" t="str">
        <f t="shared" si="9"/>
        <v>Rania Hashimu Iddi</v>
      </c>
      <c r="C112">
        <v>45836</v>
      </c>
      <c r="D112" t="str">
        <f t="shared" si="8"/>
        <v>Unique</v>
      </c>
      <c r="E112" t="s">
        <v>454</v>
      </c>
      <c r="F112" s="3">
        <f t="shared" si="10"/>
        <v>3</v>
      </c>
      <c r="G112" t="s">
        <v>32</v>
      </c>
      <c r="H112" t="str">
        <f t="shared" si="11"/>
        <v>Valid</v>
      </c>
      <c r="I112" t="s">
        <v>227</v>
      </c>
      <c r="J112" t="str">
        <f t="shared" si="12"/>
        <v>KGG</v>
      </c>
      <c r="K112" t="s">
        <v>109</v>
      </c>
      <c r="L112" t="str" cm="1">
        <f t="array" ref="L112">_xlfn.IFS(
ISNUMBER(SEARCH("ICU",K112)), "ICU",
ISNUMBER(SEARCH("NEONATAL",K112)), PROPER("NEONATAL"),
ISNUMBER(SEARCH("LABOUR",K112)), PROPER("LABOUR"),
ISNUMBER(SEARCH("PAEDIATRIC",K112)), PROPER("PAEDIATRIC"),
ISNUMBER(SEARCH("FEMALE SURGICAL",K112)), PROPER("FEMALE SURG, ORTHO &amp; GYN"),
ISNUMBER(SEARCH("PSYCHIATRIST",K112)), PROPER("PSYCHIATRIST"),
ISNUMBER(SEARCH("GRADE 1",K112)), PROPER("GRADE 1"),
ISNUMBER(SEARCH("MALE SURGICAL",K112)), PROPER("MALE SURG &amp; ORTHOPEDIC"),
ISNUMBER(SEARCH("MALE MEDICAL",K112)), PROPER("MALE MEDICAL"),
ISNUMBER(SEARCH("GRADE 2",K112)), PROPER("GRADE 2"),
ISNUMBER(SEARCH("FEMALE WARD",K112)), PROPER("FEMALE MEDICAL"),
TRUE, "Unmapped: " &amp; K112)</f>
        <v>Paediatric</v>
      </c>
      <c r="M112" t="s">
        <v>22</v>
      </c>
      <c r="O112" t="s">
        <v>522</v>
      </c>
      <c r="P112" t="str">
        <f t="shared" si="13"/>
        <v>Text Error</v>
      </c>
      <c r="Q112" s="5">
        <v>45945.573900462965</v>
      </c>
      <c r="R112" t="str">
        <f t="shared" si="14"/>
        <v>Valid Date</v>
      </c>
      <c r="S112" t="s">
        <v>523</v>
      </c>
      <c r="T112" s="5">
        <v>46028.542233796295</v>
      </c>
      <c r="U112">
        <v>82</v>
      </c>
      <c r="V112" t="str">
        <f t="shared" si="15"/>
        <v>OK</v>
      </c>
      <c r="W112" t="s">
        <v>25</v>
      </c>
      <c r="Y112" t="s">
        <v>30</v>
      </c>
    </row>
    <row r="113" spans="1:25" x14ac:dyDescent="0.25">
      <c r="A113" t="s">
        <v>525</v>
      </c>
      <c r="B113" t="str">
        <f t="shared" si="9"/>
        <v>Babyof Hadija Ramadhani Idd</v>
      </c>
      <c r="C113">
        <v>120700</v>
      </c>
      <c r="D113" t="str">
        <f t="shared" si="8"/>
        <v>Unique</v>
      </c>
      <c r="E113" t="s">
        <v>506</v>
      </c>
      <c r="F113" s="3" t="str">
        <f t="shared" si="10"/>
        <v>5/12</v>
      </c>
      <c r="G113" t="s">
        <v>32</v>
      </c>
      <c r="H113" t="str">
        <f t="shared" si="11"/>
        <v>Valid</v>
      </c>
      <c r="I113" t="s">
        <v>20</v>
      </c>
      <c r="J113" t="str">
        <f t="shared" si="12"/>
        <v>Uvinza</v>
      </c>
      <c r="K113" t="s">
        <v>21</v>
      </c>
      <c r="L113" t="str" cm="1">
        <f t="array" ref="L113">_xlfn.IFS(
ISNUMBER(SEARCH("ICU",K113)), "ICU",
ISNUMBER(SEARCH("NEONATAL",K113)), PROPER("NEONATAL"),
ISNUMBER(SEARCH("LABOUR",K113)), PROPER("LABOUR"),
ISNUMBER(SEARCH("PAEDIATRIC",K113)), PROPER("PAEDIATRIC"),
ISNUMBER(SEARCH("FEMALE SURGICAL",K113)), PROPER("FEMALE SURG, ORTHO &amp; GYN"),
ISNUMBER(SEARCH("PSYCHIATRIST",K113)), PROPER("PSYCHIATRIST"),
ISNUMBER(SEARCH("GRADE 1",K113)), PROPER("GRADE 1"),
ISNUMBER(SEARCH("MALE SURGICAL",K113)), PROPER("MALE SURG &amp; ORTHOPEDIC"),
ISNUMBER(SEARCH("MALE MEDICAL",K113)), PROPER("MALE MEDICAL"),
ISNUMBER(SEARCH("GRADE 2",K113)), PROPER("GRADE 2"),
ISNUMBER(SEARCH("FEMALE WARD",K113)), PROPER("FEMALE MEDICAL"),
TRUE, "Unmapped: " &amp; K113)</f>
        <v>Neonatal</v>
      </c>
      <c r="M113" t="s">
        <v>22</v>
      </c>
      <c r="O113" t="s">
        <v>526</v>
      </c>
      <c r="P113" t="str">
        <f t="shared" si="13"/>
        <v>Text Error</v>
      </c>
      <c r="Q113" s="5">
        <v>45950.647303240738</v>
      </c>
      <c r="R113" t="str">
        <f t="shared" si="14"/>
        <v>Valid Date</v>
      </c>
      <c r="S113" t="s">
        <v>527</v>
      </c>
      <c r="T113" s="5">
        <v>46031.798206018517</v>
      </c>
      <c r="U113">
        <v>81</v>
      </c>
      <c r="V113" t="str">
        <f t="shared" si="15"/>
        <v>OK</v>
      </c>
      <c r="W113" t="s">
        <v>211</v>
      </c>
      <c r="Y113" t="s">
        <v>30</v>
      </c>
    </row>
    <row r="114" spans="1:25" x14ac:dyDescent="0.25">
      <c r="A114" t="s">
        <v>529</v>
      </c>
      <c r="B114" t="str">
        <f t="shared" si="9"/>
        <v>Sophia Adam Makoba</v>
      </c>
      <c r="C114">
        <v>120801</v>
      </c>
      <c r="D114" t="str">
        <f t="shared" si="8"/>
        <v>Unique</v>
      </c>
      <c r="E114" t="s">
        <v>530</v>
      </c>
      <c r="F114" s="3">
        <f t="shared" si="10"/>
        <v>34</v>
      </c>
      <c r="G114" t="s">
        <v>32</v>
      </c>
      <c r="H114" t="str">
        <f t="shared" si="11"/>
        <v>Valid</v>
      </c>
      <c r="I114" t="s">
        <v>33</v>
      </c>
      <c r="J114" t="str">
        <f t="shared" si="12"/>
        <v>Kigoma Ujiji Mc</v>
      </c>
      <c r="K114" t="s">
        <v>40</v>
      </c>
      <c r="L114" t="str" cm="1">
        <f t="array" ref="L114">_xlfn.IFS(
ISNUMBER(SEARCH("ICU",K114)), "ICU",
ISNUMBER(SEARCH("NEONATAL",K114)), PROPER("NEONATAL"),
ISNUMBER(SEARCH("LABOUR",K114)), PROPER("LABOUR"),
ISNUMBER(SEARCH("PAEDIATRIC",K114)), PROPER("PAEDIATRIC"),
ISNUMBER(SEARCH("FEMALE SURGICAL",K114)), PROPER("FEMALE SURG, ORTHO &amp; GYN"),
ISNUMBER(SEARCH("PSYCHIATRIST",K114)), PROPER("PSYCHIATRIST"),
ISNUMBER(SEARCH("GRADE 1",K114)), PROPER("GRADE 1"),
ISNUMBER(SEARCH("MALE SURGICAL",K114)), PROPER("MALE SURG &amp; ORTHOPEDIC"),
ISNUMBER(SEARCH("MALE MEDICAL",K114)), PROPER("MALE MEDICAL"),
ISNUMBER(SEARCH("GRADE 2",K114)), PROPER("GRADE 2"),
ISNUMBER(SEARCH("FEMALE WARD",K114)), PROPER("FEMALE MEDICAL"),
TRUE, "Unmapped: " &amp; K114)</f>
        <v>Labour</v>
      </c>
      <c r="M114" t="s">
        <v>22</v>
      </c>
      <c r="O114" t="s">
        <v>531</v>
      </c>
      <c r="P114" t="str">
        <f t="shared" si="13"/>
        <v>Text Error</v>
      </c>
      <c r="Q114" s="5">
        <v>45951.596643518518</v>
      </c>
      <c r="R114" t="str">
        <f t="shared" si="14"/>
        <v>Valid Date</v>
      </c>
      <c r="S114" t="s">
        <v>532</v>
      </c>
      <c r="T114" s="5">
        <v>46031.735682870371</v>
      </c>
      <c r="U114">
        <v>80</v>
      </c>
      <c r="V114" t="str">
        <f t="shared" si="15"/>
        <v>OK</v>
      </c>
      <c r="W114" t="s">
        <v>25</v>
      </c>
      <c r="Y114" t="s">
        <v>30</v>
      </c>
    </row>
    <row r="115" spans="1:25" x14ac:dyDescent="0.25">
      <c r="A115" t="s">
        <v>533</v>
      </c>
      <c r="B115" t="str">
        <f t="shared" si="9"/>
        <v>Salum Yamungu Amani</v>
      </c>
      <c r="C115">
        <v>121107</v>
      </c>
      <c r="D115" t="str">
        <f t="shared" si="8"/>
        <v>Unique</v>
      </c>
      <c r="E115" t="s">
        <v>413</v>
      </c>
      <c r="F115" s="3">
        <f t="shared" si="10"/>
        <v>10</v>
      </c>
      <c r="G115" t="s">
        <v>19</v>
      </c>
      <c r="H115" t="str">
        <f t="shared" si="11"/>
        <v>Valid</v>
      </c>
      <c r="I115" t="s">
        <v>33</v>
      </c>
      <c r="J115" t="str">
        <f t="shared" si="12"/>
        <v>Kigoma Ujiji Mc</v>
      </c>
      <c r="K115" t="s">
        <v>109</v>
      </c>
      <c r="L115" t="str" cm="1">
        <f t="array" ref="L115">_xlfn.IFS(
ISNUMBER(SEARCH("ICU",K115)), "ICU",
ISNUMBER(SEARCH("NEONATAL",K115)), PROPER("NEONATAL"),
ISNUMBER(SEARCH("LABOUR",K115)), PROPER("LABOUR"),
ISNUMBER(SEARCH("PAEDIATRIC",K115)), PROPER("PAEDIATRIC"),
ISNUMBER(SEARCH("FEMALE SURGICAL",K115)), PROPER("FEMALE SURG, ORTHO &amp; GYN"),
ISNUMBER(SEARCH("PSYCHIATRIST",K115)), PROPER("PSYCHIATRIST"),
ISNUMBER(SEARCH("GRADE 1",K115)), PROPER("GRADE 1"),
ISNUMBER(SEARCH("MALE SURGICAL",K115)), PROPER("MALE SURG &amp; ORTHOPEDIC"),
ISNUMBER(SEARCH("MALE MEDICAL",K115)), PROPER("MALE MEDICAL"),
ISNUMBER(SEARCH("GRADE 2",K115)), PROPER("GRADE 2"),
ISNUMBER(SEARCH("FEMALE WARD",K115)), PROPER("FEMALE MEDICAL"),
TRUE, "Unmapped: " &amp; K115)</f>
        <v>Paediatric</v>
      </c>
      <c r="M115" t="s">
        <v>22</v>
      </c>
      <c r="O115" t="s">
        <v>534</v>
      </c>
      <c r="P115" t="str">
        <f t="shared" si="13"/>
        <v>Text Error</v>
      </c>
      <c r="Q115" s="5">
        <v>45954.835185185184</v>
      </c>
      <c r="R115" t="str">
        <f t="shared" si="14"/>
        <v>Valid Date</v>
      </c>
      <c r="S115" t="s">
        <v>535</v>
      </c>
      <c r="T115" s="5">
        <v>46035.486562500002</v>
      </c>
      <c r="U115">
        <v>80</v>
      </c>
      <c r="V115" t="str">
        <f t="shared" si="15"/>
        <v>OK</v>
      </c>
      <c r="W115" t="s">
        <v>112</v>
      </c>
      <c r="Y115" t="s">
        <v>30</v>
      </c>
    </row>
    <row r="116" spans="1:25" x14ac:dyDescent="0.25">
      <c r="A116" t="s">
        <v>537</v>
      </c>
      <c r="B116" t="str">
        <f t="shared" si="9"/>
        <v>Anna Abraham Maari</v>
      </c>
      <c r="C116">
        <v>121158</v>
      </c>
      <c r="D116" t="str">
        <f t="shared" si="8"/>
        <v>Unique</v>
      </c>
      <c r="E116" t="s">
        <v>61</v>
      </c>
      <c r="F116" s="3">
        <f t="shared" si="10"/>
        <v>29</v>
      </c>
      <c r="G116" t="s">
        <v>32</v>
      </c>
      <c r="H116" t="str">
        <f t="shared" si="11"/>
        <v>Valid</v>
      </c>
      <c r="I116" t="s">
        <v>33</v>
      </c>
      <c r="J116" t="str">
        <f t="shared" si="12"/>
        <v>Kigoma Ujiji Mc</v>
      </c>
      <c r="K116" t="s">
        <v>40</v>
      </c>
      <c r="L116" t="str" cm="1">
        <f t="array" ref="L116">_xlfn.IFS(
ISNUMBER(SEARCH("ICU",K116)), "ICU",
ISNUMBER(SEARCH("NEONATAL",K116)), PROPER("NEONATAL"),
ISNUMBER(SEARCH("LABOUR",K116)), PROPER("LABOUR"),
ISNUMBER(SEARCH("PAEDIATRIC",K116)), PROPER("PAEDIATRIC"),
ISNUMBER(SEARCH("FEMALE SURGICAL",K116)), PROPER("FEMALE SURG, ORTHO &amp; GYN"),
ISNUMBER(SEARCH("PSYCHIATRIST",K116)), PROPER("PSYCHIATRIST"),
ISNUMBER(SEARCH("GRADE 1",K116)), PROPER("GRADE 1"),
ISNUMBER(SEARCH("MALE SURGICAL",K116)), PROPER("MALE SURG &amp; ORTHOPEDIC"),
ISNUMBER(SEARCH("MALE MEDICAL",K116)), PROPER("MALE MEDICAL"),
ISNUMBER(SEARCH("GRADE 2",K116)), PROPER("GRADE 2"),
ISNUMBER(SEARCH("FEMALE WARD",K116)), PROPER("FEMALE MEDICAL"),
TRUE, "Unmapped: " &amp; K116)</f>
        <v>Labour</v>
      </c>
      <c r="M116" t="s">
        <v>22</v>
      </c>
      <c r="O116" t="s">
        <v>538</v>
      </c>
      <c r="P116" t="str">
        <f t="shared" si="13"/>
        <v>Text Error</v>
      </c>
      <c r="Q116" s="5">
        <v>45955.543749999997</v>
      </c>
      <c r="R116" t="str">
        <f t="shared" si="14"/>
        <v>Valid Date</v>
      </c>
      <c r="S116" t="s">
        <v>539</v>
      </c>
      <c r="T116" s="5">
        <v>46031.736354166664</v>
      </c>
      <c r="U116">
        <v>76</v>
      </c>
      <c r="V116" t="str">
        <f t="shared" si="15"/>
        <v>OK</v>
      </c>
      <c r="W116" t="s">
        <v>25</v>
      </c>
      <c r="Y116" t="s">
        <v>30</v>
      </c>
    </row>
    <row r="117" spans="1:25" x14ac:dyDescent="0.25">
      <c r="A117" t="s">
        <v>540</v>
      </c>
      <c r="B117" t="str">
        <f t="shared" si="9"/>
        <v>Christopher Wilson Hibedi</v>
      </c>
      <c r="C117">
        <v>121331</v>
      </c>
      <c r="D117" t="str">
        <f t="shared" si="8"/>
        <v>Unique</v>
      </c>
      <c r="E117" t="s">
        <v>541</v>
      </c>
      <c r="F117" s="3">
        <f t="shared" si="10"/>
        <v>42</v>
      </c>
      <c r="G117" t="s">
        <v>19</v>
      </c>
      <c r="H117" t="str">
        <f t="shared" si="11"/>
        <v>Valid</v>
      </c>
      <c r="I117" t="s">
        <v>20</v>
      </c>
      <c r="J117" t="str">
        <f t="shared" si="12"/>
        <v>Uvinza</v>
      </c>
      <c r="K117" t="s">
        <v>484</v>
      </c>
      <c r="L117" t="str" cm="1">
        <f t="array" ref="L117">_xlfn.IFS(
ISNUMBER(SEARCH("ICU",K117)), "ICU",
ISNUMBER(SEARCH("NEONATAL",K117)), PROPER("NEONATAL"),
ISNUMBER(SEARCH("LABOUR",K117)), PROPER("LABOUR"),
ISNUMBER(SEARCH("PAEDIATRIC",K117)), PROPER("PAEDIATRIC"),
ISNUMBER(SEARCH("FEMALE SURGICAL",K117)), PROPER("FEMALE SURG, ORTHO &amp; GYN"),
ISNUMBER(SEARCH("PSYCHIATRIST",K117)), PROPER("PSYCHIATRIST"),
ISNUMBER(SEARCH("GRADE 1",K117)), PROPER("GRADE 1"),
ISNUMBER(SEARCH("MALE SURGICAL",K117)), PROPER("MALE SURG &amp; ORTHOPEDIC"),
ISNUMBER(SEARCH("MALE MEDICAL",K117)), PROPER("MALE MEDICAL"),
ISNUMBER(SEARCH("GRADE 2",K117)), PROPER("GRADE 2"),
ISNUMBER(SEARCH("FEMALE WARD",K117)), PROPER("FEMALE MEDICAL"),
TRUE, "Unmapped: " &amp; K117)</f>
        <v>Male Medical</v>
      </c>
      <c r="M117" t="s">
        <v>22</v>
      </c>
      <c r="O117" t="s">
        <v>542</v>
      </c>
      <c r="P117" t="str">
        <f t="shared" si="13"/>
        <v>Text Error</v>
      </c>
      <c r="Q117" s="5">
        <v>45957.898900462962</v>
      </c>
      <c r="R117" t="str">
        <f t="shared" si="14"/>
        <v>Valid Date</v>
      </c>
      <c r="S117" t="s">
        <v>543</v>
      </c>
      <c r="T117" s="5">
        <v>46031.760289351849</v>
      </c>
      <c r="U117">
        <v>73</v>
      </c>
      <c r="V117" t="str">
        <f t="shared" si="15"/>
        <v>OK</v>
      </c>
      <c r="W117" t="s">
        <v>25</v>
      </c>
      <c r="Y117" t="s">
        <v>30</v>
      </c>
    </row>
    <row r="118" spans="1:25" x14ac:dyDescent="0.25">
      <c r="A118" t="s">
        <v>545</v>
      </c>
      <c r="B118" t="str">
        <f t="shared" si="9"/>
        <v>Alfa Adam Msangi</v>
      </c>
      <c r="C118">
        <v>121688</v>
      </c>
      <c r="D118" t="str">
        <f t="shared" si="8"/>
        <v>Unique</v>
      </c>
      <c r="E118" t="s">
        <v>39</v>
      </c>
      <c r="F118" s="3">
        <f t="shared" si="10"/>
        <v>33</v>
      </c>
      <c r="G118" t="s">
        <v>19</v>
      </c>
      <c r="H118" t="str">
        <f t="shared" si="11"/>
        <v>Valid</v>
      </c>
      <c r="I118" t="s">
        <v>33</v>
      </c>
      <c r="J118" t="str">
        <f t="shared" si="12"/>
        <v>Kigoma Ujiji Mc</v>
      </c>
      <c r="K118" t="s">
        <v>484</v>
      </c>
      <c r="L118" t="str" cm="1">
        <f t="array" ref="L118">_xlfn.IFS(
ISNUMBER(SEARCH("ICU",K118)), "ICU",
ISNUMBER(SEARCH("NEONATAL",K118)), PROPER("NEONATAL"),
ISNUMBER(SEARCH("LABOUR",K118)), PROPER("LABOUR"),
ISNUMBER(SEARCH("PAEDIATRIC",K118)), PROPER("PAEDIATRIC"),
ISNUMBER(SEARCH("FEMALE SURGICAL",K118)), PROPER("FEMALE SURG, ORTHO &amp; GYN"),
ISNUMBER(SEARCH("PSYCHIATRIST",K118)), PROPER("PSYCHIATRIST"),
ISNUMBER(SEARCH("GRADE 1",K118)), PROPER("GRADE 1"),
ISNUMBER(SEARCH("MALE SURGICAL",K118)), PROPER("MALE SURG &amp; ORTHOPEDIC"),
ISNUMBER(SEARCH("MALE MEDICAL",K118)), PROPER("MALE MEDICAL"),
ISNUMBER(SEARCH("GRADE 2",K118)), PROPER("GRADE 2"),
ISNUMBER(SEARCH("FEMALE WARD",K118)), PROPER("FEMALE MEDICAL"),
TRUE, "Unmapped: " &amp; K118)</f>
        <v>Male Medical</v>
      </c>
      <c r="M118" t="s">
        <v>22</v>
      </c>
      <c r="O118" t="s">
        <v>546</v>
      </c>
      <c r="P118" t="str">
        <f t="shared" si="13"/>
        <v>Text Error</v>
      </c>
      <c r="Q118" s="5">
        <v>45964.003599537034</v>
      </c>
      <c r="R118" t="str">
        <f t="shared" si="14"/>
        <v>Valid Date</v>
      </c>
      <c r="S118" t="s">
        <v>547</v>
      </c>
      <c r="T118" s="5">
        <v>46031.759745370371</v>
      </c>
      <c r="U118">
        <v>67</v>
      </c>
      <c r="V118" t="str">
        <f t="shared" si="15"/>
        <v>OK</v>
      </c>
      <c r="W118" t="s">
        <v>25</v>
      </c>
      <c r="Y118" t="s">
        <v>30</v>
      </c>
    </row>
    <row r="119" spans="1:25" x14ac:dyDescent="0.25">
      <c r="A119" t="s">
        <v>549</v>
      </c>
      <c r="B119" t="str">
        <f t="shared" si="9"/>
        <v>Jenipha Yahaya Khunura</v>
      </c>
      <c r="C119">
        <v>121023</v>
      </c>
      <c r="D119" t="str">
        <f t="shared" si="8"/>
        <v>Unique</v>
      </c>
      <c r="E119" t="s">
        <v>147</v>
      </c>
      <c r="F119" s="3">
        <f t="shared" si="10"/>
        <v>30</v>
      </c>
      <c r="G119" t="s">
        <v>32</v>
      </c>
      <c r="H119" t="str">
        <f t="shared" si="11"/>
        <v>Valid</v>
      </c>
      <c r="I119" t="s">
        <v>260</v>
      </c>
      <c r="J119" t="str">
        <f t="shared" si="12"/>
        <v>Kasulu</v>
      </c>
      <c r="K119" t="s">
        <v>40</v>
      </c>
      <c r="L119" t="str" cm="1">
        <f t="array" ref="L119">_xlfn.IFS(
ISNUMBER(SEARCH("ICU",K119)), "ICU",
ISNUMBER(SEARCH("NEONATAL",K119)), PROPER("NEONATAL"),
ISNUMBER(SEARCH("LABOUR",K119)), PROPER("LABOUR"),
ISNUMBER(SEARCH("PAEDIATRIC",K119)), PROPER("PAEDIATRIC"),
ISNUMBER(SEARCH("FEMALE SURGICAL",K119)), PROPER("FEMALE SURG, ORTHO &amp; GYN"),
ISNUMBER(SEARCH("PSYCHIATRIST",K119)), PROPER("PSYCHIATRIST"),
ISNUMBER(SEARCH("GRADE 1",K119)), PROPER("GRADE 1"),
ISNUMBER(SEARCH("MALE SURGICAL",K119)), PROPER("MALE SURG &amp; ORTHOPEDIC"),
ISNUMBER(SEARCH("MALE MEDICAL",K119)), PROPER("MALE MEDICAL"),
ISNUMBER(SEARCH("GRADE 2",K119)), PROPER("GRADE 2"),
ISNUMBER(SEARCH("FEMALE WARD",K119)), PROPER("FEMALE MEDICAL"),
TRUE, "Unmapped: " &amp; K119)</f>
        <v>Labour</v>
      </c>
      <c r="M119" t="s">
        <v>22</v>
      </c>
      <c r="O119" t="s">
        <v>550</v>
      </c>
      <c r="P119" t="str">
        <f t="shared" si="13"/>
        <v>Text Error</v>
      </c>
      <c r="Q119" s="5">
        <v>45964.995370370372</v>
      </c>
      <c r="R119" t="str">
        <f t="shared" si="14"/>
        <v>Valid Date</v>
      </c>
      <c r="S119" t="s">
        <v>551</v>
      </c>
      <c r="T119" s="5">
        <v>46031.739837962959</v>
      </c>
      <c r="U119">
        <v>66</v>
      </c>
      <c r="V119" t="str">
        <f t="shared" si="15"/>
        <v>OK</v>
      </c>
      <c r="W119" t="s">
        <v>65</v>
      </c>
      <c r="Y119" t="s">
        <v>30</v>
      </c>
    </row>
    <row r="120" spans="1:25" x14ac:dyDescent="0.25">
      <c r="A120" t="s">
        <v>553</v>
      </c>
      <c r="B120" t="str">
        <f t="shared" si="9"/>
        <v>Getruda Athanas Bahagaze</v>
      </c>
      <c r="C120">
        <v>121749</v>
      </c>
      <c r="D120" t="str">
        <f t="shared" si="8"/>
        <v>Unique</v>
      </c>
      <c r="E120" t="s">
        <v>554</v>
      </c>
      <c r="F120" s="3">
        <f t="shared" si="10"/>
        <v>56</v>
      </c>
      <c r="G120" t="s">
        <v>32</v>
      </c>
      <c r="H120" t="str">
        <f t="shared" si="11"/>
        <v>Valid</v>
      </c>
      <c r="I120" t="s">
        <v>20</v>
      </c>
      <c r="J120" t="str">
        <f t="shared" si="12"/>
        <v>Uvinza</v>
      </c>
      <c r="K120" t="s">
        <v>123</v>
      </c>
      <c r="L120" t="str" cm="1">
        <f t="array" ref="L120">_xlfn.IFS(
ISNUMBER(SEARCH("ICU",K120)), "ICU",
ISNUMBER(SEARCH("NEONATAL",K120)), PROPER("NEONATAL"),
ISNUMBER(SEARCH("LABOUR",K120)), PROPER("LABOUR"),
ISNUMBER(SEARCH("PAEDIATRIC",K120)), PROPER("PAEDIATRIC"),
ISNUMBER(SEARCH("FEMALE SURGICAL",K120)), PROPER("FEMALE SURG, ORTHO &amp; GYN"),
ISNUMBER(SEARCH("PSYCHIATRIST",K120)), PROPER("PSYCHIATRIST"),
ISNUMBER(SEARCH("GRADE 1",K120)), PROPER("GRADE 1"),
ISNUMBER(SEARCH("MALE SURGICAL",K120)), PROPER("MALE SURG &amp; ORTHOPEDIC"),
ISNUMBER(SEARCH("MALE MEDICAL",K120)), PROPER("MALE MEDICAL"),
ISNUMBER(SEARCH("GRADE 2",K120)), PROPER("GRADE 2"),
ISNUMBER(SEARCH("FEMALE WARD",K120)), PROPER("FEMALE MEDICAL"),
TRUE, "Unmapped: " &amp; K120)</f>
        <v>Female Surg, Ortho &amp; Gyn</v>
      </c>
      <c r="M120" t="s">
        <v>22</v>
      </c>
      <c r="O120" t="s">
        <v>555</v>
      </c>
      <c r="P120" t="str">
        <f t="shared" si="13"/>
        <v>Text Error</v>
      </c>
      <c r="Q120" s="5">
        <v>45964.927581018521</v>
      </c>
      <c r="R120" t="str">
        <f t="shared" si="14"/>
        <v>Valid Date</v>
      </c>
      <c r="S120" t="s">
        <v>556</v>
      </c>
      <c r="T120" s="5">
        <v>46028.414583333331</v>
      </c>
      <c r="U120">
        <v>63</v>
      </c>
      <c r="V120" t="str">
        <f t="shared" si="15"/>
        <v>OK</v>
      </c>
      <c r="W120" t="s">
        <v>211</v>
      </c>
      <c r="Y120" t="s">
        <v>30</v>
      </c>
    </row>
    <row r="121" spans="1:25" x14ac:dyDescent="0.25">
      <c r="A121" t="s">
        <v>557</v>
      </c>
      <c r="B121" t="str">
        <f t="shared" si="9"/>
        <v>Khadija Hamis Mlengwa</v>
      </c>
      <c r="C121">
        <v>122126</v>
      </c>
      <c r="D121" t="str">
        <f t="shared" si="8"/>
        <v>Unique</v>
      </c>
      <c r="E121" t="s">
        <v>215</v>
      </c>
      <c r="F121" s="3">
        <f t="shared" si="10"/>
        <v>25</v>
      </c>
      <c r="G121" t="s">
        <v>32</v>
      </c>
      <c r="H121" t="str">
        <f t="shared" si="11"/>
        <v>Valid</v>
      </c>
      <c r="I121" t="s">
        <v>20</v>
      </c>
      <c r="J121" t="str">
        <f t="shared" si="12"/>
        <v>Uvinza</v>
      </c>
      <c r="K121" t="s">
        <v>393</v>
      </c>
      <c r="L121" t="str" cm="1">
        <f t="array" ref="L121">_xlfn.IFS(
ISNUMBER(SEARCH("ICU",K121)), "ICU",
ISNUMBER(SEARCH("NEONATAL",K121)), PROPER("NEONATAL"),
ISNUMBER(SEARCH("LABOUR",K121)), PROPER("LABOUR"),
ISNUMBER(SEARCH("PAEDIATRIC",K121)), PROPER("PAEDIATRIC"),
ISNUMBER(SEARCH("FEMALE SURGICAL",K121)), PROPER("FEMALE SURG, ORTHO &amp; GYN"),
ISNUMBER(SEARCH("PSYCHIATRIST",K121)), PROPER("PSYCHIATRIST"),
ISNUMBER(SEARCH("GRADE 1",K121)), PROPER("GRADE 1"),
ISNUMBER(SEARCH("MALE SURGICAL",K121)), PROPER("MALE SURG &amp; ORTHOPEDIC"),
ISNUMBER(SEARCH("MALE MEDICAL",K121)), PROPER("MALE MEDICAL"),
ISNUMBER(SEARCH("GRADE 2",K121)), PROPER("GRADE 2"),
ISNUMBER(SEARCH("FEMALE WARD",K121)), PROPER("FEMALE MEDICAL"),
TRUE, "Unmapped: " &amp; K121)</f>
        <v>Grade 1</v>
      </c>
      <c r="M121" t="s">
        <v>22</v>
      </c>
      <c r="O121" t="s">
        <v>558</v>
      </c>
      <c r="P121" t="str">
        <f t="shared" si="13"/>
        <v>Text Error</v>
      </c>
      <c r="Q121" s="5">
        <v>45968.864791666667</v>
      </c>
      <c r="R121" t="str">
        <f t="shared" si="14"/>
        <v>Valid Date</v>
      </c>
      <c r="S121" t="s">
        <v>559</v>
      </c>
      <c r="T121" s="5">
        <v>46031.782685185186</v>
      </c>
      <c r="U121">
        <v>62</v>
      </c>
      <c r="V121" t="str">
        <f t="shared" si="15"/>
        <v>OK</v>
      </c>
      <c r="W121" t="s">
        <v>25</v>
      </c>
      <c r="Y121" t="s">
        <v>30</v>
      </c>
    </row>
    <row r="122" spans="1:25" x14ac:dyDescent="0.25">
      <c r="A122" t="s">
        <v>561</v>
      </c>
      <c r="B122" t="str">
        <f t="shared" si="9"/>
        <v>Anna Samsoni Matias</v>
      </c>
      <c r="C122">
        <v>122132</v>
      </c>
      <c r="D122" t="str">
        <f t="shared" si="8"/>
        <v>Unique</v>
      </c>
      <c r="E122" t="s">
        <v>147</v>
      </c>
      <c r="F122" s="3">
        <f t="shared" si="10"/>
        <v>30</v>
      </c>
      <c r="G122" t="s">
        <v>32</v>
      </c>
      <c r="H122" t="str">
        <f t="shared" si="11"/>
        <v>Valid</v>
      </c>
      <c r="I122" t="s">
        <v>33</v>
      </c>
      <c r="J122" t="str">
        <f t="shared" si="12"/>
        <v>Kigoma Ujiji Mc</v>
      </c>
      <c r="K122" t="s">
        <v>123</v>
      </c>
      <c r="L122" t="str" cm="1">
        <f t="array" ref="L122">_xlfn.IFS(
ISNUMBER(SEARCH("ICU",K122)), "ICU",
ISNUMBER(SEARCH("NEONATAL",K122)), PROPER("NEONATAL"),
ISNUMBER(SEARCH("LABOUR",K122)), PROPER("LABOUR"),
ISNUMBER(SEARCH("PAEDIATRIC",K122)), PROPER("PAEDIATRIC"),
ISNUMBER(SEARCH("FEMALE SURGICAL",K122)), PROPER("FEMALE SURG, ORTHO &amp; GYN"),
ISNUMBER(SEARCH("PSYCHIATRIST",K122)), PROPER("PSYCHIATRIST"),
ISNUMBER(SEARCH("GRADE 1",K122)), PROPER("GRADE 1"),
ISNUMBER(SEARCH("MALE SURGICAL",K122)), PROPER("MALE SURG &amp; ORTHOPEDIC"),
ISNUMBER(SEARCH("MALE MEDICAL",K122)), PROPER("MALE MEDICAL"),
ISNUMBER(SEARCH("GRADE 2",K122)), PROPER("GRADE 2"),
ISNUMBER(SEARCH("FEMALE WARD",K122)), PROPER("FEMALE MEDICAL"),
TRUE, "Unmapped: " &amp; K122)</f>
        <v>Female Surg, Ortho &amp; Gyn</v>
      </c>
      <c r="M122" t="s">
        <v>22</v>
      </c>
      <c r="O122" t="s">
        <v>562</v>
      </c>
      <c r="P122" t="str">
        <f t="shared" si="13"/>
        <v>Text Error</v>
      </c>
      <c r="Q122" s="5">
        <v>45969.046388888892</v>
      </c>
      <c r="R122" t="str">
        <f t="shared" si="14"/>
        <v>Valid Date</v>
      </c>
      <c r="S122" t="s">
        <v>563</v>
      </c>
      <c r="T122" s="5">
        <v>46031.814340277779</v>
      </c>
      <c r="U122">
        <v>62</v>
      </c>
      <c r="V122" t="str">
        <f t="shared" si="15"/>
        <v>OK</v>
      </c>
      <c r="W122" t="s">
        <v>65</v>
      </c>
      <c r="Y122" t="s">
        <v>30</v>
      </c>
    </row>
    <row r="123" spans="1:25" x14ac:dyDescent="0.25">
      <c r="A123" t="s">
        <v>564</v>
      </c>
      <c r="B123" t="str">
        <f t="shared" si="9"/>
        <v>Rahim Bohari Petero</v>
      </c>
      <c r="C123">
        <v>122551</v>
      </c>
      <c r="D123" t="str">
        <f t="shared" si="8"/>
        <v>Unique</v>
      </c>
      <c r="E123" t="s">
        <v>18</v>
      </c>
      <c r="F123" s="3">
        <f t="shared" si="10"/>
        <v>1</v>
      </c>
      <c r="G123" t="s">
        <v>19</v>
      </c>
      <c r="H123" t="str">
        <f t="shared" si="11"/>
        <v>Valid</v>
      </c>
      <c r="I123" t="s">
        <v>33</v>
      </c>
      <c r="J123" t="str">
        <f t="shared" si="12"/>
        <v>Kigoma Ujiji Mc</v>
      </c>
      <c r="K123" t="s">
        <v>109</v>
      </c>
      <c r="L123" t="str" cm="1">
        <f t="array" ref="L123">_xlfn.IFS(
ISNUMBER(SEARCH("ICU",K123)), "ICU",
ISNUMBER(SEARCH("NEONATAL",K123)), PROPER("NEONATAL"),
ISNUMBER(SEARCH("LABOUR",K123)), PROPER("LABOUR"),
ISNUMBER(SEARCH("PAEDIATRIC",K123)), PROPER("PAEDIATRIC"),
ISNUMBER(SEARCH("FEMALE SURGICAL",K123)), PROPER("FEMALE SURG, ORTHO &amp; GYN"),
ISNUMBER(SEARCH("PSYCHIATRIST",K123)), PROPER("PSYCHIATRIST"),
ISNUMBER(SEARCH("GRADE 1",K123)), PROPER("GRADE 1"),
ISNUMBER(SEARCH("MALE SURGICAL",K123)), PROPER("MALE SURG &amp; ORTHOPEDIC"),
ISNUMBER(SEARCH("MALE MEDICAL",K123)), PROPER("MALE MEDICAL"),
ISNUMBER(SEARCH("GRADE 2",K123)), PROPER("GRADE 2"),
ISNUMBER(SEARCH("FEMALE WARD",K123)), PROPER("FEMALE MEDICAL"),
TRUE, "Unmapped: " &amp; K123)</f>
        <v>Paediatric</v>
      </c>
      <c r="M123" t="s">
        <v>22</v>
      </c>
      <c r="O123" t="s">
        <v>565</v>
      </c>
      <c r="P123" t="str">
        <f t="shared" si="13"/>
        <v>Text Error</v>
      </c>
      <c r="Q123" s="5">
        <v>45974.12672453704</v>
      </c>
      <c r="R123" t="str">
        <f t="shared" si="14"/>
        <v>Valid Date</v>
      </c>
      <c r="S123" t="s">
        <v>566</v>
      </c>
      <c r="T123" s="5">
        <v>46035.486157407409</v>
      </c>
      <c r="U123">
        <v>61</v>
      </c>
      <c r="V123" t="str">
        <f t="shared" si="15"/>
        <v>OK</v>
      </c>
      <c r="W123" t="s">
        <v>25</v>
      </c>
      <c r="Y123" t="s">
        <v>30</v>
      </c>
    </row>
    <row r="124" spans="1:25" x14ac:dyDescent="0.25">
      <c r="A124" t="s">
        <v>568</v>
      </c>
      <c r="B124" t="str">
        <f t="shared" si="9"/>
        <v>Peles Jaruo Gwanika</v>
      </c>
      <c r="C124">
        <v>122447</v>
      </c>
      <c r="D124" t="str">
        <f t="shared" si="8"/>
        <v>Unique</v>
      </c>
      <c r="E124" t="s">
        <v>450</v>
      </c>
      <c r="F124" s="3">
        <f t="shared" si="10"/>
        <v>45</v>
      </c>
      <c r="G124" t="s">
        <v>32</v>
      </c>
      <c r="H124" t="str">
        <f t="shared" si="11"/>
        <v>Valid</v>
      </c>
      <c r="I124" t="s">
        <v>260</v>
      </c>
      <c r="J124" t="str">
        <f t="shared" si="12"/>
        <v>Kasulu</v>
      </c>
      <c r="K124" t="s">
        <v>123</v>
      </c>
      <c r="L124" t="str" cm="1">
        <f t="array" ref="L124">_xlfn.IFS(
ISNUMBER(SEARCH("ICU",K124)), "ICU",
ISNUMBER(SEARCH("NEONATAL",K124)), PROPER("NEONATAL"),
ISNUMBER(SEARCH("LABOUR",K124)), PROPER("LABOUR"),
ISNUMBER(SEARCH("PAEDIATRIC",K124)), PROPER("PAEDIATRIC"),
ISNUMBER(SEARCH("FEMALE SURGICAL",K124)), PROPER("FEMALE SURG, ORTHO &amp; GYN"),
ISNUMBER(SEARCH("PSYCHIATRIST",K124)), PROPER("PSYCHIATRIST"),
ISNUMBER(SEARCH("GRADE 1",K124)), PROPER("GRADE 1"),
ISNUMBER(SEARCH("MALE SURGICAL",K124)), PROPER("MALE SURG &amp; ORTHOPEDIC"),
ISNUMBER(SEARCH("MALE MEDICAL",K124)), PROPER("MALE MEDICAL"),
ISNUMBER(SEARCH("GRADE 2",K124)), PROPER("GRADE 2"),
ISNUMBER(SEARCH("FEMALE WARD",K124)), PROPER("FEMALE MEDICAL"),
TRUE, "Unmapped: " &amp; K124)</f>
        <v>Female Surg, Ortho &amp; Gyn</v>
      </c>
      <c r="M124" t="s">
        <v>22</v>
      </c>
      <c r="O124" t="s">
        <v>569</v>
      </c>
      <c r="P124" t="str">
        <f t="shared" si="13"/>
        <v>Text Error</v>
      </c>
      <c r="Q124" s="5">
        <v>45972.829548611109</v>
      </c>
      <c r="R124" t="str">
        <f t="shared" si="14"/>
        <v>Valid Date</v>
      </c>
      <c r="S124" t="s">
        <v>570</v>
      </c>
      <c r="T124" s="5">
        <v>46031.814745370371</v>
      </c>
      <c r="U124">
        <v>58</v>
      </c>
      <c r="V124" t="str">
        <f t="shared" si="15"/>
        <v>OK</v>
      </c>
      <c r="W124" t="s">
        <v>25</v>
      </c>
      <c r="Y124" t="s">
        <v>30</v>
      </c>
    </row>
    <row r="125" spans="1:25" x14ac:dyDescent="0.25">
      <c r="A125" t="s">
        <v>571</v>
      </c>
      <c r="B125" t="str">
        <f t="shared" si="9"/>
        <v>Essau Y Balemegwa</v>
      </c>
      <c r="C125">
        <v>122298</v>
      </c>
      <c r="D125" t="str">
        <f t="shared" si="8"/>
        <v>Unique</v>
      </c>
      <c r="E125" t="s">
        <v>572</v>
      </c>
      <c r="F125" s="3">
        <f t="shared" si="10"/>
        <v>61</v>
      </c>
      <c r="G125" t="s">
        <v>19</v>
      </c>
      <c r="H125" t="str">
        <f t="shared" si="11"/>
        <v>Valid</v>
      </c>
      <c r="I125" t="s">
        <v>62</v>
      </c>
      <c r="J125" t="str">
        <f t="shared" si="12"/>
        <v>Kigoma Vijijini</v>
      </c>
      <c r="K125" t="s">
        <v>484</v>
      </c>
      <c r="L125" t="str" cm="1">
        <f t="array" ref="L125">_xlfn.IFS(
ISNUMBER(SEARCH("ICU",K125)), "ICU",
ISNUMBER(SEARCH("NEONATAL",K125)), PROPER("NEONATAL"),
ISNUMBER(SEARCH("LABOUR",K125)), PROPER("LABOUR"),
ISNUMBER(SEARCH("PAEDIATRIC",K125)), PROPER("PAEDIATRIC"),
ISNUMBER(SEARCH("FEMALE SURGICAL",K125)), PROPER("FEMALE SURG, ORTHO &amp; GYN"),
ISNUMBER(SEARCH("PSYCHIATRIST",K125)), PROPER("PSYCHIATRIST"),
ISNUMBER(SEARCH("GRADE 1",K125)), PROPER("GRADE 1"),
ISNUMBER(SEARCH("MALE SURGICAL",K125)), PROPER("MALE SURG &amp; ORTHOPEDIC"),
ISNUMBER(SEARCH("MALE MEDICAL",K125)), PROPER("MALE MEDICAL"),
ISNUMBER(SEARCH("GRADE 2",K125)), PROPER("GRADE 2"),
ISNUMBER(SEARCH("FEMALE WARD",K125)), PROPER("FEMALE MEDICAL"),
TRUE, "Unmapped: " &amp; K125)</f>
        <v>Male Medical</v>
      </c>
      <c r="M125" t="s">
        <v>394</v>
      </c>
      <c r="O125" t="s">
        <v>573</v>
      </c>
      <c r="P125" t="str">
        <f t="shared" si="13"/>
        <v>Text Error</v>
      </c>
      <c r="Q125" s="5">
        <v>45971.677187499998</v>
      </c>
      <c r="R125" t="str">
        <f t="shared" si="14"/>
        <v>Valid Date</v>
      </c>
      <c r="S125" t="s">
        <v>574</v>
      </c>
      <c r="T125" s="5">
        <v>46028.548136574071</v>
      </c>
      <c r="U125">
        <v>56</v>
      </c>
      <c r="V125" t="str">
        <f t="shared" si="15"/>
        <v>OK</v>
      </c>
      <c r="W125" t="s">
        <v>211</v>
      </c>
      <c r="Y125" t="s">
        <v>30</v>
      </c>
    </row>
    <row r="126" spans="1:25" x14ac:dyDescent="0.25">
      <c r="A126" t="s">
        <v>576</v>
      </c>
      <c r="B126" t="str">
        <f t="shared" si="9"/>
        <v>Rajabu Said Zania</v>
      </c>
      <c r="C126">
        <v>122742</v>
      </c>
      <c r="D126" t="str">
        <f t="shared" si="8"/>
        <v>Unique</v>
      </c>
      <c r="E126" t="s">
        <v>577</v>
      </c>
      <c r="F126" s="3">
        <f t="shared" si="10"/>
        <v>47</v>
      </c>
      <c r="G126" t="s">
        <v>19</v>
      </c>
      <c r="H126" t="str">
        <f t="shared" si="11"/>
        <v>Valid</v>
      </c>
      <c r="I126" t="s">
        <v>33</v>
      </c>
      <c r="J126" t="str">
        <f t="shared" si="12"/>
        <v>Kigoma Ujiji Mc</v>
      </c>
      <c r="K126" t="s">
        <v>428</v>
      </c>
      <c r="L126" t="str" cm="1">
        <f t="array" ref="L126">_xlfn.IFS(
ISNUMBER(SEARCH("ICU",K126)), "ICU",
ISNUMBER(SEARCH("NEONATAL",K126)), PROPER("NEONATAL"),
ISNUMBER(SEARCH("LABOUR",K126)), PROPER("LABOUR"),
ISNUMBER(SEARCH("PAEDIATRIC",K126)), PROPER("PAEDIATRIC"),
ISNUMBER(SEARCH("FEMALE SURGICAL",K126)), PROPER("FEMALE SURG, ORTHO &amp; GYN"),
ISNUMBER(SEARCH("PSYCHIATRIST",K126)), PROPER("PSYCHIATRIST"),
ISNUMBER(SEARCH("GRADE 1",K126)), PROPER("GRADE 1"),
ISNUMBER(SEARCH("MALE SURGICAL",K126)), PROPER("MALE SURG &amp; ORTHOPEDIC"),
ISNUMBER(SEARCH("MALE MEDICAL",K126)), PROPER("MALE MEDICAL"),
ISNUMBER(SEARCH("GRADE 2",K126)), PROPER("GRADE 2"),
ISNUMBER(SEARCH("FEMALE WARD",K126)), PROPER("FEMALE MEDICAL"),
TRUE, "Unmapped: " &amp; K126)</f>
        <v>Male Surg &amp; Orthopedic</v>
      </c>
      <c r="M126" t="s">
        <v>22</v>
      </c>
      <c r="O126" t="s">
        <v>578</v>
      </c>
      <c r="P126" t="str">
        <f t="shared" si="13"/>
        <v>Text Error</v>
      </c>
      <c r="Q126" s="5">
        <v>45975.827546296299</v>
      </c>
      <c r="R126" t="str">
        <f t="shared" si="14"/>
        <v>Valid Date</v>
      </c>
      <c r="S126" t="s">
        <v>579</v>
      </c>
      <c r="T126" s="5">
        <v>46031.756585648145</v>
      </c>
      <c r="U126">
        <v>55</v>
      </c>
      <c r="V126" t="str">
        <f t="shared" si="15"/>
        <v>OK</v>
      </c>
      <c r="W126" t="s">
        <v>25</v>
      </c>
      <c r="Y126" t="s">
        <v>30</v>
      </c>
    </row>
    <row r="127" spans="1:25" x14ac:dyDescent="0.25">
      <c r="A127" t="s">
        <v>580</v>
      </c>
      <c r="B127" t="str">
        <f t="shared" si="9"/>
        <v>Florah Fikiri Kakwira</v>
      </c>
      <c r="C127">
        <v>122828</v>
      </c>
      <c r="D127" t="str">
        <f t="shared" si="8"/>
        <v>Unique</v>
      </c>
      <c r="E127" t="s">
        <v>86</v>
      </c>
      <c r="F127" s="3">
        <f t="shared" si="10"/>
        <v>23</v>
      </c>
      <c r="G127" t="s">
        <v>32</v>
      </c>
      <c r="H127" t="str">
        <f t="shared" si="11"/>
        <v>Valid</v>
      </c>
      <c r="I127" t="s">
        <v>260</v>
      </c>
      <c r="J127" t="str">
        <f t="shared" si="12"/>
        <v>Kasulu</v>
      </c>
      <c r="K127" t="s">
        <v>40</v>
      </c>
      <c r="L127" t="str" cm="1">
        <f t="array" ref="L127">_xlfn.IFS(
ISNUMBER(SEARCH("ICU",K127)), "ICU",
ISNUMBER(SEARCH("NEONATAL",K127)), PROPER("NEONATAL"),
ISNUMBER(SEARCH("LABOUR",K127)), PROPER("LABOUR"),
ISNUMBER(SEARCH("PAEDIATRIC",K127)), PROPER("PAEDIATRIC"),
ISNUMBER(SEARCH("FEMALE SURGICAL",K127)), PROPER("FEMALE SURG, ORTHO &amp; GYN"),
ISNUMBER(SEARCH("PSYCHIATRIST",K127)), PROPER("PSYCHIATRIST"),
ISNUMBER(SEARCH("GRADE 1",K127)), PROPER("GRADE 1"),
ISNUMBER(SEARCH("MALE SURGICAL",K127)), PROPER("MALE SURG &amp; ORTHOPEDIC"),
ISNUMBER(SEARCH("MALE MEDICAL",K127)), PROPER("MALE MEDICAL"),
ISNUMBER(SEARCH("GRADE 2",K127)), PROPER("GRADE 2"),
ISNUMBER(SEARCH("FEMALE WARD",K127)), PROPER("FEMALE MEDICAL"),
TRUE, "Unmapped: " &amp; K127)</f>
        <v>Labour</v>
      </c>
      <c r="M127" t="s">
        <v>22</v>
      </c>
      <c r="O127" t="s">
        <v>581</v>
      </c>
      <c r="P127" t="str">
        <f t="shared" si="13"/>
        <v>Text Error</v>
      </c>
      <c r="Q127" s="5">
        <v>45977.799224537041</v>
      </c>
      <c r="R127" t="str">
        <f t="shared" si="14"/>
        <v>Valid Date</v>
      </c>
      <c r="S127" t="s">
        <v>582</v>
      </c>
      <c r="T127" s="5">
        <v>46031.740937499999</v>
      </c>
      <c r="U127">
        <v>53</v>
      </c>
      <c r="V127" t="str">
        <f t="shared" si="15"/>
        <v>OK</v>
      </c>
      <c r="W127" t="s">
        <v>25</v>
      </c>
      <c r="Y127" t="s">
        <v>30</v>
      </c>
    </row>
    <row r="128" spans="1:25" x14ac:dyDescent="0.25">
      <c r="A128" t="s">
        <v>583</v>
      </c>
      <c r="B128" t="str">
        <f t="shared" si="9"/>
        <v>Japhary Feisal Shabani</v>
      </c>
      <c r="C128">
        <v>122886</v>
      </c>
      <c r="D128" t="str">
        <f t="shared" si="8"/>
        <v>Unique</v>
      </c>
      <c r="E128" t="s">
        <v>138</v>
      </c>
      <c r="F128" s="3">
        <f t="shared" si="10"/>
        <v>18</v>
      </c>
      <c r="G128" t="s">
        <v>19</v>
      </c>
      <c r="H128" t="str">
        <f t="shared" si="11"/>
        <v>Valid</v>
      </c>
      <c r="I128" t="s">
        <v>33</v>
      </c>
      <c r="J128" t="str">
        <f t="shared" si="12"/>
        <v>Kigoma Ujiji Mc</v>
      </c>
      <c r="K128" t="s">
        <v>428</v>
      </c>
      <c r="L128" t="str" cm="1">
        <f t="array" ref="L128">_xlfn.IFS(
ISNUMBER(SEARCH("ICU",K128)), "ICU",
ISNUMBER(SEARCH("NEONATAL",K128)), PROPER("NEONATAL"),
ISNUMBER(SEARCH("LABOUR",K128)), PROPER("LABOUR"),
ISNUMBER(SEARCH("PAEDIATRIC",K128)), PROPER("PAEDIATRIC"),
ISNUMBER(SEARCH("FEMALE SURGICAL",K128)), PROPER("FEMALE SURG, ORTHO &amp; GYN"),
ISNUMBER(SEARCH("PSYCHIATRIST",K128)), PROPER("PSYCHIATRIST"),
ISNUMBER(SEARCH("GRADE 1",K128)), PROPER("GRADE 1"),
ISNUMBER(SEARCH("MALE SURGICAL",K128)), PROPER("MALE SURG &amp; ORTHOPEDIC"),
ISNUMBER(SEARCH("MALE MEDICAL",K128)), PROPER("MALE MEDICAL"),
ISNUMBER(SEARCH("GRADE 2",K128)), PROPER("GRADE 2"),
ISNUMBER(SEARCH("FEMALE WARD",K128)), PROPER("FEMALE MEDICAL"),
TRUE, "Unmapped: " &amp; K128)</f>
        <v>Male Surg &amp; Orthopedic</v>
      </c>
      <c r="M128" t="s">
        <v>22</v>
      </c>
      <c r="O128" t="s">
        <v>584</v>
      </c>
      <c r="P128" t="str">
        <f t="shared" si="13"/>
        <v>Text Error</v>
      </c>
      <c r="Q128" s="5">
        <v>45978.977233796293</v>
      </c>
      <c r="R128" t="str">
        <f t="shared" si="14"/>
        <v>Valid Date</v>
      </c>
      <c r="S128" t="s">
        <v>585</v>
      </c>
      <c r="T128" s="5">
        <v>46031.756932870368</v>
      </c>
      <c r="U128">
        <v>52</v>
      </c>
      <c r="V128" t="str">
        <f t="shared" si="15"/>
        <v>OK</v>
      </c>
      <c r="W128" t="s">
        <v>65</v>
      </c>
      <c r="Y128" t="s">
        <v>30</v>
      </c>
    </row>
    <row r="129" spans="1:25" x14ac:dyDescent="0.25">
      <c r="A129" t="s">
        <v>587</v>
      </c>
      <c r="B129" t="str">
        <f t="shared" si="9"/>
        <v>Elpidius Deius Elpidius</v>
      </c>
      <c r="C129">
        <v>124241</v>
      </c>
      <c r="D129" t="str">
        <f t="shared" si="8"/>
        <v>Unique</v>
      </c>
      <c r="E129" t="s">
        <v>208</v>
      </c>
      <c r="F129" s="3">
        <f t="shared" si="10"/>
        <v>50</v>
      </c>
      <c r="G129" t="s">
        <v>19</v>
      </c>
      <c r="H129" t="str">
        <f t="shared" si="11"/>
        <v>Valid</v>
      </c>
      <c r="I129" t="s">
        <v>260</v>
      </c>
      <c r="J129" t="str">
        <f t="shared" si="12"/>
        <v>Kasulu</v>
      </c>
      <c r="K129" t="s">
        <v>202</v>
      </c>
      <c r="L129" t="str" cm="1">
        <f t="array" ref="L129">_xlfn.IFS(
ISNUMBER(SEARCH("ICU",K129)), "ICU",
ISNUMBER(SEARCH("NEONATAL",K129)), PROPER("NEONATAL"),
ISNUMBER(SEARCH("LABOUR",K129)), PROPER("LABOUR"),
ISNUMBER(SEARCH("PAEDIATRIC",K129)), PROPER("PAEDIATRIC"),
ISNUMBER(SEARCH("FEMALE SURGICAL",K129)), PROPER("FEMALE SURG, ORTHO &amp; GYN"),
ISNUMBER(SEARCH("PSYCHIATRIST",K129)), PROPER("PSYCHIATRIST"),
ISNUMBER(SEARCH("GRADE 1",K129)), PROPER("GRADE 1"),
ISNUMBER(SEARCH("MALE SURGICAL",K129)), PROPER("MALE SURG &amp; ORTHOPEDIC"),
ISNUMBER(SEARCH("MALE MEDICAL",K129)), PROPER("MALE MEDICAL"),
ISNUMBER(SEARCH("GRADE 2",K129)), PROPER("GRADE 2"),
ISNUMBER(SEARCH("FEMALE WARD",K129)), PROPER("FEMALE MEDICAL"),
TRUE, "Unmapped: " &amp; K129)</f>
        <v>Psychiatrist</v>
      </c>
      <c r="M129" t="s">
        <v>22</v>
      </c>
      <c r="O129" t="s">
        <v>588</v>
      </c>
      <c r="P129" t="str">
        <f t="shared" si="13"/>
        <v>Text Error</v>
      </c>
      <c r="Q129" s="5">
        <v>45992.798217592594</v>
      </c>
      <c r="R129" t="str">
        <f t="shared" si="14"/>
        <v>Valid Date</v>
      </c>
      <c r="S129" t="s">
        <v>589</v>
      </c>
      <c r="T129" s="5">
        <v>46034.65148148148</v>
      </c>
      <c r="U129">
        <v>41</v>
      </c>
      <c r="V129" t="str">
        <f t="shared" si="15"/>
        <v>OK</v>
      </c>
      <c r="W129" t="s">
        <v>25</v>
      </c>
      <c r="Y129" t="s">
        <v>30</v>
      </c>
    </row>
    <row r="130" spans="1:25" x14ac:dyDescent="0.25">
      <c r="A130" t="s">
        <v>592</v>
      </c>
      <c r="B130" t="str">
        <f t="shared" si="9"/>
        <v>Saumu Khalid Hassan</v>
      </c>
      <c r="C130">
        <v>124185</v>
      </c>
      <c r="D130" t="str">
        <f t="shared" ref="D130:D193" si="16">IF(COUNTIF($C$2:$C$905,C130)&gt;1,"Duplicate","Unique")</f>
        <v>Unique</v>
      </c>
      <c r="E130" t="s">
        <v>61</v>
      </c>
      <c r="F130" s="3">
        <f t="shared" si="10"/>
        <v>29</v>
      </c>
      <c r="G130" t="s">
        <v>32</v>
      </c>
      <c r="H130" t="str">
        <f t="shared" si="11"/>
        <v>Valid</v>
      </c>
      <c r="I130" t="s">
        <v>62</v>
      </c>
      <c r="J130" t="str">
        <f t="shared" si="12"/>
        <v>Kigoma Vijijini</v>
      </c>
      <c r="K130" t="s">
        <v>40</v>
      </c>
      <c r="L130" t="str" cm="1">
        <f t="array" ref="L130">_xlfn.IFS(
ISNUMBER(SEARCH("ICU",K130)), "ICU",
ISNUMBER(SEARCH("NEONATAL",K130)), PROPER("NEONATAL"),
ISNUMBER(SEARCH("LABOUR",K130)), PROPER("LABOUR"),
ISNUMBER(SEARCH("PAEDIATRIC",K130)), PROPER("PAEDIATRIC"),
ISNUMBER(SEARCH("FEMALE SURGICAL",K130)), PROPER("FEMALE SURG, ORTHO &amp; GYN"),
ISNUMBER(SEARCH("PSYCHIATRIST",K130)), PROPER("PSYCHIATRIST"),
ISNUMBER(SEARCH("GRADE 1",K130)), PROPER("GRADE 1"),
ISNUMBER(SEARCH("MALE SURGICAL",K130)), PROPER("MALE SURG &amp; ORTHOPEDIC"),
ISNUMBER(SEARCH("MALE MEDICAL",K130)), PROPER("MALE MEDICAL"),
ISNUMBER(SEARCH("GRADE 2",K130)), PROPER("GRADE 2"),
ISNUMBER(SEARCH("FEMALE WARD",K130)), PROPER("FEMALE MEDICAL"),
TRUE, "Unmapped: " &amp; K130)</f>
        <v>Labour</v>
      </c>
      <c r="M130" t="s">
        <v>394</v>
      </c>
      <c r="O130" t="s">
        <v>593</v>
      </c>
      <c r="P130" t="str">
        <f t="shared" si="13"/>
        <v>Text Error</v>
      </c>
      <c r="Q130" s="5">
        <v>45992.606724537036</v>
      </c>
      <c r="R130" t="str">
        <f t="shared" si="14"/>
        <v>Valid Date</v>
      </c>
      <c r="S130" t="s">
        <v>594</v>
      </c>
      <c r="T130" s="5">
        <v>46029.725601851853</v>
      </c>
      <c r="U130">
        <v>37</v>
      </c>
      <c r="V130" t="str">
        <f t="shared" si="15"/>
        <v>OK</v>
      </c>
      <c r="W130" t="s">
        <v>25</v>
      </c>
      <c r="Y130" t="s">
        <v>30</v>
      </c>
    </row>
    <row r="131" spans="1:25" x14ac:dyDescent="0.25">
      <c r="A131" t="s">
        <v>595</v>
      </c>
      <c r="B131" t="str">
        <f t="shared" ref="B131:B194" si="17">IF(LEN(TRIM(A131))-LEN(SUBSTITUTE(TRIM(A131)," ",""))&gt;=1,TRIM(A131),"⚠ Only 1 name: "&amp;TRIM(A131))</f>
        <v>Andronic Elias Amon</v>
      </c>
      <c r="C131">
        <v>125012</v>
      </c>
      <c r="D131" t="str">
        <f t="shared" si="16"/>
        <v>Unique</v>
      </c>
      <c r="E131" t="s">
        <v>596</v>
      </c>
      <c r="F131" s="3">
        <f t="shared" ref="F131:F194" si="18">IF(ISNUMBER(SEARCH("month",E131)), LEFT(E131,FIND(" ",E131)-1)&amp;"/12", VALUE(LEFT(E131,FIND(" ",E131)-1)))</f>
        <v>78</v>
      </c>
      <c r="G131" t="s">
        <v>32</v>
      </c>
      <c r="H131" t="str">
        <f t="shared" ref="H131:H194" si="19">IF(OR(TRIM(G131)="Male", TRIM(G131)="Female"), "Valid", "Inconsistent")</f>
        <v>Valid</v>
      </c>
      <c r="I131" t="s">
        <v>33</v>
      </c>
      <c r="J131" t="str">
        <f t="shared" ref="J131:J194" si="20">SUBSTITUTE(SUBSTITUTE(TRIM(CLEAN(I131)),"Manisipaa ya kigoma ujiji","Kigoma Ujiji Mc"),"Buhingwe","Buhigwe")</f>
        <v>Kigoma Ujiji Mc</v>
      </c>
      <c r="K131" t="s">
        <v>123</v>
      </c>
      <c r="L131" t="str" cm="1">
        <f t="array" ref="L131">_xlfn.IFS(
ISNUMBER(SEARCH("ICU",K131)), "ICU",
ISNUMBER(SEARCH("NEONATAL",K131)), PROPER("NEONATAL"),
ISNUMBER(SEARCH("LABOUR",K131)), PROPER("LABOUR"),
ISNUMBER(SEARCH("PAEDIATRIC",K131)), PROPER("PAEDIATRIC"),
ISNUMBER(SEARCH("FEMALE SURGICAL",K131)), PROPER("FEMALE SURG, ORTHO &amp; GYN"),
ISNUMBER(SEARCH("PSYCHIATRIST",K131)), PROPER("PSYCHIATRIST"),
ISNUMBER(SEARCH("GRADE 1",K131)), PROPER("GRADE 1"),
ISNUMBER(SEARCH("MALE SURGICAL",K131)), PROPER("MALE SURG &amp; ORTHOPEDIC"),
ISNUMBER(SEARCH("MALE MEDICAL",K131)), PROPER("MALE MEDICAL"),
ISNUMBER(SEARCH("GRADE 2",K131)), PROPER("GRADE 2"),
ISNUMBER(SEARCH("FEMALE WARD",K131)), PROPER("FEMALE MEDICAL"),
TRUE, "Unmapped: " &amp; K131)</f>
        <v>Female Surg, Ortho &amp; Gyn</v>
      </c>
      <c r="M131" t="s">
        <v>22</v>
      </c>
      <c r="O131" t="s">
        <v>597</v>
      </c>
      <c r="P131" t="str">
        <f t="shared" ref="P131:P194" si="21">IF(ISNUMBER(O131), "Valid Date", "Text Error")</f>
        <v>Text Error</v>
      </c>
      <c r="Q131" s="5">
        <v>46001.561990740738</v>
      </c>
      <c r="R131" t="str">
        <f t="shared" ref="R131:R194" si="22">IF(ISNUMBER(Q131), "Valid Date", "Text Error")</f>
        <v>Valid Date</v>
      </c>
      <c r="S131" t="s">
        <v>598</v>
      </c>
      <c r="T131" s="5">
        <v>46032.594282407408</v>
      </c>
      <c r="U131">
        <v>31</v>
      </c>
      <c r="V131" t="str">
        <f t="shared" ref="V131:V194" si="23">IF(NOT(ISNUMBER(U131)), "Text Error", IF(U131&lt;0, "Negative", "OK"))</f>
        <v>OK</v>
      </c>
      <c r="W131" t="s">
        <v>25</v>
      </c>
      <c r="Y131" t="s">
        <v>30</v>
      </c>
    </row>
    <row r="132" spans="1:25" x14ac:dyDescent="0.25">
      <c r="A132" t="s">
        <v>600</v>
      </c>
      <c r="B132" t="str">
        <f t="shared" si="17"/>
        <v>Neema Athuman Said</v>
      </c>
      <c r="C132">
        <v>126002</v>
      </c>
      <c r="D132" t="str">
        <f t="shared" si="16"/>
        <v>Unique</v>
      </c>
      <c r="E132" t="s">
        <v>601</v>
      </c>
      <c r="F132" s="3">
        <f t="shared" si="18"/>
        <v>17</v>
      </c>
      <c r="G132" t="s">
        <v>32</v>
      </c>
      <c r="H132" t="str">
        <f t="shared" si="19"/>
        <v>Valid</v>
      </c>
      <c r="I132" t="s">
        <v>20</v>
      </c>
      <c r="J132" t="str">
        <f t="shared" si="20"/>
        <v>Uvinza</v>
      </c>
      <c r="K132" t="s">
        <v>123</v>
      </c>
      <c r="L132" t="str" cm="1">
        <f t="array" ref="L132">_xlfn.IFS(
ISNUMBER(SEARCH("ICU",K132)), "ICU",
ISNUMBER(SEARCH("NEONATAL",K132)), PROPER("NEONATAL"),
ISNUMBER(SEARCH("LABOUR",K132)), PROPER("LABOUR"),
ISNUMBER(SEARCH("PAEDIATRIC",K132)), PROPER("PAEDIATRIC"),
ISNUMBER(SEARCH("FEMALE SURGICAL",K132)), PROPER("FEMALE SURG, ORTHO &amp; GYN"),
ISNUMBER(SEARCH("PSYCHIATRIST",K132)), PROPER("PSYCHIATRIST"),
ISNUMBER(SEARCH("GRADE 1",K132)), PROPER("GRADE 1"),
ISNUMBER(SEARCH("MALE SURGICAL",K132)), PROPER("MALE SURG &amp; ORTHOPEDIC"),
ISNUMBER(SEARCH("MALE MEDICAL",K132)), PROPER("MALE MEDICAL"),
ISNUMBER(SEARCH("GRADE 2",K132)), PROPER("GRADE 2"),
ISNUMBER(SEARCH("FEMALE WARD",K132)), PROPER("FEMALE MEDICAL"),
TRUE, "Unmapped: " &amp; K132)</f>
        <v>Female Surg, Ortho &amp; Gyn</v>
      </c>
      <c r="M132" t="s">
        <v>22</v>
      </c>
      <c r="O132" t="s">
        <v>602</v>
      </c>
      <c r="P132" t="str">
        <f t="shared" si="21"/>
        <v>Text Error</v>
      </c>
      <c r="Q132" s="5">
        <v>46012.734652777777</v>
      </c>
      <c r="R132" t="str">
        <f t="shared" si="22"/>
        <v>Valid Date</v>
      </c>
      <c r="S132" t="s">
        <v>603</v>
      </c>
      <c r="T132" s="5">
        <v>46043.659745370373</v>
      </c>
      <c r="U132">
        <v>30</v>
      </c>
      <c r="V132" t="str">
        <f t="shared" si="23"/>
        <v>OK</v>
      </c>
      <c r="W132" t="s">
        <v>25</v>
      </c>
      <c r="Y132" t="s">
        <v>30</v>
      </c>
    </row>
    <row r="133" spans="1:25" x14ac:dyDescent="0.25">
      <c r="A133" t="s">
        <v>606</v>
      </c>
      <c r="B133" t="str">
        <f t="shared" si="17"/>
        <v>Theresia V Mng'ong'o</v>
      </c>
      <c r="C133">
        <v>119092</v>
      </c>
      <c r="D133" t="str">
        <f t="shared" si="16"/>
        <v>Unique</v>
      </c>
      <c r="E133" t="s">
        <v>315</v>
      </c>
      <c r="F133" s="3">
        <f t="shared" si="18"/>
        <v>31</v>
      </c>
      <c r="G133" t="s">
        <v>32</v>
      </c>
      <c r="H133" t="str">
        <f t="shared" si="19"/>
        <v>Valid</v>
      </c>
      <c r="I133" t="s">
        <v>33</v>
      </c>
      <c r="J133" t="str">
        <f t="shared" si="20"/>
        <v>Kigoma Ujiji Mc</v>
      </c>
      <c r="K133" t="s">
        <v>40</v>
      </c>
      <c r="L133" t="str" cm="1">
        <f t="array" ref="L133">_xlfn.IFS(
ISNUMBER(SEARCH("ICU",K133)), "ICU",
ISNUMBER(SEARCH("NEONATAL",K133)), PROPER("NEONATAL"),
ISNUMBER(SEARCH("LABOUR",K133)), PROPER("LABOUR"),
ISNUMBER(SEARCH("PAEDIATRIC",K133)), PROPER("PAEDIATRIC"),
ISNUMBER(SEARCH("FEMALE SURGICAL",K133)), PROPER("FEMALE SURG, ORTHO &amp; GYN"),
ISNUMBER(SEARCH("PSYCHIATRIST",K133)), PROPER("PSYCHIATRIST"),
ISNUMBER(SEARCH("GRADE 1",K133)), PROPER("GRADE 1"),
ISNUMBER(SEARCH("MALE SURGICAL",K133)), PROPER("MALE SURG &amp; ORTHOPEDIC"),
ISNUMBER(SEARCH("MALE MEDICAL",K133)), PROPER("MALE MEDICAL"),
ISNUMBER(SEARCH("GRADE 2",K133)), PROPER("GRADE 2"),
ISNUMBER(SEARCH("FEMALE WARD",K133)), PROPER("FEMALE MEDICAL"),
TRUE, "Unmapped: " &amp; K133)</f>
        <v>Labour</v>
      </c>
      <c r="M133" t="s">
        <v>394</v>
      </c>
      <c r="O133" t="s">
        <v>607</v>
      </c>
      <c r="P133" t="str">
        <f t="shared" si="21"/>
        <v>Text Error</v>
      </c>
      <c r="Q133" s="5">
        <v>46000.362372685187</v>
      </c>
      <c r="R133" t="str">
        <f t="shared" si="22"/>
        <v>Valid Date</v>
      </c>
      <c r="S133" t="s">
        <v>608</v>
      </c>
      <c r="T133" s="5">
        <v>46029.724803240744</v>
      </c>
      <c r="U133">
        <v>29</v>
      </c>
      <c r="V133" t="str">
        <f t="shared" si="23"/>
        <v>OK</v>
      </c>
      <c r="W133" t="s">
        <v>25</v>
      </c>
      <c r="Y133" t="s">
        <v>30</v>
      </c>
    </row>
    <row r="134" spans="1:25" x14ac:dyDescent="0.25">
      <c r="A134" t="s">
        <v>609</v>
      </c>
      <c r="B134" t="str">
        <f t="shared" si="17"/>
        <v>Beatrice Richard Kalaza</v>
      </c>
      <c r="C134">
        <v>126860</v>
      </c>
      <c r="D134" t="str">
        <f t="shared" si="16"/>
        <v>Unique</v>
      </c>
      <c r="E134" t="s">
        <v>39</v>
      </c>
      <c r="F134" s="3">
        <f t="shared" si="18"/>
        <v>33</v>
      </c>
      <c r="G134" t="s">
        <v>32</v>
      </c>
      <c r="H134" t="str">
        <f t="shared" si="19"/>
        <v>Valid</v>
      </c>
      <c r="I134" t="s">
        <v>33</v>
      </c>
      <c r="J134" t="str">
        <f t="shared" si="20"/>
        <v>Kigoma Ujiji Mc</v>
      </c>
      <c r="K134" t="s">
        <v>40</v>
      </c>
      <c r="L134" t="str" cm="1">
        <f t="array" ref="L134">_xlfn.IFS(
ISNUMBER(SEARCH("ICU",K134)), "ICU",
ISNUMBER(SEARCH("NEONATAL",K134)), PROPER("NEONATAL"),
ISNUMBER(SEARCH("LABOUR",K134)), PROPER("LABOUR"),
ISNUMBER(SEARCH("PAEDIATRIC",K134)), PROPER("PAEDIATRIC"),
ISNUMBER(SEARCH("FEMALE SURGICAL",K134)), PROPER("FEMALE SURG, ORTHO &amp; GYN"),
ISNUMBER(SEARCH("PSYCHIATRIST",K134)), PROPER("PSYCHIATRIST"),
ISNUMBER(SEARCH("GRADE 1",K134)), PROPER("GRADE 1"),
ISNUMBER(SEARCH("MALE SURGICAL",K134)), PROPER("MALE SURG &amp; ORTHOPEDIC"),
ISNUMBER(SEARCH("MALE MEDICAL",K134)), PROPER("MALE MEDICAL"),
ISNUMBER(SEARCH("GRADE 2",K134)), PROPER("GRADE 2"),
ISNUMBER(SEARCH("FEMALE WARD",K134)), PROPER("FEMALE MEDICAL"),
TRUE, "Unmapped: " &amp; K134)</f>
        <v>Labour</v>
      </c>
      <c r="M134" t="s">
        <v>394</v>
      </c>
      <c r="O134" t="s">
        <v>610</v>
      </c>
      <c r="P134" t="str">
        <f t="shared" si="21"/>
        <v>Text Error</v>
      </c>
      <c r="Q134" s="5">
        <v>46021.841377314813</v>
      </c>
      <c r="R134" t="str">
        <f t="shared" si="22"/>
        <v>Valid Date</v>
      </c>
      <c r="S134" t="s">
        <v>611</v>
      </c>
      <c r="T134" s="5">
        <v>46051.66684027778</v>
      </c>
      <c r="U134">
        <v>29</v>
      </c>
      <c r="V134" t="str">
        <f t="shared" si="23"/>
        <v>OK</v>
      </c>
      <c r="W134" t="s">
        <v>25</v>
      </c>
      <c r="Y134" t="s">
        <v>30</v>
      </c>
    </row>
    <row r="135" spans="1:25" x14ac:dyDescent="0.25">
      <c r="A135" t="s">
        <v>613</v>
      </c>
      <c r="B135" t="str">
        <f t="shared" si="17"/>
        <v>Titus D Msaya</v>
      </c>
      <c r="C135">
        <v>34133</v>
      </c>
      <c r="D135" t="str">
        <f t="shared" si="16"/>
        <v>Unique</v>
      </c>
      <c r="E135" t="s">
        <v>614</v>
      </c>
      <c r="F135" s="3">
        <f t="shared" si="18"/>
        <v>43</v>
      </c>
      <c r="G135" t="s">
        <v>19</v>
      </c>
      <c r="H135" t="str">
        <f t="shared" si="19"/>
        <v>Valid</v>
      </c>
      <c r="I135" t="s">
        <v>227</v>
      </c>
      <c r="J135" t="str">
        <f t="shared" si="20"/>
        <v>KGG</v>
      </c>
      <c r="K135" t="s">
        <v>428</v>
      </c>
      <c r="L135" t="str" cm="1">
        <f t="array" ref="L135">_xlfn.IFS(
ISNUMBER(SEARCH("ICU",K135)), "ICU",
ISNUMBER(SEARCH("NEONATAL",K135)), PROPER("NEONATAL"),
ISNUMBER(SEARCH("LABOUR",K135)), PROPER("LABOUR"),
ISNUMBER(SEARCH("PAEDIATRIC",K135)), PROPER("PAEDIATRIC"),
ISNUMBER(SEARCH("FEMALE SURGICAL",K135)), PROPER("FEMALE SURG, ORTHO &amp; GYN"),
ISNUMBER(SEARCH("PSYCHIATRIST",K135)), PROPER("PSYCHIATRIST"),
ISNUMBER(SEARCH("GRADE 1",K135)), PROPER("GRADE 1"),
ISNUMBER(SEARCH("MALE SURGICAL",K135)), PROPER("MALE SURG &amp; ORTHOPEDIC"),
ISNUMBER(SEARCH("MALE MEDICAL",K135)), PROPER("MALE MEDICAL"),
ISNUMBER(SEARCH("GRADE 2",K135)), PROPER("GRADE 2"),
ISNUMBER(SEARCH("FEMALE WARD",K135)), PROPER("FEMALE MEDICAL"),
TRUE, "Unmapped: " &amp; K135)</f>
        <v>Male Surg &amp; Orthopedic</v>
      </c>
      <c r="M135" t="s">
        <v>394</v>
      </c>
      <c r="O135" t="s">
        <v>615</v>
      </c>
      <c r="P135" t="str">
        <f t="shared" si="21"/>
        <v>Text Error</v>
      </c>
      <c r="Q135" s="5">
        <v>45996.566250000003</v>
      </c>
      <c r="R135" t="str">
        <f t="shared" si="22"/>
        <v>Valid Date</v>
      </c>
      <c r="S135" t="s">
        <v>616</v>
      </c>
      <c r="T135" s="5">
        <v>46024.648414351854</v>
      </c>
      <c r="U135">
        <v>28</v>
      </c>
      <c r="V135" t="str">
        <f t="shared" si="23"/>
        <v>OK</v>
      </c>
      <c r="W135" t="s">
        <v>25</v>
      </c>
      <c r="Y135" t="s">
        <v>30</v>
      </c>
    </row>
    <row r="136" spans="1:25" x14ac:dyDescent="0.25">
      <c r="A136" t="s">
        <v>617</v>
      </c>
      <c r="B136" t="str">
        <f t="shared" si="17"/>
        <v>Hajra Bakari Hamisi</v>
      </c>
      <c r="C136">
        <v>125931</v>
      </c>
      <c r="D136" t="str">
        <f t="shared" si="16"/>
        <v>Unique</v>
      </c>
      <c r="E136" t="s">
        <v>296</v>
      </c>
      <c r="F136" s="3">
        <f t="shared" si="18"/>
        <v>26</v>
      </c>
      <c r="G136" t="s">
        <v>32</v>
      </c>
      <c r="H136" t="str">
        <f t="shared" si="19"/>
        <v>Valid</v>
      </c>
      <c r="I136" t="s">
        <v>33</v>
      </c>
      <c r="J136" t="str">
        <f t="shared" si="20"/>
        <v>Kigoma Ujiji Mc</v>
      </c>
      <c r="K136" t="s">
        <v>40</v>
      </c>
      <c r="L136" t="str" cm="1">
        <f t="array" ref="L136">_xlfn.IFS(
ISNUMBER(SEARCH("ICU",K136)), "ICU",
ISNUMBER(SEARCH("NEONATAL",K136)), PROPER("NEONATAL"),
ISNUMBER(SEARCH("LABOUR",K136)), PROPER("LABOUR"),
ISNUMBER(SEARCH("PAEDIATRIC",K136)), PROPER("PAEDIATRIC"),
ISNUMBER(SEARCH("FEMALE SURGICAL",K136)), PROPER("FEMALE SURG, ORTHO &amp; GYN"),
ISNUMBER(SEARCH("PSYCHIATRIST",K136)), PROPER("PSYCHIATRIST"),
ISNUMBER(SEARCH("GRADE 1",K136)), PROPER("GRADE 1"),
ISNUMBER(SEARCH("MALE SURGICAL",K136)), PROPER("MALE SURG &amp; ORTHOPEDIC"),
ISNUMBER(SEARCH("MALE MEDICAL",K136)), PROPER("MALE MEDICAL"),
ISNUMBER(SEARCH("GRADE 2",K136)), PROPER("GRADE 2"),
ISNUMBER(SEARCH("FEMALE WARD",K136)), PROPER("FEMALE MEDICAL"),
TRUE, "Unmapped: " &amp; K136)</f>
        <v>Labour</v>
      </c>
      <c r="M136" t="s">
        <v>22</v>
      </c>
      <c r="O136" t="s">
        <v>618</v>
      </c>
      <c r="P136" t="str">
        <f t="shared" si="21"/>
        <v>Text Error</v>
      </c>
      <c r="Q136" s="5">
        <v>46011.258356481485</v>
      </c>
      <c r="R136" t="str">
        <f t="shared" si="22"/>
        <v>Valid Date</v>
      </c>
      <c r="S136" t="s">
        <v>619</v>
      </c>
      <c r="T136" s="5">
        <v>46038.582002314812</v>
      </c>
      <c r="U136">
        <v>27</v>
      </c>
      <c r="V136" t="str">
        <f t="shared" si="23"/>
        <v>OK</v>
      </c>
      <c r="W136" t="s">
        <v>25</v>
      </c>
      <c r="Y136" t="s">
        <v>30</v>
      </c>
    </row>
    <row r="137" spans="1:25" x14ac:dyDescent="0.25">
      <c r="A137" t="s">
        <v>621</v>
      </c>
      <c r="B137" t="str">
        <f t="shared" si="17"/>
        <v>1 Baby Of Neema Standey Genyeka</v>
      </c>
      <c r="C137">
        <v>126609</v>
      </c>
      <c r="D137" t="str">
        <f t="shared" si="16"/>
        <v>Unique</v>
      </c>
      <c r="E137" t="s">
        <v>622</v>
      </c>
      <c r="F137" s="3" t="str">
        <f t="shared" si="18"/>
        <v>2/12</v>
      </c>
      <c r="G137" t="s">
        <v>32</v>
      </c>
      <c r="H137" t="str">
        <f t="shared" si="19"/>
        <v>Valid</v>
      </c>
      <c r="I137" t="s">
        <v>62</v>
      </c>
      <c r="J137" t="str">
        <f t="shared" si="20"/>
        <v>Kigoma Vijijini</v>
      </c>
      <c r="K137" t="s">
        <v>21</v>
      </c>
      <c r="L137" t="str" cm="1">
        <f t="array" ref="L137">_xlfn.IFS(
ISNUMBER(SEARCH("ICU",K137)), "ICU",
ISNUMBER(SEARCH("NEONATAL",K137)), PROPER("NEONATAL"),
ISNUMBER(SEARCH("LABOUR",K137)), PROPER("LABOUR"),
ISNUMBER(SEARCH("PAEDIATRIC",K137)), PROPER("PAEDIATRIC"),
ISNUMBER(SEARCH("FEMALE SURGICAL",K137)), PROPER("FEMALE SURG, ORTHO &amp; GYN"),
ISNUMBER(SEARCH("PSYCHIATRIST",K137)), PROPER("PSYCHIATRIST"),
ISNUMBER(SEARCH("GRADE 1",K137)), PROPER("GRADE 1"),
ISNUMBER(SEARCH("MALE SURGICAL",K137)), PROPER("MALE SURG &amp; ORTHOPEDIC"),
ISNUMBER(SEARCH("MALE MEDICAL",K137)), PROPER("MALE MEDICAL"),
ISNUMBER(SEARCH("GRADE 2",K137)), PROPER("GRADE 2"),
ISNUMBER(SEARCH("FEMALE WARD",K137)), PROPER("FEMALE MEDICAL"),
TRUE, "Unmapped: " &amp; K137)</f>
        <v>Neonatal</v>
      </c>
      <c r="M137" t="s">
        <v>22</v>
      </c>
      <c r="O137" t="s">
        <v>623</v>
      </c>
      <c r="P137" t="str">
        <f t="shared" si="21"/>
        <v>Text Error</v>
      </c>
      <c r="Q137" s="5">
        <v>46020.014270833337</v>
      </c>
      <c r="R137" t="str">
        <f t="shared" si="22"/>
        <v>Valid Date</v>
      </c>
      <c r="S137" t="s">
        <v>624</v>
      </c>
      <c r="T137" s="5">
        <v>46046.711111111108</v>
      </c>
      <c r="U137">
        <v>26</v>
      </c>
      <c r="V137" t="str">
        <f t="shared" si="23"/>
        <v>OK</v>
      </c>
      <c r="W137" t="s">
        <v>25</v>
      </c>
      <c r="Y137" t="s">
        <v>30</v>
      </c>
    </row>
    <row r="138" spans="1:25" x14ac:dyDescent="0.25">
      <c r="A138" t="s">
        <v>625</v>
      </c>
      <c r="B138" t="str">
        <f t="shared" si="17"/>
        <v>2baby Of Neema Standey Genyeka</v>
      </c>
      <c r="C138">
        <v>126610</v>
      </c>
      <c r="D138" t="str">
        <f t="shared" si="16"/>
        <v>Unique</v>
      </c>
      <c r="E138" t="s">
        <v>622</v>
      </c>
      <c r="F138" s="3" t="str">
        <f t="shared" si="18"/>
        <v>2/12</v>
      </c>
      <c r="G138" t="s">
        <v>19</v>
      </c>
      <c r="H138" t="str">
        <f t="shared" si="19"/>
        <v>Valid</v>
      </c>
      <c r="I138" t="s">
        <v>62</v>
      </c>
      <c r="J138" t="str">
        <f t="shared" si="20"/>
        <v>Kigoma Vijijini</v>
      </c>
      <c r="K138" t="s">
        <v>21</v>
      </c>
      <c r="L138" t="str" cm="1">
        <f t="array" ref="L138">_xlfn.IFS(
ISNUMBER(SEARCH("ICU",K138)), "ICU",
ISNUMBER(SEARCH("NEONATAL",K138)), PROPER("NEONATAL"),
ISNUMBER(SEARCH("LABOUR",K138)), PROPER("LABOUR"),
ISNUMBER(SEARCH("PAEDIATRIC",K138)), PROPER("PAEDIATRIC"),
ISNUMBER(SEARCH("FEMALE SURGICAL",K138)), PROPER("FEMALE SURG, ORTHO &amp; GYN"),
ISNUMBER(SEARCH("PSYCHIATRIST",K138)), PROPER("PSYCHIATRIST"),
ISNUMBER(SEARCH("GRADE 1",K138)), PROPER("GRADE 1"),
ISNUMBER(SEARCH("MALE SURGICAL",K138)), PROPER("MALE SURG &amp; ORTHOPEDIC"),
ISNUMBER(SEARCH("MALE MEDICAL",K138)), PROPER("MALE MEDICAL"),
ISNUMBER(SEARCH("GRADE 2",K138)), PROPER("GRADE 2"),
ISNUMBER(SEARCH("FEMALE WARD",K138)), PROPER("FEMALE MEDICAL"),
TRUE, "Unmapped: " &amp; K138)</f>
        <v>Neonatal</v>
      </c>
      <c r="M138" t="s">
        <v>22</v>
      </c>
      <c r="O138" t="s">
        <v>626</v>
      </c>
      <c r="P138" t="str">
        <f t="shared" si="21"/>
        <v>Text Error</v>
      </c>
      <c r="Q138" s="5">
        <v>46020.030289351853</v>
      </c>
      <c r="R138" t="str">
        <f t="shared" si="22"/>
        <v>Valid Date</v>
      </c>
      <c r="S138" t="s">
        <v>627</v>
      </c>
      <c r="T138" s="5">
        <v>46046.710717592592</v>
      </c>
      <c r="U138">
        <v>26</v>
      </c>
      <c r="V138" t="str">
        <f t="shared" si="23"/>
        <v>OK</v>
      </c>
      <c r="W138" t="s">
        <v>25</v>
      </c>
      <c r="Y138" t="s">
        <v>30</v>
      </c>
    </row>
    <row r="139" spans="1:25" x14ac:dyDescent="0.25">
      <c r="A139" t="s">
        <v>629</v>
      </c>
      <c r="B139" t="str">
        <f t="shared" si="17"/>
        <v>Unkown Unknown Mwanga</v>
      </c>
      <c r="C139">
        <v>127015</v>
      </c>
      <c r="D139" t="str">
        <f t="shared" si="16"/>
        <v>Unique</v>
      </c>
      <c r="E139" t="s">
        <v>630</v>
      </c>
      <c r="F139" s="3">
        <f t="shared" si="18"/>
        <v>41</v>
      </c>
      <c r="G139" t="s">
        <v>19</v>
      </c>
      <c r="H139" t="str">
        <f t="shared" si="19"/>
        <v>Valid</v>
      </c>
      <c r="I139" t="s">
        <v>33</v>
      </c>
      <c r="J139" t="str">
        <f t="shared" si="20"/>
        <v>Kigoma Ujiji Mc</v>
      </c>
      <c r="K139" t="s">
        <v>202</v>
      </c>
      <c r="L139" t="str" cm="1">
        <f t="array" ref="L139">_xlfn.IFS(
ISNUMBER(SEARCH("ICU",K139)), "ICU",
ISNUMBER(SEARCH("NEONATAL",K139)), PROPER("NEONATAL"),
ISNUMBER(SEARCH("LABOUR",K139)), PROPER("LABOUR"),
ISNUMBER(SEARCH("PAEDIATRIC",K139)), PROPER("PAEDIATRIC"),
ISNUMBER(SEARCH("FEMALE SURGICAL",K139)), PROPER("FEMALE SURG, ORTHO &amp; GYN"),
ISNUMBER(SEARCH("PSYCHIATRIST",K139)), PROPER("PSYCHIATRIST"),
ISNUMBER(SEARCH("GRADE 1",K139)), PROPER("GRADE 1"),
ISNUMBER(SEARCH("MALE SURGICAL",K139)), PROPER("MALE SURG &amp; ORTHOPEDIC"),
ISNUMBER(SEARCH("MALE MEDICAL",K139)), PROPER("MALE MEDICAL"),
ISNUMBER(SEARCH("GRADE 2",K139)), PROPER("GRADE 2"),
ISNUMBER(SEARCH("FEMALE WARD",K139)), PROPER("FEMALE MEDICAL"),
TRUE, "Unmapped: " &amp; K139)</f>
        <v>Psychiatrist</v>
      </c>
      <c r="M139" t="s">
        <v>22</v>
      </c>
      <c r="O139" t="s">
        <v>631</v>
      </c>
      <c r="P139" t="str">
        <f t="shared" si="21"/>
        <v>Text Error</v>
      </c>
      <c r="Q139" s="5">
        <v>46023.888657407406</v>
      </c>
      <c r="R139" t="str">
        <f t="shared" si="22"/>
        <v>Valid Date</v>
      </c>
      <c r="S139" t="s">
        <v>632</v>
      </c>
      <c r="T139" s="5">
        <v>46050.659143518518</v>
      </c>
      <c r="U139">
        <v>26</v>
      </c>
      <c r="V139" t="str">
        <f t="shared" si="23"/>
        <v>OK</v>
      </c>
      <c r="W139" t="s">
        <v>25</v>
      </c>
      <c r="Y139" t="s">
        <v>30</v>
      </c>
    </row>
    <row r="140" spans="1:25" x14ac:dyDescent="0.25">
      <c r="A140" t="s">
        <v>633</v>
      </c>
      <c r="B140" t="str">
        <f t="shared" si="17"/>
        <v>Babyofester Tumain Siashiriki</v>
      </c>
      <c r="C140">
        <v>124796</v>
      </c>
      <c r="D140" t="str">
        <f t="shared" si="16"/>
        <v>Unique</v>
      </c>
      <c r="E140" t="s">
        <v>634</v>
      </c>
      <c r="F140" s="3" t="str">
        <f t="shared" si="18"/>
        <v>3/12</v>
      </c>
      <c r="G140" t="s">
        <v>32</v>
      </c>
      <c r="H140" t="str">
        <f t="shared" si="19"/>
        <v>Valid</v>
      </c>
      <c r="I140" t="s">
        <v>33</v>
      </c>
      <c r="J140" t="str">
        <f t="shared" si="20"/>
        <v>Kigoma Ujiji Mc</v>
      </c>
      <c r="K140" t="s">
        <v>21</v>
      </c>
      <c r="L140" t="str" cm="1">
        <f t="array" ref="L140">_xlfn.IFS(
ISNUMBER(SEARCH("ICU",K140)), "ICU",
ISNUMBER(SEARCH("NEONATAL",K140)), PROPER("NEONATAL"),
ISNUMBER(SEARCH("LABOUR",K140)), PROPER("LABOUR"),
ISNUMBER(SEARCH("PAEDIATRIC",K140)), PROPER("PAEDIATRIC"),
ISNUMBER(SEARCH("FEMALE SURGICAL",K140)), PROPER("FEMALE SURG, ORTHO &amp; GYN"),
ISNUMBER(SEARCH("PSYCHIATRIST",K140)), PROPER("PSYCHIATRIST"),
ISNUMBER(SEARCH("GRADE 1",K140)), PROPER("GRADE 1"),
ISNUMBER(SEARCH("MALE SURGICAL",K140)), PROPER("MALE SURG &amp; ORTHOPEDIC"),
ISNUMBER(SEARCH("MALE MEDICAL",K140)), PROPER("MALE MEDICAL"),
ISNUMBER(SEARCH("GRADE 2",K140)), PROPER("GRADE 2"),
ISNUMBER(SEARCH("FEMALE WARD",K140)), PROPER("FEMALE MEDICAL"),
TRUE, "Unmapped: " &amp; K140)</f>
        <v>Neonatal</v>
      </c>
      <c r="M140" t="s">
        <v>22</v>
      </c>
      <c r="O140" t="s">
        <v>635</v>
      </c>
      <c r="P140" t="str">
        <f t="shared" si="21"/>
        <v>Text Error</v>
      </c>
      <c r="Q140" s="5">
        <v>45999.506342592591</v>
      </c>
      <c r="R140" t="str">
        <f t="shared" si="22"/>
        <v>Valid Date</v>
      </c>
      <c r="S140" t="s">
        <v>636</v>
      </c>
      <c r="T140" s="5">
        <v>46024.644456018519</v>
      </c>
      <c r="U140">
        <v>25</v>
      </c>
      <c r="V140" t="str">
        <f t="shared" si="23"/>
        <v>OK</v>
      </c>
      <c r="W140" t="s">
        <v>25</v>
      </c>
      <c r="Y140" t="s">
        <v>30</v>
      </c>
    </row>
    <row r="141" spans="1:25" x14ac:dyDescent="0.25">
      <c r="A141" t="s">
        <v>637</v>
      </c>
      <c r="B141" t="str">
        <f t="shared" si="17"/>
        <v>Kiza Abdallah Lwango</v>
      </c>
      <c r="C141">
        <v>126811</v>
      </c>
      <c r="D141" t="str">
        <f t="shared" si="16"/>
        <v>Unique</v>
      </c>
      <c r="E141" t="s">
        <v>310</v>
      </c>
      <c r="F141" s="3">
        <f t="shared" si="18"/>
        <v>90</v>
      </c>
      <c r="G141" t="s">
        <v>32</v>
      </c>
      <c r="H141" t="str">
        <f t="shared" si="19"/>
        <v>Valid</v>
      </c>
      <c r="I141" t="s">
        <v>33</v>
      </c>
      <c r="J141" t="str">
        <f t="shared" si="20"/>
        <v>Kigoma Ujiji Mc</v>
      </c>
      <c r="K141" t="s">
        <v>123</v>
      </c>
      <c r="L141" t="str" cm="1">
        <f t="array" ref="L141">_xlfn.IFS(
ISNUMBER(SEARCH("ICU",K141)), "ICU",
ISNUMBER(SEARCH("NEONATAL",K141)), PROPER("NEONATAL"),
ISNUMBER(SEARCH("LABOUR",K141)), PROPER("LABOUR"),
ISNUMBER(SEARCH("PAEDIATRIC",K141)), PROPER("PAEDIATRIC"),
ISNUMBER(SEARCH("FEMALE SURGICAL",K141)), PROPER("FEMALE SURG, ORTHO &amp; GYN"),
ISNUMBER(SEARCH("PSYCHIATRIST",K141)), PROPER("PSYCHIATRIST"),
ISNUMBER(SEARCH("GRADE 1",K141)), PROPER("GRADE 1"),
ISNUMBER(SEARCH("MALE SURGICAL",K141)), PROPER("MALE SURG &amp; ORTHOPEDIC"),
ISNUMBER(SEARCH("MALE MEDICAL",K141)), PROPER("MALE MEDICAL"),
ISNUMBER(SEARCH("GRADE 2",K141)), PROPER("GRADE 2"),
ISNUMBER(SEARCH("FEMALE WARD",K141)), PROPER("FEMALE MEDICAL"),
TRUE, "Unmapped: " &amp; K141)</f>
        <v>Female Surg, Ortho &amp; Gyn</v>
      </c>
      <c r="M141" t="s">
        <v>22</v>
      </c>
      <c r="O141" t="s">
        <v>638</v>
      </c>
      <c r="P141" t="str">
        <f t="shared" si="21"/>
        <v>Text Error</v>
      </c>
      <c r="Q141" s="5">
        <v>46021.682824074072</v>
      </c>
      <c r="R141" t="str">
        <f t="shared" si="22"/>
        <v>Valid Date</v>
      </c>
      <c r="S141" t="s">
        <v>639</v>
      </c>
      <c r="T141" s="5">
        <v>46047.61273148148</v>
      </c>
      <c r="U141">
        <v>25</v>
      </c>
      <c r="V141" t="str">
        <f t="shared" si="23"/>
        <v>OK</v>
      </c>
      <c r="W141" t="s">
        <v>211</v>
      </c>
      <c r="Y141" t="s">
        <v>30</v>
      </c>
    </row>
    <row r="142" spans="1:25" x14ac:dyDescent="0.25">
      <c r="A142" t="s">
        <v>640</v>
      </c>
      <c r="B142" t="str">
        <f t="shared" si="17"/>
        <v>Juma Hassan Hassan</v>
      </c>
      <c r="C142">
        <v>127424</v>
      </c>
      <c r="D142" t="str">
        <f t="shared" si="16"/>
        <v>Unique</v>
      </c>
      <c r="E142" t="s">
        <v>641</v>
      </c>
      <c r="F142" s="3">
        <f t="shared" si="18"/>
        <v>46</v>
      </c>
      <c r="G142" t="s">
        <v>19</v>
      </c>
      <c r="H142" t="str">
        <f t="shared" si="19"/>
        <v>Valid</v>
      </c>
      <c r="I142" t="s">
        <v>33</v>
      </c>
      <c r="J142" t="str">
        <f t="shared" si="20"/>
        <v>Kigoma Ujiji Mc</v>
      </c>
      <c r="K142" t="s">
        <v>202</v>
      </c>
      <c r="L142" t="str" cm="1">
        <f t="array" ref="L142">_xlfn.IFS(
ISNUMBER(SEARCH("ICU",K142)), "ICU",
ISNUMBER(SEARCH("NEONATAL",K142)), PROPER("NEONATAL"),
ISNUMBER(SEARCH("LABOUR",K142)), PROPER("LABOUR"),
ISNUMBER(SEARCH("PAEDIATRIC",K142)), PROPER("PAEDIATRIC"),
ISNUMBER(SEARCH("FEMALE SURGICAL",K142)), PROPER("FEMALE SURG, ORTHO &amp; GYN"),
ISNUMBER(SEARCH("PSYCHIATRIST",K142)), PROPER("PSYCHIATRIST"),
ISNUMBER(SEARCH("GRADE 1",K142)), PROPER("GRADE 1"),
ISNUMBER(SEARCH("MALE SURGICAL",K142)), PROPER("MALE SURG &amp; ORTHOPEDIC"),
ISNUMBER(SEARCH("MALE MEDICAL",K142)), PROPER("MALE MEDICAL"),
ISNUMBER(SEARCH("GRADE 2",K142)), PROPER("GRADE 2"),
ISNUMBER(SEARCH("FEMALE WARD",K142)), PROPER("FEMALE MEDICAL"),
TRUE, "Unmapped: " &amp; K142)</f>
        <v>Psychiatrist</v>
      </c>
      <c r="M142" t="s">
        <v>22</v>
      </c>
      <c r="O142" t="s">
        <v>642</v>
      </c>
      <c r="P142" t="str">
        <f t="shared" si="21"/>
        <v>Text Error</v>
      </c>
      <c r="Q142" s="5">
        <v>46027.889525462961</v>
      </c>
      <c r="R142" t="str">
        <f t="shared" si="22"/>
        <v>Valid Date</v>
      </c>
      <c r="S142" t="s">
        <v>643</v>
      </c>
      <c r="T142" s="5">
        <v>46052.627268518518</v>
      </c>
      <c r="U142">
        <v>24</v>
      </c>
      <c r="V142" t="str">
        <f t="shared" si="23"/>
        <v>OK</v>
      </c>
      <c r="W142" t="s">
        <v>25</v>
      </c>
      <c r="Y142" t="s">
        <v>30</v>
      </c>
    </row>
    <row r="143" spans="1:25" x14ac:dyDescent="0.25">
      <c r="A143" t="s">
        <v>645</v>
      </c>
      <c r="B143" t="str">
        <f t="shared" si="17"/>
        <v>Aniseth Eliya Cossam</v>
      </c>
      <c r="C143">
        <v>127469</v>
      </c>
      <c r="D143" t="str">
        <f t="shared" si="16"/>
        <v>Unique</v>
      </c>
      <c r="E143" t="s">
        <v>646</v>
      </c>
      <c r="F143" s="3">
        <f t="shared" si="18"/>
        <v>6</v>
      </c>
      <c r="G143" t="s">
        <v>19</v>
      </c>
      <c r="H143" t="str">
        <f t="shared" si="19"/>
        <v>Valid</v>
      </c>
      <c r="I143" t="s">
        <v>130</v>
      </c>
      <c r="J143" t="str">
        <f t="shared" si="20"/>
        <v>Buhigwe</v>
      </c>
      <c r="K143" t="s">
        <v>109</v>
      </c>
      <c r="L143" t="str" cm="1">
        <f t="array" ref="L143">_xlfn.IFS(
ISNUMBER(SEARCH("ICU",K143)), "ICU",
ISNUMBER(SEARCH("NEONATAL",K143)), PROPER("NEONATAL"),
ISNUMBER(SEARCH("LABOUR",K143)), PROPER("LABOUR"),
ISNUMBER(SEARCH("PAEDIATRIC",K143)), PROPER("PAEDIATRIC"),
ISNUMBER(SEARCH("FEMALE SURGICAL",K143)), PROPER("FEMALE SURG, ORTHO &amp; GYN"),
ISNUMBER(SEARCH("PSYCHIATRIST",K143)), PROPER("PSYCHIATRIST"),
ISNUMBER(SEARCH("GRADE 1",K143)), PROPER("GRADE 1"),
ISNUMBER(SEARCH("MALE SURGICAL",K143)), PROPER("MALE SURG &amp; ORTHOPEDIC"),
ISNUMBER(SEARCH("MALE MEDICAL",K143)), PROPER("MALE MEDICAL"),
ISNUMBER(SEARCH("GRADE 2",K143)), PROPER("GRADE 2"),
ISNUMBER(SEARCH("FEMALE WARD",K143)), PROPER("FEMALE MEDICAL"),
TRUE, "Unmapped: " &amp; K143)</f>
        <v>Paediatric</v>
      </c>
      <c r="M143" t="s">
        <v>22</v>
      </c>
      <c r="O143" t="s">
        <v>647</v>
      </c>
      <c r="P143" t="str">
        <f t="shared" si="21"/>
        <v>Text Error</v>
      </c>
      <c r="Q143" s="5">
        <v>46028.489895833336</v>
      </c>
      <c r="R143" t="str">
        <f t="shared" si="22"/>
        <v>Valid Date</v>
      </c>
      <c r="S143" t="s">
        <v>648</v>
      </c>
      <c r="T143" s="5">
        <v>46052.673032407409</v>
      </c>
      <c r="U143">
        <v>24</v>
      </c>
      <c r="V143" t="str">
        <f t="shared" si="23"/>
        <v>OK</v>
      </c>
      <c r="W143" t="s">
        <v>25</v>
      </c>
      <c r="Y143" t="s">
        <v>30</v>
      </c>
    </row>
    <row r="144" spans="1:25" x14ac:dyDescent="0.25">
      <c r="A144" t="s">
        <v>649</v>
      </c>
      <c r="B144" t="str">
        <f t="shared" si="17"/>
        <v>Ramadhani Saidi Mussa</v>
      </c>
      <c r="C144">
        <v>125317</v>
      </c>
      <c r="D144" t="str">
        <f t="shared" si="16"/>
        <v>Unique</v>
      </c>
      <c r="E144" t="s">
        <v>441</v>
      </c>
      <c r="F144" s="3">
        <f t="shared" si="18"/>
        <v>60</v>
      </c>
      <c r="G144" t="s">
        <v>19</v>
      </c>
      <c r="H144" t="str">
        <f t="shared" si="19"/>
        <v>Valid</v>
      </c>
      <c r="I144" t="s">
        <v>260</v>
      </c>
      <c r="J144" t="str">
        <f t="shared" si="20"/>
        <v>Kasulu</v>
      </c>
      <c r="K144" t="s">
        <v>484</v>
      </c>
      <c r="L144" t="str" cm="1">
        <f t="array" ref="L144">_xlfn.IFS(
ISNUMBER(SEARCH("ICU",K144)), "ICU",
ISNUMBER(SEARCH("NEONATAL",K144)), PROPER("NEONATAL"),
ISNUMBER(SEARCH("LABOUR",K144)), PROPER("LABOUR"),
ISNUMBER(SEARCH("PAEDIATRIC",K144)), PROPER("PAEDIATRIC"),
ISNUMBER(SEARCH("FEMALE SURGICAL",K144)), PROPER("FEMALE SURG, ORTHO &amp; GYN"),
ISNUMBER(SEARCH("PSYCHIATRIST",K144)), PROPER("PSYCHIATRIST"),
ISNUMBER(SEARCH("GRADE 1",K144)), PROPER("GRADE 1"),
ISNUMBER(SEARCH("MALE SURGICAL",K144)), PROPER("MALE SURG &amp; ORTHOPEDIC"),
ISNUMBER(SEARCH("MALE MEDICAL",K144)), PROPER("MALE MEDICAL"),
ISNUMBER(SEARCH("GRADE 2",K144)), PROPER("GRADE 2"),
ISNUMBER(SEARCH("FEMALE WARD",K144)), PROPER("FEMALE MEDICAL"),
TRUE, "Unmapped: " &amp; K144)</f>
        <v>Male Medical</v>
      </c>
      <c r="M144" t="s">
        <v>22</v>
      </c>
      <c r="O144" t="s">
        <v>650</v>
      </c>
      <c r="P144" t="str">
        <f t="shared" si="21"/>
        <v>Text Error</v>
      </c>
      <c r="Q144" s="5">
        <v>46004.841261574074</v>
      </c>
      <c r="R144" t="str">
        <f t="shared" si="22"/>
        <v>Valid Date</v>
      </c>
      <c r="S144" t="s">
        <v>651</v>
      </c>
      <c r="T144" s="5">
        <v>46028.550092592595</v>
      </c>
      <c r="U144">
        <v>23</v>
      </c>
      <c r="V144" t="str">
        <f t="shared" si="23"/>
        <v>OK</v>
      </c>
      <c r="W144" t="s">
        <v>25</v>
      </c>
      <c r="Y144" t="s">
        <v>30</v>
      </c>
    </row>
    <row r="145" spans="1:25" x14ac:dyDescent="0.25">
      <c r="A145" t="s">
        <v>617</v>
      </c>
      <c r="B145" t="str">
        <f t="shared" si="17"/>
        <v>Hajra Bakari Hamisi</v>
      </c>
      <c r="C145">
        <v>126175</v>
      </c>
      <c r="D145" t="str">
        <f t="shared" si="16"/>
        <v>Unique</v>
      </c>
      <c r="E145" t="s">
        <v>361</v>
      </c>
      <c r="F145" s="3">
        <f t="shared" si="18"/>
        <v>27</v>
      </c>
      <c r="G145" t="s">
        <v>32</v>
      </c>
      <c r="H145" t="str">
        <f t="shared" si="19"/>
        <v>Valid</v>
      </c>
      <c r="I145" t="s">
        <v>33</v>
      </c>
      <c r="J145" t="str">
        <f t="shared" si="20"/>
        <v>Kigoma Ujiji Mc</v>
      </c>
      <c r="K145" t="s">
        <v>40</v>
      </c>
      <c r="L145" t="str" cm="1">
        <f t="array" ref="L145">_xlfn.IFS(
ISNUMBER(SEARCH("ICU",K145)), "ICU",
ISNUMBER(SEARCH("NEONATAL",K145)), PROPER("NEONATAL"),
ISNUMBER(SEARCH("LABOUR",K145)), PROPER("LABOUR"),
ISNUMBER(SEARCH("PAEDIATRIC",K145)), PROPER("PAEDIATRIC"),
ISNUMBER(SEARCH("FEMALE SURGICAL",K145)), PROPER("FEMALE SURG, ORTHO &amp; GYN"),
ISNUMBER(SEARCH("PSYCHIATRIST",K145)), PROPER("PSYCHIATRIST"),
ISNUMBER(SEARCH("GRADE 1",K145)), PROPER("GRADE 1"),
ISNUMBER(SEARCH("MALE SURGICAL",K145)), PROPER("MALE SURG &amp; ORTHOPEDIC"),
ISNUMBER(SEARCH("MALE MEDICAL",K145)), PROPER("MALE MEDICAL"),
ISNUMBER(SEARCH("GRADE 2",K145)), PROPER("GRADE 2"),
ISNUMBER(SEARCH("FEMALE WARD",K145)), PROPER("FEMALE MEDICAL"),
TRUE, "Unmapped: " &amp; K145)</f>
        <v>Labour</v>
      </c>
      <c r="M145" t="s">
        <v>394</v>
      </c>
      <c r="O145" t="s">
        <v>653</v>
      </c>
      <c r="P145" t="str">
        <f t="shared" si="21"/>
        <v>Text Error</v>
      </c>
      <c r="Q145" s="5">
        <v>46014.654965277776</v>
      </c>
      <c r="R145" t="str">
        <f t="shared" si="22"/>
        <v>Valid Date</v>
      </c>
      <c r="S145" t="s">
        <v>654</v>
      </c>
      <c r="T145" s="5">
        <v>46038.604016203702</v>
      </c>
      <c r="U145">
        <v>23</v>
      </c>
      <c r="V145" t="str">
        <f t="shared" si="23"/>
        <v>OK</v>
      </c>
      <c r="W145" t="s">
        <v>25</v>
      </c>
      <c r="Y145" t="s">
        <v>30</v>
      </c>
    </row>
    <row r="146" spans="1:25" x14ac:dyDescent="0.25">
      <c r="A146" t="s">
        <v>655</v>
      </c>
      <c r="B146" t="str">
        <f t="shared" si="17"/>
        <v>Glory Godfrey Zakayo</v>
      </c>
      <c r="C146">
        <v>126953</v>
      </c>
      <c r="D146" t="str">
        <f t="shared" si="16"/>
        <v>Unique</v>
      </c>
      <c r="E146" t="s">
        <v>622</v>
      </c>
      <c r="F146" s="3" t="str">
        <f t="shared" si="18"/>
        <v>2/12</v>
      </c>
      <c r="G146" t="s">
        <v>32</v>
      </c>
      <c r="H146" t="str">
        <f t="shared" si="19"/>
        <v>Valid</v>
      </c>
      <c r="I146" t="s">
        <v>33</v>
      </c>
      <c r="J146" t="str">
        <f t="shared" si="20"/>
        <v>Kigoma Ujiji Mc</v>
      </c>
      <c r="K146" t="s">
        <v>21</v>
      </c>
      <c r="L146" t="str" cm="1">
        <f t="array" ref="L146">_xlfn.IFS(
ISNUMBER(SEARCH("ICU",K146)), "ICU",
ISNUMBER(SEARCH("NEONATAL",K146)), PROPER("NEONATAL"),
ISNUMBER(SEARCH("LABOUR",K146)), PROPER("LABOUR"),
ISNUMBER(SEARCH("PAEDIATRIC",K146)), PROPER("PAEDIATRIC"),
ISNUMBER(SEARCH("FEMALE SURGICAL",K146)), PROPER("FEMALE SURG, ORTHO &amp; GYN"),
ISNUMBER(SEARCH("PSYCHIATRIST",K146)), PROPER("PSYCHIATRIST"),
ISNUMBER(SEARCH("GRADE 1",K146)), PROPER("GRADE 1"),
ISNUMBER(SEARCH("MALE SURGICAL",K146)), PROPER("MALE SURG &amp; ORTHOPEDIC"),
ISNUMBER(SEARCH("MALE MEDICAL",K146)), PROPER("MALE MEDICAL"),
ISNUMBER(SEARCH("GRADE 2",K146)), PROPER("GRADE 2"),
ISNUMBER(SEARCH("FEMALE WARD",K146)), PROPER("FEMALE MEDICAL"),
TRUE, "Unmapped: " &amp; K146)</f>
        <v>Neonatal</v>
      </c>
      <c r="M146" t="s">
        <v>22</v>
      </c>
      <c r="O146" t="s">
        <v>656</v>
      </c>
      <c r="P146" t="str">
        <f t="shared" si="21"/>
        <v>Text Error</v>
      </c>
      <c r="Q146" s="5">
        <v>46022.64947916667</v>
      </c>
      <c r="R146" t="str">
        <f t="shared" si="22"/>
        <v>Valid Date</v>
      </c>
      <c r="S146" t="s">
        <v>657</v>
      </c>
      <c r="T146" s="5">
        <v>46046.644224537034</v>
      </c>
      <c r="U146">
        <v>23</v>
      </c>
      <c r="V146" t="str">
        <f t="shared" si="23"/>
        <v>OK</v>
      </c>
      <c r="W146" t="s">
        <v>25</v>
      </c>
      <c r="Y146" t="s">
        <v>30</v>
      </c>
    </row>
    <row r="147" spans="1:25" x14ac:dyDescent="0.25">
      <c r="A147" t="s">
        <v>658</v>
      </c>
      <c r="B147" t="str">
        <f t="shared" si="17"/>
        <v>Dorcas Ayubu Paschal</v>
      </c>
      <c r="C147">
        <v>126960</v>
      </c>
      <c r="D147" t="str">
        <f t="shared" si="16"/>
        <v>Unique</v>
      </c>
      <c r="E147" t="s">
        <v>622</v>
      </c>
      <c r="F147" s="3" t="str">
        <f t="shared" si="18"/>
        <v>2/12</v>
      </c>
      <c r="G147" t="s">
        <v>32</v>
      </c>
      <c r="H147" t="str">
        <f t="shared" si="19"/>
        <v>Valid</v>
      </c>
      <c r="I147" t="s">
        <v>62</v>
      </c>
      <c r="J147" t="str">
        <f t="shared" si="20"/>
        <v>Kigoma Vijijini</v>
      </c>
      <c r="K147" t="s">
        <v>21</v>
      </c>
      <c r="L147" t="str" cm="1">
        <f t="array" ref="L147">_xlfn.IFS(
ISNUMBER(SEARCH("ICU",K147)), "ICU",
ISNUMBER(SEARCH("NEONATAL",K147)), PROPER("NEONATAL"),
ISNUMBER(SEARCH("LABOUR",K147)), PROPER("LABOUR"),
ISNUMBER(SEARCH("PAEDIATRIC",K147)), PROPER("PAEDIATRIC"),
ISNUMBER(SEARCH("FEMALE SURGICAL",K147)), PROPER("FEMALE SURG, ORTHO &amp; GYN"),
ISNUMBER(SEARCH("PSYCHIATRIST",K147)), PROPER("PSYCHIATRIST"),
ISNUMBER(SEARCH("GRADE 1",K147)), PROPER("GRADE 1"),
ISNUMBER(SEARCH("MALE SURGICAL",K147)), PROPER("MALE SURG &amp; ORTHOPEDIC"),
ISNUMBER(SEARCH("MALE MEDICAL",K147)), PROPER("MALE MEDICAL"),
ISNUMBER(SEARCH("GRADE 2",K147)), PROPER("GRADE 2"),
ISNUMBER(SEARCH("FEMALE WARD",K147)), PROPER("FEMALE MEDICAL"),
TRUE, "Unmapped: " &amp; K147)</f>
        <v>Neonatal</v>
      </c>
      <c r="M147" t="s">
        <v>394</v>
      </c>
      <c r="O147" t="s">
        <v>659</v>
      </c>
      <c r="P147" t="str">
        <f t="shared" si="21"/>
        <v>Text Error</v>
      </c>
      <c r="Q147" s="5">
        <v>46023.463796296295</v>
      </c>
      <c r="R147" t="str">
        <f t="shared" si="22"/>
        <v>Valid Date</v>
      </c>
      <c r="S147" t="s">
        <v>660</v>
      </c>
      <c r="T147" s="5">
        <v>46044.678553240738</v>
      </c>
      <c r="U147">
        <v>21</v>
      </c>
      <c r="V147" t="str">
        <f t="shared" si="23"/>
        <v>OK</v>
      </c>
      <c r="W147" t="s">
        <v>25</v>
      </c>
      <c r="Y147" t="s">
        <v>30</v>
      </c>
    </row>
    <row r="148" spans="1:25" x14ac:dyDescent="0.25">
      <c r="A148" t="s">
        <v>663</v>
      </c>
      <c r="B148" t="str">
        <f t="shared" si="17"/>
        <v>Dylan David Deusi</v>
      </c>
      <c r="C148">
        <v>127674</v>
      </c>
      <c r="D148" t="str">
        <f t="shared" si="16"/>
        <v>Unique</v>
      </c>
      <c r="E148" t="s">
        <v>454</v>
      </c>
      <c r="F148" s="3">
        <f t="shared" si="18"/>
        <v>3</v>
      </c>
      <c r="G148" t="s">
        <v>19</v>
      </c>
      <c r="H148" t="str">
        <f t="shared" si="19"/>
        <v>Valid</v>
      </c>
      <c r="I148" t="s">
        <v>33</v>
      </c>
      <c r="J148" t="str">
        <f t="shared" si="20"/>
        <v>Kigoma Ujiji Mc</v>
      </c>
      <c r="K148" t="s">
        <v>393</v>
      </c>
      <c r="L148" t="str" cm="1">
        <f t="array" ref="L148">_xlfn.IFS(
ISNUMBER(SEARCH("ICU",K148)), "ICU",
ISNUMBER(SEARCH("NEONATAL",K148)), PROPER("NEONATAL"),
ISNUMBER(SEARCH("LABOUR",K148)), PROPER("LABOUR"),
ISNUMBER(SEARCH("PAEDIATRIC",K148)), PROPER("PAEDIATRIC"),
ISNUMBER(SEARCH("FEMALE SURGICAL",K148)), PROPER("FEMALE SURG, ORTHO &amp; GYN"),
ISNUMBER(SEARCH("PSYCHIATRIST",K148)), PROPER("PSYCHIATRIST"),
ISNUMBER(SEARCH("GRADE 1",K148)), PROPER("GRADE 1"),
ISNUMBER(SEARCH("MALE SURGICAL",K148)), PROPER("MALE SURG &amp; ORTHOPEDIC"),
ISNUMBER(SEARCH("MALE MEDICAL",K148)), PROPER("MALE MEDICAL"),
ISNUMBER(SEARCH("GRADE 2",K148)), PROPER("GRADE 2"),
ISNUMBER(SEARCH("FEMALE WARD",K148)), PROPER("FEMALE MEDICAL"),
TRUE, "Unmapped: " &amp; K148)</f>
        <v>Grade 1</v>
      </c>
      <c r="M148" t="s">
        <v>664</v>
      </c>
      <c r="O148" t="s">
        <v>665</v>
      </c>
      <c r="P148" t="str">
        <f t="shared" si="21"/>
        <v>Text Error</v>
      </c>
      <c r="Q148" s="5">
        <v>46030.597060185188</v>
      </c>
      <c r="R148" t="str">
        <f t="shared" si="22"/>
        <v>Valid Date</v>
      </c>
      <c r="S148" t="s">
        <v>666</v>
      </c>
      <c r="T148" s="5">
        <v>46052.527905092589</v>
      </c>
      <c r="U148">
        <v>21</v>
      </c>
      <c r="V148" t="str">
        <f t="shared" si="23"/>
        <v>OK</v>
      </c>
      <c r="W148" t="s">
        <v>25</v>
      </c>
      <c r="Y148" t="s">
        <v>30</v>
      </c>
    </row>
    <row r="149" spans="1:25" x14ac:dyDescent="0.25">
      <c r="A149" t="s">
        <v>669</v>
      </c>
      <c r="B149" t="str">
        <f t="shared" si="17"/>
        <v>Perina Daud Mnazi</v>
      </c>
      <c r="C149">
        <v>125875</v>
      </c>
      <c r="D149" t="str">
        <f t="shared" si="16"/>
        <v>Unique</v>
      </c>
      <c r="E149" t="s">
        <v>670</v>
      </c>
      <c r="F149" s="3">
        <f t="shared" si="18"/>
        <v>14</v>
      </c>
      <c r="G149" t="s">
        <v>32</v>
      </c>
      <c r="H149" t="str">
        <f t="shared" si="19"/>
        <v>Valid</v>
      </c>
      <c r="I149" t="s">
        <v>20</v>
      </c>
      <c r="J149" t="str">
        <f t="shared" si="20"/>
        <v>Uvinza</v>
      </c>
      <c r="K149" t="s">
        <v>123</v>
      </c>
      <c r="L149" t="str" cm="1">
        <f t="array" ref="L149">_xlfn.IFS(
ISNUMBER(SEARCH("ICU",K149)), "ICU",
ISNUMBER(SEARCH("NEONATAL",K149)), PROPER("NEONATAL"),
ISNUMBER(SEARCH("LABOUR",K149)), PROPER("LABOUR"),
ISNUMBER(SEARCH("PAEDIATRIC",K149)), PROPER("PAEDIATRIC"),
ISNUMBER(SEARCH("FEMALE SURGICAL",K149)), PROPER("FEMALE SURG, ORTHO &amp; GYN"),
ISNUMBER(SEARCH("PSYCHIATRIST",K149)), PROPER("PSYCHIATRIST"),
ISNUMBER(SEARCH("GRADE 1",K149)), PROPER("GRADE 1"),
ISNUMBER(SEARCH("MALE SURGICAL",K149)), PROPER("MALE SURG &amp; ORTHOPEDIC"),
ISNUMBER(SEARCH("MALE MEDICAL",K149)), PROPER("MALE MEDICAL"),
ISNUMBER(SEARCH("GRADE 2",K149)), PROPER("GRADE 2"),
ISNUMBER(SEARCH("FEMALE WARD",K149)), PROPER("FEMALE MEDICAL"),
TRUE, "Unmapped: " &amp; K149)</f>
        <v>Female Surg, Ortho &amp; Gyn</v>
      </c>
      <c r="M149" t="s">
        <v>22</v>
      </c>
      <c r="O149" t="s">
        <v>671</v>
      </c>
      <c r="P149" t="str">
        <f t="shared" si="21"/>
        <v>Text Error</v>
      </c>
      <c r="Q149" s="5">
        <v>46010.809166666666</v>
      </c>
      <c r="R149" t="str">
        <f t="shared" si="22"/>
        <v>Valid Date</v>
      </c>
      <c r="S149" t="s">
        <v>672</v>
      </c>
      <c r="T149" s="5">
        <v>46030.334050925929</v>
      </c>
      <c r="U149">
        <v>19</v>
      </c>
      <c r="V149" t="str">
        <f t="shared" si="23"/>
        <v>OK</v>
      </c>
      <c r="W149" t="s">
        <v>25</v>
      </c>
      <c r="Y149" t="s">
        <v>30</v>
      </c>
    </row>
    <row r="150" spans="1:25" x14ac:dyDescent="0.25">
      <c r="A150" t="s">
        <v>673</v>
      </c>
      <c r="B150" t="str">
        <f t="shared" si="17"/>
        <v>Kelvin Mrisho Rashid</v>
      </c>
      <c r="C150">
        <v>127778</v>
      </c>
      <c r="D150" t="str">
        <f t="shared" si="16"/>
        <v>Unique</v>
      </c>
      <c r="E150" t="s">
        <v>108</v>
      </c>
      <c r="F150" s="3">
        <f t="shared" si="18"/>
        <v>2</v>
      </c>
      <c r="G150" t="s">
        <v>19</v>
      </c>
      <c r="H150" t="str">
        <f t="shared" si="19"/>
        <v>Valid</v>
      </c>
      <c r="I150" t="s">
        <v>33</v>
      </c>
      <c r="J150" t="str">
        <f t="shared" si="20"/>
        <v>Kigoma Ujiji Mc</v>
      </c>
      <c r="K150" t="s">
        <v>109</v>
      </c>
      <c r="L150" t="str" cm="1">
        <f t="array" ref="L150">_xlfn.IFS(
ISNUMBER(SEARCH("ICU",K150)), "ICU",
ISNUMBER(SEARCH("NEONATAL",K150)), PROPER("NEONATAL"),
ISNUMBER(SEARCH("LABOUR",K150)), PROPER("LABOUR"),
ISNUMBER(SEARCH("PAEDIATRIC",K150)), PROPER("PAEDIATRIC"),
ISNUMBER(SEARCH("FEMALE SURGICAL",K150)), PROPER("FEMALE SURG, ORTHO &amp; GYN"),
ISNUMBER(SEARCH("PSYCHIATRIST",K150)), PROPER("PSYCHIATRIST"),
ISNUMBER(SEARCH("GRADE 1",K150)), PROPER("GRADE 1"),
ISNUMBER(SEARCH("MALE SURGICAL",K150)), PROPER("MALE SURG &amp; ORTHOPEDIC"),
ISNUMBER(SEARCH("MALE MEDICAL",K150)), PROPER("MALE MEDICAL"),
ISNUMBER(SEARCH("GRADE 2",K150)), PROPER("GRADE 2"),
ISNUMBER(SEARCH("FEMALE WARD",K150)), PROPER("FEMALE MEDICAL"),
TRUE, "Unmapped: " &amp; K150)</f>
        <v>Paediatric</v>
      </c>
      <c r="M150" t="s">
        <v>22</v>
      </c>
      <c r="O150" t="s">
        <v>674</v>
      </c>
      <c r="P150" t="str">
        <f t="shared" si="21"/>
        <v>Text Error</v>
      </c>
      <c r="Q150" s="5">
        <v>46030.646782407406</v>
      </c>
      <c r="R150" t="str">
        <f t="shared" si="22"/>
        <v>Valid Date</v>
      </c>
      <c r="S150" t="s">
        <v>675</v>
      </c>
      <c r="T150" s="5">
        <v>46050.377465277779</v>
      </c>
      <c r="U150">
        <v>19</v>
      </c>
      <c r="V150" t="str">
        <f t="shared" si="23"/>
        <v>OK</v>
      </c>
      <c r="W150" t="s">
        <v>211</v>
      </c>
      <c r="Y150" t="s">
        <v>30</v>
      </c>
    </row>
    <row r="151" spans="1:25" x14ac:dyDescent="0.25">
      <c r="A151" t="s">
        <v>676</v>
      </c>
      <c r="B151" t="str">
        <f t="shared" si="17"/>
        <v>Habu Makunga Mwagala</v>
      </c>
      <c r="C151">
        <v>125589</v>
      </c>
      <c r="D151" t="str">
        <f t="shared" si="16"/>
        <v>Unique</v>
      </c>
      <c r="E151" t="s">
        <v>208</v>
      </c>
      <c r="F151" s="3">
        <f t="shared" si="18"/>
        <v>50</v>
      </c>
      <c r="G151" t="s">
        <v>32</v>
      </c>
      <c r="H151" t="str">
        <f t="shared" si="19"/>
        <v>Valid</v>
      </c>
      <c r="I151" t="s">
        <v>33</v>
      </c>
      <c r="J151" t="str">
        <f t="shared" si="20"/>
        <v>Kigoma Ujiji Mc</v>
      </c>
      <c r="K151" t="s">
        <v>123</v>
      </c>
      <c r="L151" t="str" cm="1">
        <f t="array" ref="L151">_xlfn.IFS(
ISNUMBER(SEARCH("ICU",K151)), "ICU",
ISNUMBER(SEARCH("NEONATAL",K151)), PROPER("NEONATAL"),
ISNUMBER(SEARCH("LABOUR",K151)), PROPER("LABOUR"),
ISNUMBER(SEARCH("PAEDIATRIC",K151)), PROPER("PAEDIATRIC"),
ISNUMBER(SEARCH("FEMALE SURGICAL",K151)), PROPER("FEMALE SURG, ORTHO &amp; GYN"),
ISNUMBER(SEARCH("PSYCHIATRIST",K151)), PROPER("PSYCHIATRIST"),
ISNUMBER(SEARCH("GRADE 1",K151)), PROPER("GRADE 1"),
ISNUMBER(SEARCH("MALE SURGICAL",K151)), PROPER("MALE SURG &amp; ORTHOPEDIC"),
ISNUMBER(SEARCH("MALE MEDICAL",K151)), PROPER("MALE MEDICAL"),
ISNUMBER(SEARCH("GRADE 2",K151)), PROPER("GRADE 2"),
ISNUMBER(SEARCH("FEMALE WARD",K151)), PROPER("FEMALE MEDICAL"),
TRUE, "Unmapped: " &amp; K151)</f>
        <v>Female Surg, Ortho &amp; Gyn</v>
      </c>
      <c r="M151" t="s">
        <v>22</v>
      </c>
      <c r="O151" t="s">
        <v>677</v>
      </c>
      <c r="P151" t="str">
        <f t="shared" si="21"/>
        <v>Text Error</v>
      </c>
      <c r="Q151" s="5">
        <v>46007.761157407411</v>
      </c>
      <c r="R151" t="str">
        <f t="shared" si="22"/>
        <v>Valid Date</v>
      </c>
      <c r="S151" t="s">
        <v>678</v>
      </c>
      <c r="T151" s="5">
        <v>46025.767337962963</v>
      </c>
      <c r="U151">
        <v>18</v>
      </c>
      <c r="V151" t="str">
        <f t="shared" si="23"/>
        <v>OK</v>
      </c>
      <c r="W151" t="s">
        <v>25</v>
      </c>
      <c r="Y151" t="s">
        <v>30</v>
      </c>
    </row>
    <row r="152" spans="1:25" x14ac:dyDescent="0.25">
      <c r="A152" t="s">
        <v>679</v>
      </c>
      <c r="B152" t="str">
        <f t="shared" si="17"/>
        <v>Mohamed Rajabu Mrisho</v>
      </c>
      <c r="C152">
        <v>125920</v>
      </c>
      <c r="D152" t="str">
        <f t="shared" si="16"/>
        <v>Unique</v>
      </c>
      <c r="E152" t="s">
        <v>215</v>
      </c>
      <c r="F152" s="3">
        <f t="shared" si="18"/>
        <v>25</v>
      </c>
      <c r="G152" t="s">
        <v>19</v>
      </c>
      <c r="H152" t="str">
        <f t="shared" si="19"/>
        <v>Valid</v>
      </c>
      <c r="I152" t="s">
        <v>62</v>
      </c>
      <c r="J152" t="str">
        <f t="shared" si="20"/>
        <v>Kigoma Vijijini</v>
      </c>
      <c r="K152" t="s">
        <v>202</v>
      </c>
      <c r="L152" t="str" cm="1">
        <f t="array" ref="L152">_xlfn.IFS(
ISNUMBER(SEARCH("ICU",K152)), "ICU",
ISNUMBER(SEARCH("NEONATAL",K152)), PROPER("NEONATAL"),
ISNUMBER(SEARCH("LABOUR",K152)), PROPER("LABOUR"),
ISNUMBER(SEARCH("PAEDIATRIC",K152)), PROPER("PAEDIATRIC"),
ISNUMBER(SEARCH("FEMALE SURGICAL",K152)), PROPER("FEMALE SURG, ORTHO &amp; GYN"),
ISNUMBER(SEARCH("PSYCHIATRIST",K152)), PROPER("PSYCHIATRIST"),
ISNUMBER(SEARCH("GRADE 1",K152)), PROPER("GRADE 1"),
ISNUMBER(SEARCH("MALE SURGICAL",K152)), PROPER("MALE SURG &amp; ORTHOPEDIC"),
ISNUMBER(SEARCH("MALE MEDICAL",K152)), PROPER("MALE MEDICAL"),
ISNUMBER(SEARCH("GRADE 2",K152)), PROPER("GRADE 2"),
ISNUMBER(SEARCH("FEMALE WARD",K152)), PROPER("FEMALE MEDICAL"),
TRUE, "Unmapped: " &amp; K152)</f>
        <v>Psychiatrist</v>
      </c>
      <c r="M152" t="s">
        <v>22</v>
      </c>
      <c r="O152" t="s">
        <v>680</v>
      </c>
      <c r="P152" t="str">
        <f t="shared" si="21"/>
        <v>Text Error</v>
      </c>
      <c r="Q152" s="5">
        <v>46010.824641203704</v>
      </c>
      <c r="R152" t="str">
        <f t="shared" si="22"/>
        <v>Valid Date</v>
      </c>
      <c r="S152" t="s">
        <v>681</v>
      </c>
      <c r="T152" s="5">
        <v>46029.442499999997</v>
      </c>
      <c r="U152">
        <v>18</v>
      </c>
      <c r="V152" t="str">
        <f t="shared" si="23"/>
        <v>OK</v>
      </c>
      <c r="W152" t="s">
        <v>25</v>
      </c>
      <c r="Y152" t="s">
        <v>30</v>
      </c>
    </row>
    <row r="153" spans="1:25" x14ac:dyDescent="0.25">
      <c r="A153" t="s">
        <v>684</v>
      </c>
      <c r="B153" t="str">
        <f t="shared" si="17"/>
        <v>Msafiri J Kihanga</v>
      </c>
      <c r="C153">
        <v>126975</v>
      </c>
      <c r="D153" t="str">
        <f t="shared" si="16"/>
        <v>Duplicate</v>
      </c>
      <c r="E153" t="s">
        <v>374</v>
      </c>
      <c r="F153" s="3">
        <f t="shared" si="18"/>
        <v>37</v>
      </c>
      <c r="G153" t="s">
        <v>19</v>
      </c>
      <c r="H153" t="str">
        <f t="shared" si="19"/>
        <v>Valid</v>
      </c>
      <c r="I153" t="s">
        <v>33</v>
      </c>
      <c r="J153" t="str">
        <f t="shared" si="20"/>
        <v>Kigoma Ujiji Mc</v>
      </c>
      <c r="K153" t="s">
        <v>685</v>
      </c>
      <c r="L153" t="str" cm="1">
        <f t="array" ref="L153">_xlfn.IFS(
ISNUMBER(SEARCH("ICU",K153)), "ICU",
ISNUMBER(SEARCH("NEONATAL",K153)), PROPER("NEONATAL"),
ISNUMBER(SEARCH("LABOUR",K153)), PROPER("LABOUR"),
ISNUMBER(SEARCH("PAEDIATRIC",K153)), PROPER("PAEDIATRIC"),
ISNUMBER(SEARCH("FEMALE SURGICAL",K153)), PROPER("FEMALE SURG, ORTHO &amp; GYN"),
ISNUMBER(SEARCH("PSYCHIATRIST",K153)), PROPER("PSYCHIATRIST"),
ISNUMBER(SEARCH("GRADE 1",K153)), PROPER("GRADE 1"),
ISNUMBER(SEARCH("MALE SURGICAL",K153)), PROPER("MALE SURG &amp; ORTHOPEDIC"),
ISNUMBER(SEARCH("MALE MEDICAL",K153)), PROPER("MALE MEDICAL"),
ISNUMBER(SEARCH("GRADE 2",K153)), PROPER("GRADE 2"),
ISNUMBER(SEARCH("FEMALE WARD",K153)), PROPER("FEMALE MEDICAL"),
TRUE, "Unmapped: " &amp; K153)</f>
        <v>Grade 2</v>
      </c>
      <c r="M153" t="s">
        <v>394</v>
      </c>
      <c r="O153" t="s">
        <v>686</v>
      </c>
      <c r="P153" t="str">
        <f t="shared" si="21"/>
        <v>Text Error</v>
      </c>
      <c r="Q153" s="5">
        <v>46024.60837962963</v>
      </c>
      <c r="R153" t="str">
        <f t="shared" si="22"/>
        <v>Valid Date</v>
      </c>
      <c r="S153" t="s">
        <v>687</v>
      </c>
      <c r="T153" s="5">
        <v>46042.806030092594</v>
      </c>
      <c r="U153">
        <v>18</v>
      </c>
      <c r="V153" t="str">
        <f t="shared" si="23"/>
        <v>OK</v>
      </c>
      <c r="W153" t="s">
        <v>25</v>
      </c>
      <c r="Y153" t="s">
        <v>30</v>
      </c>
    </row>
    <row r="154" spans="1:25" x14ac:dyDescent="0.25">
      <c r="A154" t="s">
        <v>689</v>
      </c>
      <c r="B154" t="str">
        <f t="shared" si="17"/>
        <v>Riziwana Chaga Hussein</v>
      </c>
      <c r="C154">
        <v>127221</v>
      </c>
      <c r="D154" t="str">
        <f t="shared" si="16"/>
        <v>Unique</v>
      </c>
      <c r="E154" t="s">
        <v>215</v>
      </c>
      <c r="F154" s="3">
        <f t="shared" si="18"/>
        <v>25</v>
      </c>
      <c r="G154" t="s">
        <v>32</v>
      </c>
      <c r="H154" t="str">
        <f t="shared" si="19"/>
        <v>Valid</v>
      </c>
      <c r="I154" t="s">
        <v>33</v>
      </c>
      <c r="J154" t="str">
        <f t="shared" si="20"/>
        <v>Kigoma Ujiji Mc</v>
      </c>
      <c r="K154" t="s">
        <v>40</v>
      </c>
      <c r="L154" t="str" cm="1">
        <f t="array" ref="L154">_xlfn.IFS(
ISNUMBER(SEARCH("ICU",K154)), "ICU",
ISNUMBER(SEARCH("NEONATAL",K154)), PROPER("NEONATAL"),
ISNUMBER(SEARCH("LABOUR",K154)), PROPER("LABOUR"),
ISNUMBER(SEARCH("PAEDIATRIC",K154)), PROPER("PAEDIATRIC"),
ISNUMBER(SEARCH("FEMALE SURGICAL",K154)), PROPER("FEMALE SURG, ORTHO &amp; GYN"),
ISNUMBER(SEARCH("PSYCHIATRIST",K154)), PROPER("PSYCHIATRIST"),
ISNUMBER(SEARCH("GRADE 1",K154)), PROPER("GRADE 1"),
ISNUMBER(SEARCH("MALE SURGICAL",K154)), PROPER("MALE SURG &amp; ORTHOPEDIC"),
ISNUMBER(SEARCH("MALE MEDICAL",K154)), PROPER("MALE MEDICAL"),
ISNUMBER(SEARCH("GRADE 2",K154)), PROPER("GRADE 2"),
ISNUMBER(SEARCH("FEMALE WARD",K154)), PROPER("FEMALE MEDICAL"),
TRUE, "Unmapped: " &amp; K154)</f>
        <v>Labour</v>
      </c>
      <c r="M154" t="s">
        <v>22</v>
      </c>
      <c r="O154" t="s">
        <v>690</v>
      </c>
      <c r="P154" t="str">
        <f t="shared" si="21"/>
        <v>Text Error</v>
      </c>
      <c r="Q154" s="5">
        <v>46026.560057870367</v>
      </c>
      <c r="R154" t="str">
        <f t="shared" si="22"/>
        <v>Valid Date</v>
      </c>
      <c r="S154" t="s">
        <v>691</v>
      </c>
      <c r="T154" s="5">
        <v>46044.617118055554</v>
      </c>
      <c r="U154">
        <v>18</v>
      </c>
      <c r="V154" t="str">
        <f t="shared" si="23"/>
        <v>OK</v>
      </c>
      <c r="W154" t="s">
        <v>25</v>
      </c>
      <c r="Y154" t="s">
        <v>30</v>
      </c>
    </row>
    <row r="155" spans="1:25" x14ac:dyDescent="0.25">
      <c r="A155" t="s">
        <v>692</v>
      </c>
      <c r="B155" t="str">
        <f t="shared" si="17"/>
        <v>Eliud Katembele Mhanda</v>
      </c>
      <c r="C155">
        <v>89842</v>
      </c>
      <c r="D155" t="str">
        <f t="shared" si="16"/>
        <v>Unique</v>
      </c>
      <c r="E155" t="s">
        <v>400</v>
      </c>
      <c r="F155" s="3">
        <f t="shared" si="18"/>
        <v>39</v>
      </c>
      <c r="G155" t="s">
        <v>19</v>
      </c>
      <c r="H155" t="str">
        <f t="shared" si="19"/>
        <v>Valid</v>
      </c>
      <c r="I155" t="s">
        <v>33</v>
      </c>
      <c r="J155" t="str">
        <f t="shared" si="20"/>
        <v>Kigoma Ujiji Mc</v>
      </c>
      <c r="K155" t="s">
        <v>202</v>
      </c>
      <c r="L155" t="str" cm="1">
        <f t="array" ref="L155">_xlfn.IFS(
ISNUMBER(SEARCH("ICU",K155)), "ICU",
ISNUMBER(SEARCH("NEONATAL",K155)), PROPER("NEONATAL"),
ISNUMBER(SEARCH("LABOUR",K155)), PROPER("LABOUR"),
ISNUMBER(SEARCH("PAEDIATRIC",K155)), PROPER("PAEDIATRIC"),
ISNUMBER(SEARCH("FEMALE SURGICAL",K155)), PROPER("FEMALE SURG, ORTHO &amp; GYN"),
ISNUMBER(SEARCH("PSYCHIATRIST",K155)), PROPER("PSYCHIATRIST"),
ISNUMBER(SEARCH("GRADE 1",K155)), PROPER("GRADE 1"),
ISNUMBER(SEARCH("MALE SURGICAL",K155)), PROPER("MALE SURG &amp; ORTHOPEDIC"),
ISNUMBER(SEARCH("MALE MEDICAL",K155)), PROPER("MALE MEDICAL"),
ISNUMBER(SEARCH("GRADE 2",K155)), PROPER("GRADE 2"),
ISNUMBER(SEARCH("FEMALE WARD",K155)), PROPER("FEMALE MEDICAL"),
TRUE, "Unmapped: " &amp; K155)</f>
        <v>Psychiatrist</v>
      </c>
      <c r="M155" t="s">
        <v>22</v>
      </c>
      <c r="O155" t="s">
        <v>693</v>
      </c>
      <c r="P155" t="str">
        <f t="shared" si="21"/>
        <v>Text Error</v>
      </c>
      <c r="Q155" s="5">
        <v>46031.979317129626</v>
      </c>
      <c r="R155" t="str">
        <f t="shared" si="22"/>
        <v>Valid Date</v>
      </c>
      <c r="S155" t="s">
        <v>694</v>
      </c>
      <c r="T155" s="5">
        <v>46050.611168981479</v>
      </c>
      <c r="U155">
        <v>18</v>
      </c>
      <c r="V155" t="str">
        <f t="shared" si="23"/>
        <v>OK</v>
      </c>
      <c r="W155" t="s">
        <v>25</v>
      </c>
      <c r="Y155" t="s">
        <v>30</v>
      </c>
    </row>
    <row r="156" spans="1:25" x14ac:dyDescent="0.25">
      <c r="A156" t="s">
        <v>696</v>
      </c>
      <c r="B156" t="str">
        <f t="shared" si="17"/>
        <v>Amina Iddi Ramadhani</v>
      </c>
      <c r="C156">
        <v>125593</v>
      </c>
      <c r="D156" t="str">
        <f t="shared" si="16"/>
        <v>Unique</v>
      </c>
      <c r="E156" t="s">
        <v>601</v>
      </c>
      <c r="F156" s="3">
        <f t="shared" si="18"/>
        <v>17</v>
      </c>
      <c r="G156" t="s">
        <v>32</v>
      </c>
      <c r="H156" t="str">
        <f t="shared" si="19"/>
        <v>Valid</v>
      </c>
      <c r="I156" t="s">
        <v>33</v>
      </c>
      <c r="J156" t="str">
        <f t="shared" si="20"/>
        <v>Kigoma Ujiji Mc</v>
      </c>
      <c r="K156" t="s">
        <v>40</v>
      </c>
      <c r="L156" t="str" cm="1">
        <f t="array" ref="L156">_xlfn.IFS(
ISNUMBER(SEARCH("ICU",K156)), "ICU",
ISNUMBER(SEARCH("NEONATAL",K156)), PROPER("NEONATAL"),
ISNUMBER(SEARCH("LABOUR",K156)), PROPER("LABOUR"),
ISNUMBER(SEARCH("PAEDIATRIC",K156)), PROPER("PAEDIATRIC"),
ISNUMBER(SEARCH("FEMALE SURGICAL",K156)), PROPER("FEMALE SURG, ORTHO &amp; GYN"),
ISNUMBER(SEARCH("PSYCHIATRIST",K156)), PROPER("PSYCHIATRIST"),
ISNUMBER(SEARCH("GRADE 1",K156)), PROPER("GRADE 1"),
ISNUMBER(SEARCH("MALE SURGICAL",K156)), PROPER("MALE SURG &amp; ORTHOPEDIC"),
ISNUMBER(SEARCH("MALE MEDICAL",K156)), PROPER("MALE MEDICAL"),
ISNUMBER(SEARCH("GRADE 2",K156)), PROPER("GRADE 2"),
ISNUMBER(SEARCH("FEMALE WARD",K156)), PROPER("FEMALE MEDICAL"),
TRUE, "Unmapped: " &amp; K156)</f>
        <v>Labour</v>
      </c>
      <c r="M156" t="s">
        <v>22</v>
      </c>
      <c r="O156" t="s">
        <v>697</v>
      </c>
      <c r="P156" t="str">
        <f t="shared" si="21"/>
        <v>Text Error</v>
      </c>
      <c r="Q156" s="5">
        <v>46007.63553240741</v>
      </c>
      <c r="R156" t="str">
        <f t="shared" si="22"/>
        <v>Valid Date</v>
      </c>
      <c r="S156" t="s">
        <v>698</v>
      </c>
      <c r="T156" s="5">
        <v>46024.787569444445</v>
      </c>
      <c r="U156">
        <v>17</v>
      </c>
      <c r="V156" t="str">
        <f t="shared" si="23"/>
        <v>OK</v>
      </c>
      <c r="W156" t="s">
        <v>25</v>
      </c>
      <c r="Y156" t="s">
        <v>30</v>
      </c>
    </row>
    <row r="157" spans="1:25" x14ac:dyDescent="0.25">
      <c r="A157" t="s">
        <v>699</v>
      </c>
      <c r="B157" t="str">
        <f t="shared" si="17"/>
        <v>Imani Moris Lucas</v>
      </c>
      <c r="C157">
        <v>125881</v>
      </c>
      <c r="D157" t="str">
        <f t="shared" si="16"/>
        <v>Unique</v>
      </c>
      <c r="E157" t="s">
        <v>541</v>
      </c>
      <c r="F157" s="3">
        <f t="shared" si="18"/>
        <v>42</v>
      </c>
      <c r="G157" t="s">
        <v>32</v>
      </c>
      <c r="H157" t="str">
        <f t="shared" si="19"/>
        <v>Valid</v>
      </c>
      <c r="I157" t="s">
        <v>33</v>
      </c>
      <c r="J157" t="str">
        <f t="shared" si="20"/>
        <v>Kigoma Ujiji Mc</v>
      </c>
      <c r="K157" t="s">
        <v>700</v>
      </c>
      <c r="L157" t="str" cm="1">
        <f t="array" ref="L157">_xlfn.IFS(
ISNUMBER(SEARCH("ICU",K157)), "ICU",
ISNUMBER(SEARCH("NEONATAL",K157)), PROPER("NEONATAL"),
ISNUMBER(SEARCH("LABOUR",K157)), PROPER("LABOUR"),
ISNUMBER(SEARCH("PAEDIATRIC",K157)), PROPER("PAEDIATRIC"),
ISNUMBER(SEARCH("FEMALE SURGICAL",K157)), PROPER("FEMALE SURG, ORTHO &amp; GYN"),
ISNUMBER(SEARCH("PSYCHIATRIST",K157)), PROPER("PSYCHIATRIST"),
ISNUMBER(SEARCH("GRADE 1",K157)), PROPER("GRADE 1"),
ISNUMBER(SEARCH("MALE SURGICAL",K157)), PROPER("MALE SURG &amp; ORTHOPEDIC"),
ISNUMBER(SEARCH("MALE MEDICAL",K157)), PROPER("MALE MEDICAL"),
ISNUMBER(SEARCH("GRADE 2",K157)), PROPER("GRADE 2"),
ISNUMBER(SEARCH("FEMALE WARD",K157)), PROPER("FEMALE MEDICAL"),
TRUE, "Unmapped: " &amp; K157)</f>
        <v>Female Medical</v>
      </c>
      <c r="M157" t="s">
        <v>701</v>
      </c>
      <c r="O157" t="s">
        <v>702</v>
      </c>
      <c r="P157" t="str">
        <f t="shared" si="21"/>
        <v>Text Error</v>
      </c>
      <c r="Q157" s="5">
        <v>46010.593101851853</v>
      </c>
      <c r="R157" t="str">
        <f t="shared" si="22"/>
        <v>Valid Date</v>
      </c>
      <c r="S157" t="s">
        <v>703</v>
      </c>
      <c r="T157" s="5">
        <v>46028.415300925924</v>
      </c>
      <c r="U157">
        <v>17</v>
      </c>
      <c r="V157" t="str">
        <f t="shared" si="23"/>
        <v>OK</v>
      </c>
      <c r="W157" t="s">
        <v>25</v>
      </c>
      <c r="Y157" t="s">
        <v>30</v>
      </c>
    </row>
    <row r="158" spans="1:25" x14ac:dyDescent="0.25">
      <c r="A158" t="s">
        <v>705</v>
      </c>
      <c r="B158" t="str">
        <f t="shared" si="17"/>
        <v>Raphael Fele Emmnuel</v>
      </c>
      <c r="C158">
        <v>126174</v>
      </c>
      <c r="D158" t="str">
        <f t="shared" si="16"/>
        <v>Duplicate</v>
      </c>
      <c r="E158" t="s">
        <v>353</v>
      </c>
      <c r="F158" s="3">
        <f t="shared" si="18"/>
        <v>4</v>
      </c>
      <c r="G158" t="s">
        <v>19</v>
      </c>
      <c r="H158" t="str">
        <f t="shared" si="19"/>
        <v>Valid</v>
      </c>
      <c r="I158" t="s">
        <v>33</v>
      </c>
      <c r="J158" t="str">
        <f t="shared" si="20"/>
        <v>Kigoma Ujiji Mc</v>
      </c>
      <c r="K158" t="s">
        <v>109</v>
      </c>
      <c r="L158" t="str" cm="1">
        <f t="array" ref="L158">_xlfn.IFS(
ISNUMBER(SEARCH("ICU",K158)), "ICU",
ISNUMBER(SEARCH("NEONATAL",K158)), PROPER("NEONATAL"),
ISNUMBER(SEARCH("LABOUR",K158)), PROPER("LABOUR"),
ISNUMBER(SEARCH("PAEDIATRIC",K158)), PROPER("PAEDIATRIC"),
ISNUMBER(SEARCH("FEMALE SURGICAL",K158)), PROPER("FEMALE SURG, ORTHO &amp; GYN"),
ISNUMBER(SEARCH("PSYCHIATRIST",K158)), PROPER("PSYCHIATRIST"),
ISNUMBER(SEARCH("GRADE 1",K158)), PROPER("GRADE 1"),
ISNUMBER(SEARCH("MALE SURGICAL",K158)), PROPER("MALE SURG &amp; ORTHOPEDIC"),
ISNUMBER(SEARCH("MALE MEDICAL",K158)), PROPER("MALE MEDICAL"),
ISNUMBER(SEARCH("GRADE 2",K158)), PROPER("GRADE 2"),
ISNUMBER(SEARCH("FEMALE WARD",K158)), PROPER("FEMALE MEDICAL"),
TRUE, "Unmapped: " &amp; K158)</f>
        <v>Paediatric</v>
      </c>
      <c r="M158" t="s">
        <v>22</v>
      </c>
      <c r="O158" t="s">
        <v>706</v>
      </c>
      <c r="P158" t="str">
        <f t="shared" si="21"/>
        <v>Text Error</v>
      </c>
      <c r="Q158" s="5">
        <v>46013.788391203707</v>
      </c>
      <c r="R158" t="str">
        <f t="shared" si="22"/>
        <v>Valid Date</v>
      </c>
      <c r="S158" t="s">
        <v>707</v>
      </c>
      <c r="T158" s="5">
        <v>46031.537986111114</v>
      </c>
      <c r="U158">
        <v>17</v>
      </c>
      <c r="V158" t="str">
        <f t="shared" si="23"/>
        <v>OK</v>
      </c>
      <c r="W158" t="s">
        <v>25</v>
      </c>
      <c r="Y158" t="s">
        <v>30</v>
      </c>
    </row>
    <row r="159" spans="1:25" x14ac:dyDescent="0.25">
      <c r="A159" t="s">
        <v>709</v>
      </c>
      <c r="B159" t="str">
        <f t="shared" si="17"/>
        <v>Baby Of Riziwana Chaga Hussein</v>
      </c>
      <c r="C159">
        <v>127241</v>
      </c>
      <c r="D159" t="str">
        <f t="shared" si="16"/>
        <v>Unique</v>
      </c>
      <c r="E159" t="s">
        <v>622</v>
      </c>
      <c r="F159" s="3" t="str">
        <f t="shared" si="18"/>
        <v>2/12</v>
      </c>
      <c r="G159" t="s">
        <v>19</v>
      </c>
      <c r="H159" t="str">
        <f t="shared" si="19"/>
        <v>Valid</v>
      </c>
      <c r="I159" t="s">
        <v>33</v>
      </c>
      <c r="J159" t="str">
        <f t="shared" si="20"/>
        <v>Kigoma Ujiji Mc</v>
      </c>
      <c r="K159" t="s">
        <v>21</v>
      </c>
      <c r="L159" t="str" cm="1">
        <f t="array" ref="L159">_xlfn.IFS(
ISNUMBER(SEARCH("ICU",K159)), "ICU",
ISNUMBER(SEARCH("NEONATAL",K159)), PROPER("NEONATAL"),
ISNUMBER(SEARCH("LABOUR",K159)), PROPER("LABOUR"),
ISNUMBER(SEARCH("PAEDIATRIC",K159)), PROPER("PAEDIATRIC"),
ISNUMBER(SEARCH("FEMALE SURGICAL",K159)), PROPER("FEMALE SURG, ORTHO &amp; GYN"),
ISNUMBER(SEARCH("PSYCHIATRIST",K159)), PROPER("PSYCHIATRIST"),
ISNUMBER(SEARCH("GRADE 1",K159)), PROPER("GRADE 1"),
ISNUMBER(SEARCH("MALE SURGICAL",K159)), PROPER("MALE SURG &amp; ORTHOPEDIC"),
ISNUMBER(SEARCH("MALE MEDICAL",K159)), PROPER("MALE MEDICAL"),
ISNUMBER(SEARCH("GRADE 2",K159)), PROPER("GRADE 2"),
ISNUMBER(SEARCH("FEMALE WARD",K159)), PROPER("FEMALE MEDICAL"),
TRUE, "Unmapped: " &amp; K159)</f>
        <v>Neonatal</v>
      </c>
      <c r="M159" t="s">
        <v>22</v>
      </c>
      <c r="O159" t="s">
        <v>710</v>
      </c>
      <c r="P159" t="str">
        <f t="shared" si="21"/>
        <v>Text Error</v>
      </c>
      <c r="Q159" s="5">
        <v>46026.855706018519</v>
      </c>
      <c r="R159" t="str">
        <f t="shared" si="22"/>
        <v>Valid Date</v>
      </c>
      <c r="S159" t="s">
        <v>711</v>
      </c>
      <c r="T159" s="5">
        <v>46044.617395833331</v>
      </c>
      <c r="U159">
        <v>17</v>
      </c>
      <c r="V159" t="str">
        <f t="shared" si="23"/>
        <v>OK</v>
      </c>
      <c r="W159" t="s">
        <v>25</v>
      </c>
      <c r="Y159" t="s">
        <v>30</v>
      </c>
    </row>
    <row r="160" spans="1:25" x14ac:dyDescent="0.25">
      <c r="A160" t="s">
        <v>712</v>
      </c>
      <c r="B160" t="str">
        <f t="shared" si="17"/>
        <v>Hadija I Mnibo</v>
      </c>
      <c r="C160">
        <v>45310</v>
      </c>
      <c r="D160" t="str">
        <f t="shared" si="16"/>
        <v>Unique</v>
      </c>
      <c r="E160" t="s">
        <v>713</v>
      </c>
      <c r="F160" s="3">
        <f t="shared" si="18"/>
        <v>55</v>
      </c>
      <c r="G160" t="s">
        <v>32</v>
      </c>
      <c r="H160" t="str">
        <f t="shared" si="19"/>
        <v>Valid</v>
      </c>
      <c r="I160" t="s">
        <v>227</v>
      </c>
      <c r="J160" t="str">
        <f t="shared" si="20"/>
        <v>KGG</v>
      </c>
      <c r="K160" t="s">
        <v>700</v>
      </c>
      <c r="L160" t="str" cm="1">
        <f t="array" ref="L160">_xlfn.IFS(
ISNUMBER(SEARCH("ICU",K160)), "ICU",
ISNUMBER(SEARCH("NEONATAL",K160)), PROPER("NEONATAL"),
ISNUMBER(SEARCH("LABOUR",K160)), PROPER("LABOUR"),
ISNUMBER(SEARCH("PAEDIATRIC",K160)), PROPER("PAEDIATRIC"),
ISNUMBER(SEARCH("FEMALE SURGICAL",K160)), PROPER("FEMALE SURG, ORTHO &amp; GYN"),
ISNUMBER(SEARCH("PSYCHIATRIST",K160)), PROPER("PSYCHIATRIST"),
ISNUMBER(SEARCH("GRADE 1",K160)), PROPER("GRADE 1"),
ISNUMBER(SEARCH("MALE SURGICAL",K160)), PROPER("MALE SURG &amp; ORTHOPEDIC"),
ISNUMBER(SEARCH("MALE MEDICAL",K160)), PROPER("MALE MEDICAL"),
ISNUMBER(SEARCH("GRADE 2",K160)), PROPER("GRADE 2"),
ISNUMBER(SEARCH("FEMALE WARD",K160)), PROPER("FEMALE MEDICAL"),
TRUE, "Unmapped: " &amp; K160)</f>
        <v>Female Medical</v>
      </c>
      <c r="M160" t="s">
        <v>394</v>
      </c>
      <c r="O160" t="s">
        <v>714</v>
      </c>
      <c r="P160" t="str">
        <f t="shared" si="21"/>
        <v>Text Error</v>
      </c>
      <c r="Q160" s="5">
        <v>46034.361018518517</v>
      </c>
      <c r="R160" t="str">
        <f t="shared" si="22"/>
        <v>Valid Date</v>
      </c>
      <c r="S160" t="s">
        <v>715</v>
      </c>
      <c r="T160" s="5">
        <v>46051.606817129628</v>
      </c>
      <c r="U160">
        <v>17</v>
      </c>
      <c r="V160" t="str">
        <f t="shared" si="23"/>
        <v>OK</v>
      </c>
      <c r="W160" t="s">
        <v>25</v>
      </c>
      <c r="Y160" t="s">
        <v>30</v>
      </c>
    </row>
    <row r="161" spans="1:25" x14ac:dyDescent="0.25">
      <c r="A161" t="s">
        <v>717</v>
      </c>
      <c r="B161" t="str">
        <f t="shared" si="17"/>
        <v>Yusta Bakata</v>
      </c>
      <c r="C161">
        <v>127595</v>
      </c>
      <c r="D161" t="str">
        <f t="shared" si="16"/>
        <v>Unique</v>
      </c>
      <c r="E161" t="s">
        <v>718</v>
      </c>
      <c r="F161" s="3">
        <f t="shared" si="18"/>
        <v>64</v>
      </c>
      <c r="G161" t="s">
        <v>32</v>
      </c>
      <c r="H161" t="str">
        <f t="shared" si="19"/>
        <v>Valid</v>
      </c>
      <c r="I161" t="s">
        <v>260</v>
      </c>
      <c r="J161" t="str">
        <f t="shared" si="20"/>
        <v>Kasulu</v>
      </c>
      <c r="K161" t="s">
        <v>123</v>
      </c>
      <c r="L161" t="str" cm="1">
        <f t="array" ref="L161">_xlfn.IFS(
ISNUMBER(SEARCH("ICU",K161)), "ICU",
ISNUMBER(SEARCH("NEONATAL",K161)), PROPER("NEONATAL"),
ISNUMBER(SEARCH("LABOUR",K161)), PROPER("LABOUR"),
ISNUMBER(SEARCH("PAEDIATRIC",K161)), PROPER("PAEDIATRIC"),
ISNUMBER(SEARCH("FEMALE SURGICAL",K161)), PROPER("FEMALE SURG, ORTHO &amp; GYN"),
ISNUMBER(SEARCH("PSYCHIATRIST",K161)), PROPER("PSYCHIATRIST"),
ISNUMBER(SEARCH("GRADE 1",K161)), PROPER("GRADE 1"),
ISNUMBER(SEARCH("MALE SURGICAL",K161)), PROPER("MALE SURG &amp; ORTHOPEDIC"),
ISNUMBER(SEARCH("MALE MEDICAL",K161)), PROPER("MALE MEDICAL"),
ISNUMBER(SEARCH("GRADE 2",K161)), PROPER("GRADE 2"),
ISNUMBER(SEARCH("FEMALE WARD",K161)), PROPER("FEMALE MEDICAL"),
TRUE, "Unmapped: " &amp; K161)</f>
        <v>Female Surg, Ortho &amp; Gyn</v>
      </c>
      <c r="M161" t="s">
        <v>394</v>
      </c>
      <c r="O161" t="s">
        <v>719</v>
      </c>
      <c r="P161" t="str">
        <f t="shared" si="21"/>
        <v>Text Error</v>
      </c>
      <c r="Q161" s="5">
        <v>46029.855844907404</v>
      </c>
      <c r="R161" t="str">
        <f t="shared" si="22"/>
        <v>Valid Date</v>
      </c>
      <c r="S161" t="s">
        <v>720</v>
      </c>
      <c r="T161" s="5">
        <v>46046.560995370368</v>
      </c>
      <c r="U161">
        <v>16</v>
      </c>
      <c r="V161" t="str">
        <f t="shared" si="23"/>
        <v>OK</v>
      </c>
      <c r="W161" t="s">
        <v>25</v>
      </c>
      <c r="Y161" t="s">
        <v>30</v>
      </c>
    </row>
    <row r="162" spans="1:25" x14ac:dyDescent="0.25">
      <c r="A162" t="s">
        <v>721</v>
      </c>
      <c r="B162" t="str">
        <f t="shared" si="17"/>
        <v>Balosha Andrea Kalaba</v>
      </c>
      <c r="C162">
        <v>126855</v>
      </c>
      <c r="D162" t="str">
        <f t="shared" si="16"/>
        <v>Unique</v>
      </c>
      <c r="E162" t="s">
        <v>577</v>
      </c>
      <c r="F162" s="3">
        <f t="shared" si="18"/>
        <v>47</v>
      </c>
      <c r="G162" t="s">
        <v>19</v>
      </c>
      <c r="H162" t="str">
        <f t="shared" si="19"/>
        <v>Valid</v>
      </c>
      <c r="I162" t="s">
        <v>20</v>
      </c>
      <c r="J162" t="str">
        <f t="shared" si="20"/>
        <v>Uvinza</v>
      </c>
      <c r="K162" t="s">
        <v>428</v>
      </c>
      <c r="L162" t="str" cm="1">
        <f t="array" ref="L162">_xlfn.IFS(
ISNUMBER(SEARCH("ICU",K162)), "ICU",
ISNUMBER(SEARCH("NEONATAL",K162)), PROPER("NEONATAL"),
ISNUMBER(SEARCH("LABOUR",K162)), PROPER("LABOUR"),
ISNUMBER(SEARCH("PAEDIATRIC",K162)), PROPER("PAEDIATRIC"),
ISNUMBER(SEARCH("FEMALE SURGICAL",K162)), PROPER("FEMALE SURG, ORTHO &amp; GYN"),
ISNUMBER(SEARCH("PSYCHIATRIST",K162)), PROPER("PSYCHIATRIST"),
ISNUMBER(SEARCH("GRADE 1",K162)), PROPER("GRADE 1"),
ISNUMBER(SEARCH("MALE SURGICAL",K162)), PROPER("MALE SURG &amp; ORTHOPEDIC"),
ISNUMBER(SEARCH("MALE MEDICAL",K162)), PROPER("MALE MEDICAL"),
ISNUMBER(SEARCH("GRADE 2",K162)), PROPER("GRADE 2"),
ISNUMBER(SEARCH("FEMALE WARD",K162)), PROPER("FEMALE MEDICAL"),
TRUE, "Unmapped: " &amp; K162)</f>
        <v>Male Surg &amp; Orthopedic</v>
      </c>
      <c r="M162" t="s">
        <v>22</v>
      </c>
      <c r="O162" t="s">
        <v>722</v>
      </c>
      <c r="P162" t="str">
        <f t="shared" si="21"/>
        <v>Text Error</v>
      </c>
      <c r="Q162" s="5">
        <v>46021.90556712963</v>
      </c>
      <c r="R162" t="str">
        <f t="shared" si="22"/>
        <v>Valid Date</v>
      </c>
      <c r="S162" t="s">
        <v>723</v>
      </c>
      <c r="T162" s="5">
        <v>46037.669687499998</v>
      </c>
      <c r="U162">
        <v>15</v>
      </c>
      <c r="V162" t="str">
        <f t="shared" si="23"/>
        <v>OK</v>
      </c>
      <c r="W162" t="s">
        <v>112</v>
      </c>
      <c r="Y162" t="s">
        <v>30</v>
      </c>
    </row>
    <row r="163" spans="1:25" x14ac:dyDescent="0.25">
      <c r="A163" t="s">
        <v>725</v>
      </c>
      <c r="B163" t="str">
        <f t="shared" si="17"/>
        <v>B/o Mwajuma Haruna Athuman</v>
      </c>
      <c r="C163">
        <v>125810</v>
      </c>
      <c r="D163" t="str">
        <f t="shared" si="16"/>
        <v>Unique</v>
      </c>
      <c r="E163" t="s">
        <v>634</v>
      </c>
      <c r="F163" s="3" t="str">
        <f t="shared" si="18"/>
        <v>3/12</v>
      </c>
      <c r="G163" t="s">
        <v>32</v>
      </c>
      <c r="H163" t="str">
        <f t="shared" si="19"/>
        <v>Valid</v>
      </c>
      <c r="I163" t="s">
        <v>33</v>
      </c>
      <c r="J163" t="str">
        <f t="shared" si="20"/>
        <v>Kigoma Ujiji Mc</v>
      </c>
      <c r="K163" t="s">
        <v>21</v>
      </c>
      <c r="L163" t="str" cm="1">
        <f t="array" ref="L163">_xlfn.IFS(
ISNUMBER(SEARCH("ICU",K163)), "ICU",
ISNUMBER(SEARCH("NEONATAL",K163)), PROPER("NEONATAL"),
ISNUMBER(SEARCH("LABOUR",K163)), PROPER("LABOUR"),
ISNUMBER(SEARCH("PAEDIATRIC",K163)), PROPER("PAEDIATRIC"),
ISNUMBER(SEARCH("FEMALE SURGICAL",K163)), PROPER("FEMALE SURG, ORTHO &amp; GYN"),
ISNUMBER(SEARCH("PSYCHIATRIST",K163)), PROPER("PSYCHIATRIST"),
ISNUMBER(SEARCH("GRADE 1",K163)), PROPER("GRADE 1"),
ISNUMBER(SEARCH("MALE SURGICAL",K163)), PROPER("MALE SURG &amp; ORTHOPEDIC"),
ISNUMBER(SEARCH("MALE MEDICAL",K163)), PROPER("MALE MEDICAL"),
ISNUMBER(SEARCH("GRADE 2",K163)), PROPER("GRADE 2"),
ISNUMBER(SEARCH("FEMALE WARD",K163)), PROPER("FEMALE MEDICAL"),
TRUE, "Unmapped: " &amp; K163)</f>
        <v>Neonatal</v>
      </c>
      <c r="M163" t="s">
        <v>22</v>
      </c>
      <c r="O163" t="s">
        <v>726</v>
      </c>
      <c r="P163" t="str">
        <f t="shared" si="21"/>
        <v>Text Error</v>
      </c>
      <c r="Q163" s="5">
        <v>46009.755937499998</v>
      </c>
      <c r="R163" t="str">
        <f t="shared" si="22"/>
        <v>Valid Date</v>
      </c>
      <c r="S163" t="s">
        <v>727</v>
      </c>
      <c r="T163" s="5">
        <v>46024.71534722222</v>
      </c>
      <c r="U163">
        <v>14</v>
      </c>
      <c r="V163" t="str">
        <f t="shared" si="23"/>
        <v>OK</v>
      </c>
      <c r="W163" t="s">
        <v>25</v>
      </c>
      <c r="Y163" t="s">
        <v>30</v>
      </c>
    </row>
    <row r="164" spans="1:25" x14ac:dyDescent="0.25">
      <c r="A164" t="s">
        <v>728</v>
      </c>
      <c r="B164" t="str">
        <f t="shared" si="17"/>
        <v>Alhamdu Seleman Hussein</v>
      </c>
      <c r="C164">
        <v>125950</v>
      </c>
      <c r="D164" t="str">
        <f t="shared" si="16"/>
        <v>Unique</v>
      </c>
      <c r="E164" t="s">
        <v>18</v>
      </c>
      <c r="F164" s="3">
        <f t="shared" si="18"/>
        <v>1</v>
      </c>
      <c r="G164" t="s">
        <v>19</v>
      </c>
      <c r="H164" t="str">
        <f t="shared" si="19"/>
        <v>Valid</v>
      </c>
      <c r="I164" t="s">
        <v>62</v>
      </c>
      <c r="J164" t="str">
        <f t="shared" si="20"/>
        <v>Kigoma Vijijini</v>
      </c>
      <c r="K164" t="s">
        <v>109</v>
      </c>
      <c r="L164" t="str" cm="1">
        <f t="array" ref="L164">_xlfn.IFS(
ISNUMBER(SEARCH("ICU",K164)), "ICU",
ISNUMBER(SEARCH("NEONATAL",K164)), PROPER("NEONATAL"),
ISNUMBER(SEARCH("LABOUR",K164)), PROPER("LABOUR"),
ISNUMBER(SEARCH("PAEDIATRIC",K164)), PROPER("PAEDIATRIC"),
ISNUMBER(SEARCH("FEMALE SURGICAL",K164)), PROPER("FEMALE SURG, ORTHO &amp; GYN"),
ISNUMBER(SEARCH("PSYCHIATRIST",K164)), PROPER("PSYCHIATRIST"),
ISNUMBER(SEARCH("GRADE 1",K164)), PROPER("GRADE 1"),
ISNUMBER(SEARCH("MALE SURGICAL",K164)), PROPER("MALE SURG &amp; ORTHOPEDIC"),
ISNUMBER(SEARCH("MALE MEDICAL",K164)), PROPER("MALE MEDICAL"),
ISNUMBER(SEARCH("GRADE 2",K164)), PROPER("GRADE 2"),
ISNUMBER(SEARCH("FEMALE WARD",K164)), PROPER("FEMALE MEDICAL"),
TRUE, "Unmapped: " &amp; K164)</f>
        <v>Paediatric</v>
      </c>
      <c r="M164" t="s">
        <v>22</v>
      </c>
      <c r="O164" t="s">
        <v>729</v>
      </c>
      <c r="P164" t="str">
        <f t="shared" si="21"/>
        <v>Text Error</v>
      </c>
      <c r="Q164" s="5">
        <v>46011.560532407406</v>
      </c>
      <c r="R164" t="str">
        <f t="shared" si="22"/>
        <v>Valid Date</v>
      </c>
      <c r="S164" t="s">
        <v>730</v>
      </c>
      <c r="T164" s="5">
        <v>46025.722615740742</v>
      </c>
      <c r="U164">
        <v>14</v>
      </c>
      <c r="V164" t="str">
        <f t="shared" si="23"/>
        <v>OK</v>
      </c>
      <c r="W164" t="s">
        <v>25</v>
      </c>
      <c r="Y164" t="s">
        <v>30</v>
      </c>
    </row>
    <row r="165" spans="1:25" x14ac:dyDescent="0.25">
      <c r="A165" t="s">
        <v>731</v>
      </c>
      <c r="B165" t="str">
        <f t="shared" si="17"/>
        <v>Baby Of Eveline John John</v>
      </c>
      <c r="C165">
        <v>126166</v>
      </c>
      <c r="D165" t="str">
        <f t="shared" si="16"/>
        <v>Unique</v>
      </c>
      <c r="E165" t="s">
        <v>634</v>
      </c>
      <c r="F165" s="3" t="str">
        <f t="shared" si="18"/>
        <v>3/12</v>
      </c>
      <c r="G165" t="s">
        <v>19</v>
      </c>
      <c r="H165" t="str">
        <f t="shared" si="19"/>
        <v>Valid</v>
      </c>
      <c r="I165" t="s">
        <v>260</v>
      </c>
      <c r="J165" t="str">
        <f t="shared" si="20"/>
        <v>Kasulu</v>
      </c>
      <c r="K165" t="s">
        <v>21</v>
      </c>
      <c r="L165" t="str" cm="1">
        <f t="array" ref="L165">_xlfn.IFS(
ISNUMBER(SEARCH("ICU",K165)), "ICU",
ISNUMBER(SEARCH("NEONATAL",K165)), PROPER("NEONATAL"),
ISNUMBER(SEARCH("LABOUR",K165)), PROPER("LABOUR"),
ISNUMBER(SEARCH("PAEDIATRIC",K165)), PROPER("PAEDIATRIC"),
ISNUMBER(SEARCH("FEMALE SURGICAL",K165)), PROPER("FEMALE SURG, ORTHO &amp; GYN"),
ISNUMBER(SEARCH("PSYCHIATRIST",K165)), PROPER("PSYCHIATRIST"),
ISNUMBER(SEARCH("GRADE 1",K165)), PROPER("GRADE 1"),
ISNUMBER(SEARCH("MALE SURGICAL",K165)), PROPER("MALE SURG &amp; ORTHOPEDIC"),
ISNUMBER(SEARCH("MALE MEDICAL",K165)), PROPER("MALE MEDICAL"),
ISNUMBER(SEARCH("GRADE 2",K165)), PROPER("GRADE 2"),
ISNUMBER(SEARCH("FEMALE WARD",K165)), PROPER("FEMALE MEDICAL"),
TRUE, "Unmapped: " &amp; K165)</f>
        <v>Neonatal</v>
      </c>
      <c r="M165" t="s">
        <v>22</v>
      </c>
      <c r="O165" t="s">
        <v>732</v>
      </c>
      <c r="P165" t="str">
        <f t="shared" si="21"/>
        <v>Text Error</v>
      </c>
      <c r="Q165" s="5">
        <v>46013.724895833337</v>
      </c>
      <c r="R165" t="str">
        <f t="shared" si="22"/>
        <v>Valid Date</v>
      </c>
      <c r="S165" t="s">
        <v>733</v>
      </c>
      <c r="T165" s="5">
        <v>46028.487326388888</v>
      </c>
      <c r="U165">
        <v>14</v>
      </c>
      <c r="V165" t="str">
        <f t="shared" si="23"/>
        <v>OK</v>
      </c>
      <c r="W165" t="s">
        <v>211</v>
      </c>
      <c r="Y165" t="s">
        <v>30</v>
      </c>
    </row>
    <row r="166" spans="1:25" x14ac:dyDescent="0.25">
      <c r="A166" t="s">
        <v>735</v>
      </c>
      <c r="B166" t="str">
        <f t="shared" si="17"/>
        <v>Sabina Lulimo Ntakuka</v>
      </c>
      <c r="C166">
        <v>126263</v>
      </c>
      <c r="D166" t="str">
        <f t="shared" si="16"/>
        <v>Unique</v>
      </c>
      <c r="E166" t="s">
        <v>281</v>
      </c>
      <c r="F166" s="3">
        <f t="shared" si="18"/>
        <v>36</v>
      </c>
      <c r="G166" t="s">
        <v>32</v>
      </c>
      <c r="H166" t="str">
        <f t="shared" si="19"/>
        <v>Valid</v>
      </c>
      <c r="I166" t="s">
        <v>260</v>
      </c>
      <c r="J166" t="str">
        <f t="shared" si="20"/>
        <v>Kasulu</v>
      </c>
      <c r="K166" t="s">
        <v>40</v>
      </c>
      <c r="L166" t="str" cm="1">
        <f t="array" ref="L166">_xlfn.IFS(
ISNUMBER(SEARCH("ICU",K166)), "ICU",
ISNUMBER(SEARCH("NEONATAL",K166)), PROPER("NEONATAL"),
ISNUMBER(SEARCH("LABOUR",K166)), PROPER("LABOUR"),
ISNUMBER(SEARCH("PAEDIATRIC",K166)), PROPER("PAEDIATRIC"),
ISNUMBER(SEARCH("FEMALE SURGICAL",K166)), PROPER("FEMALE SURG, ORTHO &amp; GYN"),
ISNUMBER(SEARCH("PSYCHIATRIST",K166)), PROPER("PSYCHIATRIST"),
ISNUMBER(SEARCH("GRADE 1",K166)), PROPER("GRADE 1"),
ISNUMBER(SEARCH("MALE SURGICAL",K166)), PROPER("MALE SURG &amp; ORTHOPEDIC"),
ISNUMBER(SEARCH("MALE MEDICAL",K166)), PROPER("MALE MEDICAL"),
ISNUMBER(SEARCH("GRADE 2",K166)), PROPER("GRADE 2"),
ISNUMBER(SEARCH("FEMALE WARD",K166)), PROPER("FEMALE MEDICAL"),
TRUE, "Unmapped: " &amp; K166)</f>
        <v>Labour</v>
      </c>
      <c r="M166" t="s">
        <v>22</v>
      </c>
      <c r="O166" t="s">
        <v>736</v>
      </c>
      <c r="P166" t="str">
        <f t="shared" si="21"/>
        <v>Text Error</v>
      </c>
      <c r="Q166" s="5">
        <v>46014.709398148145</v>
      </c>
      <c r="R166" t="str">
        <f t="shared" si="22"/>
        <v>Valid Date</v>
      </c>
      <c r="S166" t="s">
        <v>737</v>
      </c>
      <c r="T166" s="5">
        <v>46029.363645833335</v>
      </c>
      <c r="U166">
        <v>14</v>
      </c>
      <c r="V166" t="str">
        <f t="shared" si="23"/>
        <v>OK</v>
      </c>
      <c r="W166" t="s">
        <v>25</v>
      </c>
      <c r="Y166" t="s">
        <v>30</v>
      </c>
    </row>
    <row r="167" spans="1:25" x14ac:dyDescent="0.25">
      <c r="A167" t="s">
        <v>738</v>
      </c>
      <c r="B167" t="str">
        <f t="shared" si="17"/>
        <v>Tatu Simoni Mwana</v>
      </c>
      <c r="C167">
        <v>127978</v>
      </c>
      <c r="D167" t="str">
        <f t="shared" si="16"/>
        <v>Unique</v>
      </c>
      <c r="E167" t="s">
        <v>641</v>
      </c>
      <c r="F167" s="3">
        <f t="shared" si="18"/>
        <v>46</v>
      </c>
      <c r="G167" t="s">
        <v>32</v>
      </c>
      <c r="H167" t="str">
        <f t="shared" si="19"/>
        <v>Valid</v>
      </c>
      <c r="I167" t="s">
        <v>33</v>
      </c>
      <c r="J167" t="str">
        <f t="shared" si="20"/>
        <v>Kigoma Ujiji Mc</v>
      </c>
      <c r="K167" t="s">
        <v>123</v>
      </c>
      <c r="L167" t="str" cm="1">
        <f t="array" ref="L167">_xlfn.IFS(
ISNUMBER(SEARCH("ICU",K167)), "ICU",
ISNUMBER(SEARCH("NEONATAL",K167)), PROPER("NEONATAL"),
ISNUMBER(SEARCH("LABOUR",K167)), PROPER("LABOUR"),
ISNUMBER(SEARCH("PAEDIATRIC",K167)), PROPER("PAEDIATRIC"),
ISNUMBER(SEARCH("FEMALE SURGICAL",K167)), PROPER("FEMALE SURG, ORTHO &amp; GYN"),
ISNUMBER(SEARCH("PSYCHIATRIST",K167)), PROPER("PSYCHIATRIST"),
ISNUMBER(SEARCH("GRADE 1",K167)), PROPER("GRADE 1"),
ISNUMBER(SEARCH("MALE SURGICAL",K167)), PROPER("MALE SURG &amp; ORTHOPEDIC"),
ISNUMBER(SEARCH("MALE MEDICAL",K167)), PROPER("MALE MEDICAL"),
ISNUMBER(SEARCH("GRADE 2",K167)), PROPER("GRADE 2"),
ISNUMBER(SEARCH("FEMALE WARD",K167)), PROPER("FEMALE MEDICAL"),
TRUE, "Unmapped: " &amp; K167)</f>
        <v>Female Surg, Ortho &amp; Gyn</v>
      </c>
      <c r="M167" t="s">
        <v>22</v>
      </c>
      <c r="O167" t="s">
        <v>739</v>
      </c>
      <c r="P167" t="str">
        <f t="shared" si="21"/>
        <v>Text Error</v>
      </c>
      <c r="Q167" s="5">
        <v>46032.641574074078</v>
      </c>
      <c r="R167" t="str">
        <f t="shared" si="22"/>
        <v>Valid Date</v>
      </c>
      <c r="S167" t="s">
        <v>740</v>
      </c>
      <c r="T167" s="5">
        <v>46047.5700462963</v>
      </c>
      <c r="U167">
        <v>14</v>
      </c>
      <c r="V167" t="str">
        <f t="shared" si="23"/>
        <v>OK</v>
      </c>
      <c r="W167" t="s">
        <v>25</v>
      </c>
      <c r="Y167" t="s">
        <v>30</v>
      </c>
    </row>
    <row r="168" spans="1:25" x14ac:dyDescent="0.25">
      <c r="A168" t="s">
        <v>741</v>
      </c>
      <c r="B168" t="str">
        <f t="shared" si="17"/>
        <v>Babyof Zalha Zakiu Yasini</v>
      </c>
      <c r="C168">
        <v>128166</v>
      </c>
      <c r="D168" t="str">
        <f t="shared" si="16"/>
        <v>Unique</v>
      </c>
      <c r="E168" t="s">
        <v>622</v>
      </c>
      <c r="F168" s="3" t="str">
        <f t="shared" si="18"/>
        <v>2/12</v>
      </c>
      <c r="G168" t="s">
        <v>32</v>
      </c>
      <c r="H168" t="str">
        <f t="shared" si="19"/>
        <v>Valid</v>
      </c>
      <c r="I168" t="s">
        <v>33</v>
      </c>
      <c r="J168" t="str">
        <f t="shared" si="20"/>
        <v>Kigoma Ujiji Mc</v>
      </c>
      <c r="K168" t="s">
        <v>21</v>
      </c>
      <c r="L168" t="str" cm="1">
        <f t="array" ref="L168">_xlfn.IFS(
ISNUMBER(SEARCH("ICU",K168)), "ICU",
ISNUMBER(SEARCH("NEONATAL",K168)), PROPER("NEONATAL"),
ISNUMBER(SEARCH("LABOUR",K168)), PROPER("LABOUR"),
ISNUMBER(SEARCH("PAEDIATRIC",K168)), PROPER("PAEDIATRIC"),
ISNUMBER(SEARCH("FEMALE SURGICAL",K168)), PROPER("FEMALE SURG, ORTHO &amp; GYN"),
ISNUMBER(SEARCH("PSYCHIATRIST",K168)), PROPER("PSYCHIATRIST"),
ISNUMBER(SEARCH("GRADE 1",K168)), PROPER("GRADE 1"),
ISNUMBER(SEARCH("MALE SURGICAL",K168)), PROPER("MALE SURG &amp; ORTHOPEDIC"),
ISNUMBER(SEARCH("MALE MEDICAL",K168)), PROPER("MALE MEDICAL"),
ISNUMBER(SEARCH("GRADE 2",K168)), PROPER("GRADE 2"),
ISNUMBER(SEARCH("FEMALE WARD",K168)), PROPER("FEMALE MEDICAL"),
TRUE, "Unmapped: " &amp; K168)</f>
        <v>Neonatal</v>
      </c>
      <c r="M168" t="s">
        <v>22</v>
      </c>
      <c r="O168" t="s">
        <v>742</v>
      </c>
      <c r="P168" t="str">
        <f t="shared" si="21"/>
        <v>Text Error</v>
      </c>
      <c r="Q168" s="5">
        <v>46034.878854166665</v>
      </c>
      <c r="R168" t="str">
        <f t="shared" si="22"/>
        <v>Valid Date</v>
      </c>
      <c r="S168" t="s">
        <v>743</v>
      </c>
      <c r="T168" s="5">
        <v>46049.684293981481</v>
      </c>
      <c r="U168">
        <v>14</v>
      </c>
      <c r="V168" t="str">
        <f t="shared" si="23"/>
        <v>OK</v>
      </c>
      <c r="W168" t="s">
        <v>25</v>
      </c>
      <c r="Y168" t="s">
        <v>30</v>
      </c>
    </row>
    <row r="169" spans="1:25" x14ac:dyDescent="0.25">
      <c r="A169" t="s">
        <v>744</v>
      </c>
      <c r="B169" t="str">
        <f t="shared" si="17"/>
        <v>Salome Jaston Mwamkashi</v>
      </c>
      <c r="C169">
        <v>44466</v>
      </c>
      <c r="D169" t="str">
        <f t="shared" si="16"/>
        <v>Unique</v>
      </c>
      <c r="E169" t="s">
        <v>361</v>
      </c>
      <c r="F169" s="3">
        <f t="shared" si="18"/>
        <v>27</v>
      </c>
      <c r="G169" t="s">
        <v>32</v>
      </c>
      <c r="H169" t="str">
        <f t="shared" si="19"/>
        <v>Valid</v>
      </c>
      <c r="I169" t="s">
        <v>227</v>
      </c>
      <c r="J169" t="str">
        <f t="shared" si="20"/>
        <v>KGG</v>
      </c>
      <c r="K169" t="s">
        <v>40</v>
      </c>
      <c r="L169" t="str" cm="1">
        <f t="array" ref="L169">_xlfn.IFS(
ISNUMBER(SEARCH("ICU",K169)), "ICU",
ISNUMBER(SEARCH("NEONATAL",K169)), PROPER("NEONATAL"),
ISNUMBER(SEARCH("LABOUR",K169)), PROPER("LABOUR"),
ISNUMBER(SEARCH("PAEDIATRIC",K169)), PROPER("PAEDIATRIC"),
ISNUMBER(SEARCH("FEMALE SURGICAL",K169)), PROPER("FEMALE SURG, ORTHO &amp; GYN"),
ISNUMBER(SEARCH("PSYCHIATRIST",K169)), PROPER("PSYCHIATRIST"),
ISNUMBER(SEARCH("GRADE 1",K169)), PROPER("GRADE 1"),
ISNUMBER(SEARCH("MALE SURGICAL",K169)), PROPER("MALE SURG &amp; ORTHOPEDIC"),
ISNUMBER(SEARCH("MALE MEDICAL",K169)), PROPER("MALE MEDICAL"),
ISNUMBER(SEARCH("GRADE 2",K169)), PROPER("GRADE 2"),
ISNUMBER(SEARCH("FEMALE WARD",K169)), PROPER("FEMALE MEDICAL"),
TRUE, "Unmapped: " &amp; K169)</f>
        <v>Labour</v>
      </c>
      <c r="M169" t="s">
        <v>22</v>
      </c>
      <c r="O169" t="s">
        <v>745</v>
      </c>
      <c r="P169" t="str">
        <f t="shared" si="21"/>
        <v>Text Error</v>
      </c>
      <c r="Q169" s="5">
        <v>46015.677442129629</v>
      </c>
      <c r="R169" t="str">
        <f t="shared" si="22"/>
        <v>Valid Date</v>
      </c>
      <c r="S169" t="s">
        <v>746</v>
      </c>
      <c r="T169" s="5">
        <v>46028.943576388891</v>
      </c>
      <c r="U169">
        <v>13</v>
      </c>
      <c r="V169" t="str">
        <f t="shared" si="23"/>
        <v>OK</v>
      </c>
      <c r="W169" t="s">
        <v>25</v>
      </c>
      <c r="Y169" t="s">
        <v>30</v>
      </c>
    </row>
    <row r="170" spans="1:25" x14ac:dyDescent="0.25">
      <c r="A170" t="s">
        <v>748</v>
      </c>
      <c r="B170" t="str">
        <f t="shared" si="17"/>
        <v>Beatrice Wilfred Shinyange</v>
      </c>
      <c r="C170">
        <v>127123</v>
      </c>
      <c r="D170" t="str">
        <f t="shared" si="16"/>
        <v>Unique</v>
      </c>
      <c r="E170" t="s">
        <v>301</v>
      </c>
      <c r="F170" s="3">
        <f t="shared" si="18"/>
        <v>16</v>
      </c>
      <c r="G170" t="s">
        <v>32</v>
      </c>
      <c r="H170" t="str">
        <f t="shared" si="19"/>
        <v>Valid</v>
      </c>
      <c r="I170" t="s">
        <v>130</v>
      </c>
      <c r="J170" t="str">
        <f t="shared" si="20"/>
        <v>Buhigwe</v>
      </c>
      <c r="K170" t="s">
        <v>123</v>
      </c>
      <c r="L170" t="str" cm="1">
        <f t="array" ref="L170">_xlfn.IFS(
ISNUMBER(SEARCH("ICU",K170)), "ICU",
ISNUMBER(SEARCH("NEONATAL",K170)), PROPER("NEONATAL"),
ISNUMBER(SEARCH("LABOUR",K170)), PROPER("LABOUR"),
ISNUMBER(SEARCH("PAEDIATRIC",K170)), PROPER("PAEDIATRIC"),
ISNUMBER(SEARCH("FEMALE SURGICAL",K170)), PROPER("FEMALE SURG, ORTHO &amp; GYN"),
ISNUMBER(SEARCH("PSYCHIATRIST",K170)), PROPER("PSYCHIATRIST"),
ISNUMBER(SEARCH("GRADE 1",K170)), PROPER("GRADE 1"),
ISNUMBER(SEARCH("MALE SURGICAL",K170)), PROPER("MALE SURG &amp; ORTHOPEDIC"),
ISNUMBER(SEARCH("MALE MEDICAL",K170)), PROPER("MALE MEDICAL"),
ISNUMBER(SEARCH("GRADE 2",K170)), PROPER("GRADE 2"),
ISNUMBER(SEARCH("FEMALE WARD",K170)), PROPER("FEMALE MEDICAL"),
TRUE, "Unmapped: " &amp; K170)</f>
        <v>Female Surg, Ortho &amp; Gyn</v>
      </c>
      <c r="M170" t="s">
        <v>22</v>
      </c>
      <c r="O170" t="s">
        <v>749</v>
      </c>
      <c r="P170" t="str">
        <f t="shared" si="21"/>
        <v>Text Error</v>
      </c>
      <c r="Q170" s="5">
        <v>46025.410833333335</v>
      </c>
      <c r="R170" t="str">
        <f t="shared" si="22"/>
        <v>Valid Date</v>
      </c>
      <c r="S170" t="s">
        <v>750</v>
      </c>
      <c r="T170" s="5">
        <v>46038.661203703705</v>
      </c>
      <c r="U170">
        <v>13</v>
      </c>
      <c r="V170" t="str">
        <f t="shared" si="23"/>
        <v>OK</v>
      </c>
      <c r="W170" t="s">
        <v>397</v>
      </c>
      <c r="Y170" t="s">
        <v>30</v>
      </c>
    </row>
    <row r="171" spans="1:25" x14ac:dyDescent="0.25">
      <c r="A171" t="s">
        <v>753</v>
      </c>
      <c r="B171" t="str">
        <f t="shared" si="17"/>
        <v>Jofrey Moshi Mutti</v>
      </c>
      <c r="C171">
        <v>10369</v>
      </c>
      <c r="D171" t="str">
        <f t="shared" si="16"/>
        <v>Unique</v>
      </c>
      <c r="E171" t="s">
        <v>142</v>
      </c>
      <c r="F171" s="3">
        <f t="shared" si="18"/>
        <v>20</v>
      </c>
      <c r="G171" t="s">
        <v>19</v>
      </c>
      <c r="H171" t="str">
        <f t="shared" si="19"/>
        <v>Valid</v>
      </c>
      <c r="I171" t="s">
        <v>754</v>
      </c>
      <c r="J171" t="str">
        <f t="shared" si="20"/>
        <v>KG</v>
      </c>
      <c r="K171" t="s">
        <v>428</v>
      </c>
      <c r="L171" t="str" cm="1">
        <f t="array" ref="L171">_xlfn.IFS(
ISNUMBER(SEARCH("ICU",K171)), "ICU",
ISNUMBER(SEARCH("NEONATAL",K171)), PROPER("NEONATAL"),
ISNUMBER(SEARCH("LABOUR",K171)), PROPER("LABOUR"),
ISNUMBER(SEARCH("PAEDIATRIC",K171)), PROPER("PAEDIATRIC"),
ISNUMBER(SEARCH("FEMALE SURGICAL",K171)), PROPER("FEMALE SURG, ORTHO &amp; GYN"),
ISNUMBER(SEARCH("PSYCHIATRIST",K171)), PROPER("PSYCHIATRIST"),
ISNUMBER(SEARCH("GRADE 1",K171)), PROPER("GRADE 1"),
ISNUMBER(SEARCH("MALE SURGICAL",K171)), PROPER("MALE SURG &amp; ORTHOPEDIC"),
ISNUMBER(SEARCH("MALE MEDICAL",K171)), PROPER("MALE MEDICAL"),
ISNUMBER(SEARCH("GRADE 2",K171)), PROPER("GRADE 2"),
ISNUMBER(SEARCH("FEMALE WARD",K171)), PROPER("FEMALE MEDICAL"),
TRUE, "Unmapped: " &amp; K171)</f>
        <v>Male Surg &amp; Orthopedic</v>
      </c>
      <c r="M171" t="s">
        <v>22</v>
      </c>
      <c r="O171" t="s">
        <v>755</v>
      </c>
      <c r="P171" t="str">
        <f t="shared" si="21"/>
        <v>Text Error</v>
      </c>
      <c r="Q171" s="5">
        <v>46034.492638888885</v>
      </c>
      <c r="R171" t="str">
        <f t="shared" si="22"/>
        <v>Valid Date</v>
      </c>
      <c r="S171" t="s">
        <v>756</v>
      </c>
      <c r="T171" s="5">
        <v>46047.623738425929</v>
      </c>
      <c r="U171">
        <v>13</v>
      </c>
      <c r="V171" t="str">
        <f t="shared" si="23"/>
        <v>OK</v>
      </c>
      <c r="W171" t="s">
        <v>25</v>
      </c>
      <c r="Y171" t="s">
        <v>30</v>
      </c>
    </row>
    <row r="172" spans="1:25" x14ac:dyDescent="0.25">
      <c r="A172" t="s">
        <v>757</v>
      </c>
      <c r="B172" t="str">
        <f t="shared" si="17"/>
        <v>Isaule A Majisu</v>
      </c>
      <c r="C172">
        <v>127143</v>
      </c>
      <c r="D172" t="str">
        <f t="shared" si="16"/>
        <v>Unique</v>
      </c>
      <c r="E172" t="s">
        <v>758</v>
      </c>
      <c r="F172" s="3">
        <f t="shared" si="18"/>
        <v>19</v>
      </c>
      <c r="G172" t="s">
        <v>19</v>
      </c>
      <c r="H172" t="str">
        <f t="shared" si="19"/>
        <v>Valid</v>
      </c>
      <c r="I172" t="s">
        <v>260</v>
      </c>
      <c r="J172" t="str">
        <f t="shared" si="20"/>
        <v>Kasulu</v>
      </c>
      <c r="K172" t="s">
        <v>428</v>
      </c>
      <c r="L172" t="str" cm="1">
        <f t="array" ref="L172">_xlfn.IFS(
ISNUMBER(SEARCH("ICU",K172)), "ICU",
ISNUMBER(SEARCH("NEONATAL",K172)), PROPER("NEONATAL"),
ISNUMBER(SEARCH("LABOUR",K172)), PROPER("LABOUR"),
ISNUMBER(SEARCH("PAEDIATRIC",K172)), PROPER("PAEDIATRIC"),
ISNUMBER(SEARCH("FEMALE SURGICAL",K172)), PROPER("FEMALE SURG, ORTHO &amp; GYN"),
ISNUMBER(SEARCH("PSYCHIATRIST",K172)), PROPER("PSYCHIATRIST"),
ISNUMBER(SEARCH("GRADE 1",K172)), PROPER("GRADE 1"),
ISNUMBER(SEARCH("MALE SURGICAL",K172)), PROPER("MALE SURG &amp; ORTHOPEDIC"),
ISNUMBER(SEARCH("MALE MEDICAL",K172)), PROPER("MALE MEDICAL"),
ISNUMBER(SEARCH("GRADE 2",K172)), PROPER("GRADE 2"),
ISNUMBER(SEARCH("FEMALE WARD",K172)), PROPER("FEMALE MEDICAL"),
TRUE, "Unmapped: " &amp; K172)</f>
        <v>Male Surg &amp; Orthopedic</v>
      </c>
      <c r="M172" t="s">
        <v>22</v>
      </c>
      <c r="O172" t="s">
        <v>759</v>
      </c>
      <c r="P172" t="str">
        <f t="shared" si="21"/>
        <v>Text Error</v>
      </c>
      <c r="Q172" s="5">
        <v>46025.431851851848</v>
      </c>
      <c r="R172" t="str">
        <f t="shared" si="22"/>
        <v>Valid Date</v>
      </c>
      <c r="S172" t="s">
        <v>760</v>
      </c>
      <c r="T172" s="5">
        <v>46037.77584490741</v>
      </c>
      <c r="U172">
        <v>12</v>
      </c>
      <c r="V172" t="str">
        <f t="shared" si="23"/>
        <v>OK</v>
      </c>
      <c r="W172" t="s">
        <v>25</v>
      </c>
      <c r="Y172" t="s">
        <v>30</v>
      </c>
    </row>
    <row r="173" spans="1:25" x14ac:dyDescent="0.25">
      <c r="A173" t="s">
        <v>762</v>
      </c>
      <c r="B173" t="str">
        <f t="shared" si="17"/>
        <v>Nuru Muhamed Kimosa</v>
      </c>
      <c r="C173">
        <v>124780</v>
      </c>
      <c r="D173" t="str">
        <f t="shared" si="16"/>
        <v>Unique</v>
      </c>
      <c r="E173" t="s">
        <v>474</v>
      </c>
      <c r="F173" s="3">
        <f t="shared" si="18"/>
        <v>53</v>
      </c>
      <c r="G173" t="s">
        <v>19</v>
      </c>
      <c r="H173" t="str">
        <f t="shared" si="19"/>
        <v>Valid</v>
      </c>
      <c r="I173" t="s">
        <v>33</v>
      </c>
      <c r="J173" t="str">
        <f t="shared" si="20"/>
        <v>Kigoma Ujiji Mc</v>
      </c>
      <c r="K173" t="s">
        <v>763</v>
      </c>
      <c r="L173" t="str" cm="1">
        <f t="array" ref="L173">_xlfn.IFS(
ISNUMBER(SEARCH("ICU",K173)), "ICU",
ISNUMBER(SEARCH("NEONATAL",K173)), PROPER("NEONATAL"),
ISNUMBER(SEARCH("LABOUR",K173)), PROPER("LABOUR"),
ISNUMBER(SEARCH("PAEDIATRIC",K173)), PROPER("PAEDIATRIC"),
ISNUMBER(SEARCH("FEMALE SURGICAL",K173)), PROPER("FEMALE SURG, ORTHO &amp; GYN"),
ISNUMBER(SEARCH("PSYCHIATRIST",K173)), PROPER("PSYCHIATRIST"),
ISNUMBER(SEARCH("GRADE 1",K173)), PROPER("GRADE 1"),
ISNUMBER(SEARCH("MALE SURGICAL",K173)), PROPER("MALE SURG &amp; ORTHOPEDIC"),
ISNUMBER(SEARCH("MALE MEDICAL",K173)), PROPER("MALE MEDICAL"),
ISNUMBER(SEARCH("GRADE 2",K173)), PROPER("GRADE 2"),
ISNUMBER(SEARCH("FEMALE WARD",K173)), PROPER("FEMALE MEDICAL"),
TRUE, "Unmapped: " &amp; K173)</f>
        <v>ICU</v>
      </c>
      <c r="M173" t="s">
        <v>22</v>
      </c>
      <c r="O173" t="s">
        <v>764</v>
      </c>
      <c r="P173" t="str">
        <f t="shared" si="21"/>
        <v>Text Error</v>
      </c>
      <c r="Q173" s="5">
        <v>46027.91814814815</v>
      </c>
      <c r="R173" t="str">
        <f t="shared" si="22"/>
        <v>Valid Date</v>
      </c>
      <c r="S173" t="s">
        <v>765</v>
      </c>
      <c r="T173" s="5">
        <v>46040.430960648147</v>
      </c>
      <c r="U173">
        <v>12</v>
      </c>
      <c r="V173" t="str">
        <f t="shared" si="23"/>
        <v>OK</v>
      </c>
      <c r="W173" t="s">
        <v>211</v>
      </c>
      <c r="Y173" t="s">
        <v>30</v>
      </c>
    </row>
    <row r="174" spans="1:25" x14ac:dyDescent="0.25">
      <c r="A174" t="s">
        <v>768</v>
      </c>
      <c r="B174" t="str">
        <f t="shared" si="17"/>
        <v>Rashid Juma Juma</v>
      </c>
      <c r="C174">
        <v>123257</v>
      </c>
      <c r="D174" t="str">
        <f t="shared" si="16"/>
        <v>Unique</v>
      </c>
      <c r="E174" t="s">
        <v>175</v>
      </c>
      <c r="F174" s="3">
        <f t="shared" si="18"/>
        <v>8</v>
      </c>
      <c r="G174" t="s">
        <v>19</v>
      </c>
      <c r="H174" t="str">
        <f t="shared" si="19"/>
        <v>Valid</v>
      </c>
      <c r="I174" t="s">
        <v>20</v>
      </c>
      <c r="J174" t="str">
        <f t="shared" si="20"/>
        <v>Uvinza</v>
      </c>
      <c r="K174" t="s">
        <v>109</v>
      </c>
      <c r="L174" t="str" cm="1">
        <f t="array" ref="L174">_xlfn.IFS(
ISNUMBER(SEARCH("ICU",K174)), "ICU",
ISNUMBER(SEARCH("NEONATAL",K174)), PROPER("NEONATAL"),
ISNUMBER(SEARCH("LABOUR",K174)), PROPER("LABOUR"),
ISNUMBER(SEARCH("PAEDIATRIC",K174)), PROPER("PAEDIATRIC"),
ISNUMBER(SEARCH("FEMALE SURGICAL",K174)), PROPER("FEMALE SURG, ORTHO &amp; GYN"),
ISNUMBER(SEARCH("PSYCHIATRIST",K174)), PROPER("PSYCHIATRIST"),
ISNUMBER(SEARCH("GRADE 1",K174)), PROPER("GRADE 1"),
ISNUMBER(SEARCH("MALE SURGICAL",K174)), PROPER("MALE SURG &amp; ORTHOPEDIC"),
ISNUMBER(SEARCH("MALE MEDICAL",K174)), PROPER("MALE MEDICAL"),
ISNUMBER(SEARCH("GRADE 2",K174)), PROPER("GRADE 2"),
ISNUMBER(SEARCH("FEMALE WARD",K174)), PROPER("FEMALE MEDICAL"),
TRUE, "Unmapped: " &amp; K174)</f>
        <v>Paediatric</v>
      </c>
      <c r="M174" t="s">
        <v>22</v>
      </c>
      <c r="O174" t="s">
        <v>769</v>
      </c>
      <c r="P174" t="str">
        <f t="shared" si="21"/>
        <v>Text Error</v>
      </c>
      <c r="Q174" s="5">
        <v>46029.799895833334</v>
      </c>
      <c r="R174" t="str">
        <f t="shared" si="22"/>
        <v>Valid Date</v>
      </c>
      <c r="S174" t="s">
        <v>770</v>
      </c>
      <c r="T174" s="5">
        <v>46042.654282407406</v>
      </c>
      <c r="U174">
        <v>12</v>
      </c>
      <c r="V174" t="str">
        <f t="shared" si="23"/>
        <v>OK</v>
      </c>
      <c r="W174" t="s">
        <v>25</v>
      </c>
      <c r="Y174" t="s">
        <v>30</v>
      </c>
    </row>
    <row r="175" spans="1:25" x14ac:dyDescent="0.25">
      <c r="A175" t="s">
        <v>772</v>
      </c>
      <c r="B175" t="str">
        <f t="shared" si="17"/>
        <v>Beatha L Mufumya</v>
      </c>
      <c r="C175">
        <v>127840</v>
      </c>
      <c r="D175" t="str">
        <f t="shared" si="16"/>
        <v>Unique</v>
      </c>
      <c r="E175" t="s">
        <v>773</v>
      </c>
      <c r="F175" s="3">
        <f t="shared" si="18"/>
        <v>68</v>
      </c>
      <c r="G175" t="s">
        <v>32</v>
      </c>
      <c r="H175" t="str">
        <f t="shared" si="19"/>
        <v>Valid</v>
      </c>
      <c r="I175" t="s">
        <v>260</v>
      </c>
      <c r="J175" t="str">
        <f t="shared" si="20"/>
        <v>Kasulu</v>
      </c>
      <c r="K175" t="s">
        <v>685</v>
      </c>
      <c r="L175" t="str" cm="1">
        <f t="array" ref="L175">_xlfn.IFS(
ISNUMBER(SEARCH("ICU",K175)), "ICU",
ISNUMBER(SEARCH("NEONATAL",K175)), PROPER("NEONATAL"),
ISNUMBER(SEARCH("LABOUR",K175)), PROPER("LABOUR"),
ISNUMBER(SEARCH("PAEDIATRIC",K175)), PROPER("PAEDIATRIC"),
ISNUMBER(SEARCH("FEMALE SURGICAL",K175)), PROPER("FEMALE SURG, ORTHO &amp; GYN"),
ISNUMBER(SEARCH("PSYCHIATRIST",K175)), PROPER("PSYCHIATRIST"),
ISNUMBER(SEARCH("GRADE 1",K175)), PROPER("GRADE 1"),
ISNUMBER(SEARCH("MALE SURGICAL",K175)), PROPER("MALE SURG &amp; ORTHOPEDIC"),
ISNUMBER(SEARCH("MALE MEDICAL",K175)), PROPER("MALE MEDICAL"),
ISNUMBER(SEARCH("GRADE 2",K175)), PROPER("GRADE 2"),
ISNUMBER(SEARCH("FEMALE WARD",K175)), PROPER("FEMALE MEDICAL"),
TRUE, "Unmapped: " &amp; K175)</f>
        <v>Grade 2</v>
      </c>
      <c r="M175" t="s">
        <v>394</v>
      </c>
      <c r="O175" t="s">
        <v>774</v>
      </c>
      <c r="P175" t="str">
        <f t="shared" si="21"/>
        <v>Text Error</v>
      </c>
      <c r="Q175" s="5">
        <v>46031.524953703702</v>
      </c>
      <c r="R175" t="str">
        <f t="shared" si="22"/>
        <v>Valid Date</v>
      </c>
      <c r="S175" t="s">
        <v>775</v>
      </c>
      <c r="T175" s="5">
        <v>46044.386296296296</v>
      </c>
      <c r="U175">
        <v>12</v>
      </c>
      <c r="V175" t="str">
        <f t="shared" si="23"/>
        <v>OK</v>
      </c>
      <c r="W175" t="s">
        <v>25</v>
      </c>
      <c r="Y175" t="s">
        <v>30</v>
      </c>
    </row>
    <row r="176" spans="1:25" x14ac:dyDescent="0.25">
      <c r="A176" t="s">
        <v>777</v>
      </c>
      <c r="B176" t="str">
        <f t="shared" si="17"/>
        <v>Mwajuma Ibrahim Tangilije</v>
      </c>
      <c r="C176">
        <v>11852</v>
      </c>
      <c r="D176" t="str">
        <f t="shared" si="16"/>
        <v>Unique</v>
      </c>
      <c r="E176" t="s">
        <v>778</v>
      </c>
      <c r="F176" s="3">
        <f t="shared" si="18"/>
        <v>52</v>
      </c>
      <c r="G176" t="s">
        <v>32</v>
      </c>
      <c r="H176" t="str">
        <f t="shared" si="19"/>
        <v>Valid</v>
      </c>
      <c r="I176" t="s">
        <v>754</v>
      </c>
      <c r="J176" t="str">
        <f t="shared" si="20"/>
        <v>KG</v>
      </c>
      <c r="K176" t="s">
        <v>202</v>
      </c>
      <c r="L176" t="str" cm="1">
        <f t="array" ref="L176">_xlfn.IFS(
ISNUMBER(SEARCH("ICU",K176)), "ICU",
ISNUMBER(SEARCH("NEONATAL",K176)), PROPER("NEONATAL"),
ISNUMBER(SEARCH("LABOUR",K176)), PROPER("LABOUR"),
ISNUMBER(SEARCH("PAEDIATRIC",K176)), PROPER("PAEDIATRIC"),
ISNUMBER(SEARCH("FEMALE SURGICAL",K176)), PROPER("FEMALE SURG, ORTHO &amp; GYN"),
ISNUMBER(SEARCH("PSYCHIATRIST",K176)), PROPER("PSYCHIATRIST"),
ISNUMBER(SEARCH("GRADE 1",K176)), PROPER("GRADE 1"),
ISNUMBER(SEARCH("MALE SURGICAL",K176)), PROPER("MALE SURG &amp; ORTHOPEDIC"),
ISNUMBER(SEARCH("MALE MEDICAL",K176)), PROPER("MALE MEDICAL"),
ISNUMBER(SEARCH("GRADE 2",K176)), PROPER("GRADE 2"),
ISNUMBER(SEARCH("FEMALE WARD",K176)), PROPER("FEMALE MEDICAL"),
TRUE, "Unmapped: " &amp; K176)</f>
        <v>Psychiatrist</v>
      </c>
      <c r="M176" t="s">
        <v>22</v>
      </c>
      <c r="O176" t="s">
        <v>779</v>
      </c>
      <c r="P176" t="str">
        <f t="shared" si="21"/>
        <v>Text Error</v>
      </c>
      <c r="Q176" s="5">
        <v>46040.508750000001</v>
      </c>
      <c r="R176" t="str">
        <f t="shared" si="22"/>
        <v>Valid Date</v>
      </c>
      <c r="S176" t="s">
        <v>780</v>
      </c>
      <c r="T176" s="5">
        <v>46052.521087962959</v>
      </c>
      <c r="U176">
        <v>12</v>
      </c>
      <c r="V176" t="str">
        <f t="shared" si="23"/>
        <v>OK</v>
      </c>
      <c r="W176" t="s">
        <v>25</v>
      </c>
      <c r="Y176" t="s">
        <v>30</v>
      </c>
    </row>
    <row r="177" spans="1:25" x14ac:dyDescent="0.25">
      <c r="A177" t="s">
        <v>781</v>
      </c>
      <c r="B177" t="str">
        <f t="shared" si="17"/>
        <v>Erica Donald Huruma</v>
      </c>
      <c r="C177">
        <v>126733</v>
      </c>
      <c r="D177" t="str">
        <f t="shared" si="16"/>
        <v>Unique</v>
      </c>
      <c r="E177" t="s">
        <v>39</v>
      </c>
      <c r="F177" s="3">
        <f t="shared" si="18"/>
        <v>33</v>
      </c>
      <c r="G177" t="s">
        <v>32</v>
      </c>
      <c r="H177" t="str">
        <f t="shared" si="19"/>
        <v>Valid</v>
      </c>
      <c r="I177" t="s">
        <v>33</v>
      </c>
      <c r="J177" t="str">
        <f t="shared" si="20"/>
        <v>Kigoma Ujiji Mc</v>
      </c>
      <c r="K177" t="s">
        <v>40</v>
      </c>
      <c r="L177" t="str" cm="1">
        <f t="array" ref="L177">_xlfn.IFS(
ISNUMBER(SEARCH("ICU",K177)), "ICU",
ISNUMBER(SEARCH("NEONATAL",K177)), PROPER("NEONATAL"),
ISNUMBER(SEARCH("LABOUR",K177)), PROPER("LABOUR"),
ISNUMBER(SEARCH("PAEDIATRIC",K177)), PROPER("PAEDIATRIC"),
ISNUMBER(SEARCH("FEMALE SURGICAL",K177)), PROPER("FEMALE SURG, ORTHO &amp; GYN"),
ISNUMBER(SEARCH("PSYCHIATRIST",K177)), PROPER("PSYCHIATRIST"),
ISNUMBER(SEARCH("GRADE 1",K177)), PROPER("GRADE 1"),
ISNUMBER(SEARCH("MALE SURGICAL",K177)), PROPER("MALE SURG &amp; ORTHOPEDIC"),
ISNUMBER(SEARCH("MALE MEDICAL",K177)), PROPER("MALE MEDICAL"),
ISNUMBER(SEARCH("GRADE 2",K177)), PROPER("GRADE 2"),
ISNUMBER(SEARCH("FEMALE WARD",K177)), PROPER("FEMALE MEDICAL"),
TRUE, "Unmapped: " &amp; K177)</f>
        <v>Labour</v>
      </c>
      <c r="M177" t="s">
        <v>22</v>
      </c>
      <c r="O177" t="s">
        <v>782</v>
      </c>
      <c r="P177" t="str">
        <f t="shared" si="21"/>
        <v>Text Error</v>
      </c>
      <c r="Q177" s="5">
        <v>46021.19091435185</v>
      </c>
      <c r="R177" t="str">
        <f t="shared" si="22"/>
        <v>Valid Date</v>
      </c>
      <c r="S177" t="s">
        <v>783</v>
      </c>
      <c r="T177" s="5">
        <v>46032.611689814818</v>
      </c>
      <c r="U177">
        <v>11</v>
      </c>
      <c r="V177" t="str">
        <f t="shared" si="23"/>
        <v>OK</v>
      </c>
      <c r="W177" t="s">
        <v>25</v>
      </c>
      <c r="Y177" t="s">
        <v>30</v>
      </c>
    </row>
    <row r="178" spans="1:25" x14ac:dyDescent="0.25">
      <c r="A178" t="s">
        <v>784</v>
      </c>
      <c r="B178" t="str">
        <f t="shared" si="17"/>
        <v>Evin Ethan Enock</v>
      </c>
      <c r="C178">
        <v>126817</v>
      </c>
      <c r="D178" t="str">
        <f t="shared" si="16"/>
        <v>Unique</v>
      </c>
      <c r="E178" t="s">
        <v>622</v>
      </c>
      <c r="F178" s="3" t="str">
        <f t="shared" si="18"/>
        <v>2/12</v>
      </c>
      <c r="G178" t="s">
        <v>19</v>
      </c>
      <c r="H178" t="str">
        <f t="shared" si="19"/>
        <v>Valid</v>
      </c>
      <c r="I178" t="s">
        <v>33</v>
      </c>
      <c r="J178" t="str">
        <f t="shared" si="20"/>
        <v>Kigoma Ujiji Mc</v>
      </c>
      <c r="K178" t="s">
        <v>21</v>
      </c>
      <c r="L178" t="str" cm="1">
        <f t="array" ref="L178">_xlfn.IFS(
ISNUMBER(SEARCH("ICU",K178)), "ICU",
ISNUMBER(SEARCH("NEONATAL",K178)), PROPER("NEONATAL"),
ISNUMBER(SEARCH("LABOUR",K178)), PROPER("LABOUR"),
ISNUMBER(SEARCH("PAEDIATRIC",K178)), PROPER("PAEDIATRIC"),
ISNUMBER(SEARCH("FEMALE SURGICAL",K178)), PROPER("FEMALE SURG, ORTHO &amp; GYN"),
ISNUMBER(SEARCH("PSYCHIATRIST",K178)), PROPER("PSYCHIATRIST"),
ISNUMBER(SEARCH("GRADE 1",K178)), PROPER("GRADE 1"),
ISNUMBER(SEARCH("MALE SURGICAL",K178)), PROPER("MALE SURG &amp; ORTHOPEDIC"),
ISNUMBER(SEARCH("MALE MEDICAL",K178)), PROPER("MALE MEDICAL"),
ISNUMBER(SEARCH("GRADE 2",K178)), PROPER("GRADE 2"),
ISNUMBER(SEARCH("FEMALE WARD",K178)), PROPER("FEMALE MEDICAL"),
TRUE, "Unmapped: " &amp; K178)</f>
        <v>Neonatal</v>
      </c>
      <c r="M178" t="s">
        <v>22</v>
      </c>
      <c r="O178" t="s">
        <v>785</v>
      </c>
      <c r="P178" t="str">
        <f t="shared" si="21"/>
        <v>Text Error</v>
      </c>
      <c r="Q178" s="5">
        <v>46021.563252314816</v>
      </c>
      <c r="R178" t="str">
        <f t="shared" si="22"/>
        <v>Valid Date</v>
      </c>
      <c r="S178" t="s">
        <v>786</v>
      </c>
      <c r="T178" s="5">
        <v>46032.603668981479</v>
      </c>
      <c r="U178">
        <v>11</v>
      </c>
      <c r="V178" t="str">
        <f t="shared" si="23"/>
        <v>OK</v>
      </c>
      <c r="W178" t="s">
        <v>25</v>
      </c>
      <c r="Y178" t="s">
        <v>30</v>
      </c>
    </row>
    <row r="179" spans="1:25" x14ac:dyDescent="0.25">
      <c r="A179" t="s">
        <v>787</v>
      </c>
      <c r="B179" t="str">
        <f t="shared" si="17"/>
        <v>Elias N Kafashe</v>
      </c>
      <c r="C179">
        <v>126999</v>
      </c>
      <c r="D179" t="str">
        <f t="shared" si="16"/>
        <v>Unique</v>
      </c>
      <c r="E179" t="s">
        <v>788</v>
      </c>
      <c r="F179" s="3">
        <f t="shared" si="18"/>
        <v>72</v>
      </c>
      <c r="G179" t="s">
        <v>19</v>
      </c>
      <c r="H179" t="str">
        <f t="shared" si="19"/>
        <v>Valid</v>
      </c>
      <c r="I179" t="s">
        <v>260</v>
      </c>
      <c r="J179" t="str">
        <f t="shared" si="20"/>
        <v>Kasulu</v>
      </c>
      <c r="K179" t="s">
        <v>685</v>
      </c>
      <c r="L179" t="str" cm="1">
        <f t="array" ref="L179">_xlfn.IFS(
ISNUMBER(SEARCH("ICU",K179)), "ICU",
ISNUMBER(SEARCH("NEONATAL",K179)), PROPER("NEONATAL"),
ISNUMBER(SEARCH("LABOUR",K179)), PROPER("LABOUR"),
ISNUMBER(SEARCH("PAEDIATRIC",K179)), PROPER("PAEDIATRIC"),
ISNUMBER(SEARCH("FEMALE SURGICAL",K179)), PROPER("FEMALE SURG, ORTHO &amp; GYN"),
ISNUMBER(SEARCH("PSYCHIATRIST",K179)), PROPER("PSYCHIATRIST"),
ISNUMBER(SEARCH("GRADE 1",K179)), PROPER("GRADE 1"),
ISNUMBER(SEARCH("MALE SURGICAL",K179)), PROPER("MALE SURG &amp; ORTHOPEDIC"),
ISNUMBER(SEARCH("MALE MEDICAL",K179)), PROPER("MALE MEDICAL"),
ISNUMBER(SEARCH("GRADE 2",K179)), PROPER("GRADE 2"),
ISNUMBER(SEARCH("FEMALE WARD",K179)), PROPER("FEMALE MEDICAL"),
TRUE, "Unmapped: " &amp; K179)</f>
        <v>Grade 2</v>
      </c>
      <c r="M179" t="s">
        <v>292</v>
      </c>
      <c r="O179" t="s">
        <v>789</v>
      </c>
      <c r="P179" t="str">
        <f t="shared" si="21"/>
        <v>Text Error</v>
      </c>
      <c r="Q179" s="5">
        <v>46023.651423611111</v>
      </c>
      <c r="R179" t="str">
        <f t="shared" si="22"/>
        <v>Valid Date</v>
      </c>
      <c r="S179" t="s">
        <v>790</v>
      </c>
      <c r="T179" s="5">
        <v>46035.426145833335</v>
      </c>
      <c r="U179">
        <v>11</v>
      </c>
      <c r="V179" t="str">
        <f t="shared" si="23"/>
        <v>OK</v>
      </c>
      <c r="W179" t="s">
        <v>211</v>
      </c>
      <c r="Y179" t="s">
        <v>30</v>
      </c>
    </row>
    <row r="180" spans="1:25" x14ac:dyDescent="0.25">
      <c r="A180" t="s">
        <v>791</v>
      </c>
      <c r="B180" t="str">
        <f t="shared" si="17"/>
        <v>Asia Juma Kagoma</v>
      </c>
      <c r="C180">
        <v>127206</v>
      </c>
      <c r="D180" t="str">
        <f t="shared" si="16"/>
        <v>Duplicate</v>
      </c>
      <c r="E180" t="s">
        <v>142</v>
      </c>
      <c r="F180" s="3">
        <f t="shared" si="18"/>
        <v>20</v>
      </c>
      <c r="G180" t="s">
        <v>32</v>
      </c>
      <c r="H180" t="str">
        <f t="shared" si="19"/>
        <v>Valid</v>
      </c>
      <c r="I180" t="s">
        <v>33</v>
      </c>
      <c r="J180" t="str">
        <f t="shared" si="20"/>
        <v>Kigoma Ujiji Mc</v>
      </c>
      <c r="K180" t="s">
        <v>40</v>
      </c>
      <c r="L180" t="str" cm="1">
        <f t="array" ref="L180">_xlfn.IFS(
ISNUMBER(SEARCH("ICU",K180)), "ICU",
ISNUMBER(SEARCH("NEONATAL",K180)), PROPER("NEONATAL"),
ISNUMBER(SEARCH("LABOUR",K180)), PROPER("LABOUR"),
ISNUMBER(SEARCH("PAEDIATRIC",K180)), PROPER("PAEDIATRIC"),
ISNUMBER(SEARCH("FEMALE SURGICAL",K180)), PROPER("FEMALE SURG, ORTHO &amp; GYN"),
ISNUMBER(SEARCH("PSYCHIATRIST",K180)), PROPER("PSYCHIATRIST"),
ISNUMBER(SEARCH("GRADE 1",K180)), PROPER("GRADE 1"),
ISNUMBER(SEARCH("MALE SURGICAL",K180)), PROPER("MALE SURG &amp; ORTHOPEDIC"),
ISNUMBER(SEARCH("MALE MEDICAL",K180)), PROPER("MALE MEDICAL"),
ISNUMBER(SEARCH("GRADE 2",K180)), PROPER("GRADE 2"),
ISNUMBER(SEARCH("FEMALE WARD",K180)), PROPER("FEMALE MEDICAL"),
TRUE, "Unmapped: " &amp; K180)</f>
        <v>Labour</v>
      </c>
      <c r="M180" t="s">
        <v>22</v>
      </c>
      <c r="O180" t="s">
        <v>792</v>
      </c>
      <c r="P180" t="str">
        <f t="shared" si="21"/>
        <v>Text Error</v>
      </c>
      <c r="Q180" s="5">
        <v>46026.33221064815</v>
      </c>
      <c r="R180" t="str">
        <f t="shared" si="22"/>
        <v>Valid Date</v>
      </c>
      <c r="S180" t="s">
        <v>793</v>
      </c>
      <c r="T180" s="5">
        <v>46037.602037037039</v>
      </c>
      <c r="U180">
        <v>11</v>
      </c>
      <c r="V180" t="str">
        <f t="shared" si="23"/>
        <v>OK</v>
      </c>
      <c r="W180" t="s">
        <v>25</v>
      </c>
      <c r="Y180" t="s">
        <v>30</v>
      </c>
    </row>
    <row r="181" spans="1:25" x14ac:dyDescent="0.25">
      <c r="A181" t="s">
        <v>794</v>
      </c>
      <c r="B181" t="str">
        <f t="shared" si="17"/>
        <v>Mwanne Salum Mwami</v>
      </c>
      <c r="C181">
        <v>127555</v>
      </c>
      <c r="D181" t="str">
        <f t="shared" si="16"/>
        <v>Unique</v>
      </c>
      <c r="E181" t="s">
        <v>68</v>
      </c>
      <c r="F181" s="3">
        <f t="shared" si="18"/>
        <v>32</v>
      </c>
      <c r="G181" t="s">
        <v>32</v>
      </c>
      <c r="H181" t="str">
        <f t="shared" si="19"/>
        <v>Valid</v>
      </c>
      <c r="I181" t="s">
        <v>33</v>
      </c>
      <c r="J181" t="str">
        <f t="shared" si="20"/>
        <v>Kigoma Ujiji Mc</v>
      </c>
      <c r="K181" t="s">
        <v>40</v>
      </c>
      <c r="L181" t="str" cm="1">
        <f t="array" ref="L181">_xlfn.IFS(
ISNUMBER(SEARCH("ICU",K181)), "ICU",
ISNUMBER(SEARCH("NEONATAL",K181)), PROPER("NEONATAL"),
ISNUMBER(SEARCH("LABOUR",K181)), PROPER("LABOUR"),
ISNUMBER(SEARCH("PAEDIATRIC",K181)), PROPER("PAEDIATRIC"),
ISNUMBER(SEARCH("FEMALE SURGICAL",K181)), PROPER("FEMALE SURG, ORTHO &amp; GYN"),
ISNUMBER(SEARCH("PSYCHIATRIST",K181)), PROPER("PSYCHIATRIST"),
ISNUMBER(SEARCH("GRADE 1",K181)), PROPER("GRADE 1"),
ISNUMBER(SEARCH("MALE SURGICAL",K181)), PROPER("MALE SURG &amp; ORTHOPEDIC"),
ISNUMBER(SEARCH("MALE MEDICAL",K181)), PROPER("MALE MEDICAL"),
ISNUMBER(SEARCH("GRADE 2",K181)), PROPER("GRADE 2"),
ISNUMBER(SEARCH("FEMALE WARD",K181)), PROPER("FEMALE MEDICAL"),
TRUE, "Unmapped: " &amp; K181)</f>
        <v>Labour</v>
      </c>
      <c r="M181" t="s">
        <v>22</v>
      </c>
      <c r="O181" t="s">
        <v>795</v>
      </c>
      <c r="P181" t="str">
        <f t="shared" si="21"/>
        <v>Text Error</v>
      </c>
      <c r="Q181" s="5">
        <v>46028.87841435185</v>
      </c>
      <c r="R181" t="str">
        <f t="shared" si="22"/>
        <v>Valid Date</v>
      </c>
      <c r="S181" t="s">
        <v>796</v>
      </c>
      <c r="T181" s="5">
        <v>46040.681030092594</v>
      </c>
      <c r="U181">
        <v>11</v>
      </c>
      <c r="V181" t="str">
        <f t="shared" si="23"/>
        <v>OK</v>
      </c>
      <c r="W181" t="s">
        <v>25</v>
      </c>
      <c r="Y181" t="s">
        <v>30</v>
      </c>
    </row>
    <row r="182" spans="1:25" x14ac:dyDescent="0.25">
      <c r="A182" t="s">
        <v>797</v>
      </c>
      <c r="B182" t="str">
        <f t="shared" si="17"/>
        <v>Paulina Ammani Daudi</v>
      </c>
      <c r="C182">
        <v>128054</v>
      </c>
      <c r="D182" t="str">
        <f t="shared" si="16"/>
        <v>Unique</v>
      </c>
      <c r="E182" t="s">
        <v>454</v>
      </c>
      <c r="F182" s="3">
        <f t="shared" si="18"/>
        <v>3</v>
      </c>
      <c r="G182" t="s">
        <v>32</v>
      </c>
      <c r="H182" t="str">
        <f t="shared" si="19"/>
        <v>Valid</v>
      </c>
      <c r="I182" t="s">
        <v>20</v>
      </c>
      <c r="J182" t="str">
        <f t="shared" si="20"/>
        <v>Uvinza</v>
      </c>
      <c r="K182" t="s">
        <v>109</v>
      </c>
      <c r="L182" t="str" cm="1">
        <f t="array" ref="L182">_xlfn.IFS(
ISNUMBER(SEARCH("ICU",K182)), "ICU",
ISNUMBER(SEARCH("NEONATAL",K182)), PROPER("NEONATAL"),
ISNUMBER(SEARCH("LABOUR",K182)), PROPER("LABOUR"),
ISNUMBER(SEARCH("PAEDIATRIC",K182)), PROPER("PAEDIATRIC"),
ISNUMBER(SEARCH("FEMALE SURGICAL",K182)), PROPER("FEMALE SURG, ORTHO &amp; GYN"),
ISNUMBER(SEARCH("PSYCHIATRIST",K182)), PROPER("PSYCHIATRIST"),
ISNUMBER(SEARCH("GRADE 1",K182)), PROPER("GRADE 1"),
ISNUMBER(SEARCH("MALE SURGICAL",K182)), PROPER("MALE SURG &amp; ORTHOPEDIC"),
ISNUMBER(SEARCH("MALE MEDICAL",K182)), PROPER("MALE MEDICAL"),
ISNUMBER(SEARCH("GRADE 2",K182)), PROPER("GRADE 2"),
ISNUMBER(SEARCH("FEMALE WARD",K182)), PROPER("FEMALE MEDICAL"),
TRUE, "Unmapped: " &amp; K182)</f>
        <v>Paediatric</v>
      </c>
      <c r="M182" t="s">
        <v>22</v>
      </c>
      <c r="O182" t="s">
        <v>798</v>
      </c>
      <c r="P182" t="str">
        <f t="shared" si="21"/>
        <v>Text Error</v>
      </c>
      <c r="Q182" s="5">
        <v>46034.006979166668</v>
      </c>
      <c r="R182" t="str">
        <f t="shared" si="22"/>
        <v>Valid Date</v>
      </c>
      <c r="S182" t="s">
        <v>799</v>
      </c>
      <c r="T182" s="5">
        <v>46045.664571759262</v>
      </c>
      <c r="U182">
        <v>11</v>
      </c>
      <c r="V182" t="str">
        <f t="shared" si="23"/>
        <v>OK</v>
      </c>
      <c r="W182" t="s">
        <v>112</v>
      </c>
      <c r="Y182" t="s">
        <v>30</v>
      </c>
    </row>
    <row r="183" spans="1:25" x14ac:dyDescent="0.25">
      <c r="A183" t="s">
        <v>800</v>
      </c>
      <c r="B183" t="str">
        <f t="shared" si="17"/>
        <v>Nashiru Hamisi Sadiki</v>
      </c>
      <c r="C183">
        <v>126286</v>
      </c>
      <c r="D183" t="str">
        <f t="shared" si="16"/>
        <v>Unique</v>
      </c>
      <c r="E183" t="s">
        <v>86</v>
      </c>
      <c r="F183" s="3">
        <f t="shared" si="18"/>
        <v>23</v>
      </c>
      <c r="G183" t="s">
        <v>19</v>
      </c>
      <c r="H183" t="str">
        <f t="shared" si="19"/>
        <v>Valid</v>
      </c>
      <c r="I183" t="s">
        <v>33</v>
      </c>
      <c r="J183" t="str">
        <f t="shared" si="20"/>
        <v>Kigoma Ujiji Mc</v>
      </c>
      <c r="K183" t="s">
        <v>428</v>
      </c>
      <c r="L183" t="str" cm="1">
        <f t="array" ref="L183">_xlfn.IFS(
ISNUMBER(SEARCH("ICU",K183)), "ICU",
ISNUMBER(SEARCH("NEONATAL",K183)), PROPER("NEONATAL"),
ISNUMBER(SEARCH("LABOUR",K183)), PROPER("LABOUR"),
ISNUMBER(SEARCH("PAEDIATRIC",K183)), PROPER("PAEDIATRIC"),
ISNUMBER(SEARCH("FEMALE SURGICAL",K183)), PROPER("FEMALE SURG, ORTHO &amp; GYN"),
ISNUMBER(SEARCH("PSYCHIATRIST",K183)), PROPER("PSYCHIATRIST"),
ISNUMBER(SEARCH("GRADE 1",K183)), PROPER("GRADE 1"),
ISNUMBER(SEARCH("MALE SURGICAL",K183)), PROPER("MALE SURG &amp; ORTHOPEDIC"),
ISNUMBER(SEARCH("MALE MEDICAL",K183)), PROPER("MALE MEDICAL"),
ISNUMBER(SEARCH("GRADE 2",K183)), PROPER("GRADE 2"),
ISNUMBER(SEARCH("FEMALE WARD",K183)), PROPER("FEMALE MEDICAL"),
TRUE, "Unmapped: " &amp; K183)</f>
        <v>Male Surg &amp; Orthopedic</v>
      </c>
      <c r="M183" t="s">
        <v>22</v>
      </c>
      <c r="O183" t="s">
        <v>801</v>
      </c>
      <c r="P183" t="str">
        <f t="shared" si="21"/>
        <v>Text Error</v>
      </c>
      <c r="Q183" s="5">
        <v>46015.242847222224</v>
      </c>
      <c r="R183" t="str">
        <f t="shared" si="22"/>
        <v>Valid Date</v>
      </c>
      <c r="S183" t="s">
        <v>802</v>
      </c>
      <c r="T183" s="5">
        <v>46025.775810185187</v>
      </c>
      <c r="U183">
        <v>10</v>
      </c>
      <c r="V183" t="str">
        <f t="shared" si="23"/>
        <v>OK</v>
      </c>
      <c r="W183" t="s">
        <v>25</v>
      </c>
      <c r="Y183" t="s">
        <v>30</v>
      </c>
    </row>
    <row r="184" spans="1:25" x14ac:dyDescent="0.25">
      <c r="A184" t="s">
        <v>803</v>
      </c>
      <c r="B184" t="str">
        <f t="shared" si="17"/>
        <v>Asia Yamungu Mubili</v>
      </c>
      <c r="C184">
        <v>111986</v>
      </c>
      <c r="D184" t="str">
        <f t="shared" si="16"/>
        <v>Unique</v>
      </c>
      <c r="E184" t="s">
        <v>804</v>
      </c>
      <c r="F184" s="3">
        <f t="shared" si="18"/>
        <v>85</v>
      </c>
      <c r="G184" t="s">
        <v>32</v>
      </c>
      <c r="H184" t="str">
        <f t="shared" si="19"/>
        <v>Valid</v>
      </c>
      <c r="I184" t="s">
        <v>33</v>
      </c>
      <c r="J184" t="str">
        <f t="shared" si="20"/>
        <v>Kigoma Ujiji Mc</v>
      </c>
      <c r="K184" t="s">
        <v>685</v>
      </c>
      <c r="L184" t="str" cm="1">
        <f t="array" ref="L184">_xlfn.IFS(
ISNUMBER(SEARCH("ICU",K184)), "ICU",
ISNUMBER(SEARCH("NEONATAL",K184)), PROPER("NEONATAL"),
ISNUMBER(SEARCH("LABOUR",K184)), PROPER("LABOUR"),
ISNUMBER(SEARCH("PAEDIATRIC",K184)), PROPER("PAEDIATRIC"),
ISNUMBER(SEARCH("FEMALE SURGICAL",K184)), PROPER("FEMALE SURG, ORTHO &amp; GYN"),
ISNUMBER(SEARCH("PSYCHIATRIST",K184)), PROPER("PSYCHIATRIST"),
ISNUMBER(SEARCH("GRADE 1",K184)), PROPER("GRADE 1"),
ISNUMBER(SEARCH("MALE SURGICAL",K184)), PROPER("MALE SURG &amp; ORTHOPEDIC"),
ISNUMBER(SEARCH("MALE MEDICAL",K184)), PROPER("MALE MEDICAL"),
ISNUMBER(SEARCH("GRADE 2",K184)), PROPER("GRADE 2"),
ISNUMBER(SEARCH("FEMALE WARD",K184)), PROPER("FEMALE MEDICAL"),
TRUE, "Unmapped: " &amp; K184)</f>
        <v>Grade 2</v>
      </c>
      <c r="M184" t="s">
        <v>22</v>
      </c>
      <c r="O184" t="s">
        <v>805</v>
      </c>
      <c r="P184" t="str">
        <f t="shared" si="21"/>
        <v>Text Error</v>
      </c>
      <c r="Q184" s="5">
        <v>46024.722870370373</v>
      </c>
      <c r="R184" t="str">
        <f t="shared" si="22"/>
        <v>Valid Date</v>
      </c>
      <c r="S184" t="s">
        <v>806</v>
      </c>
      <c r="T184" s="5">
        <v>46035.426678240743</v>
      </c>
      <c r="U184">
        <v>10</v>
      </c>
      <c r="V184" t="str">
        <f t="shared" si="23"/>
        <v>OK</v>
      </c>
      <c r="W184" t="s">
        <v>211</v>
      </c>
      <c r="Y184" t="s">
        <v>30</v>
      </c>
    </row>
    <row r="185" spans="1:25" x14ac:dyDescent="0.25">
      <c r="A185" t="s">
        <v>808</v>
      </c>
      <c r="B185" t="str">
        <f t="shared" si="17"/>
        <v>Fadhili Jumanne Iddy</v>
      </c>
      <c r="C185">
        <v>127100</v>
      </c>
      <c r="D185" t="str">
        <f t="shared" si="16"/>
        <v>Unique</v>
      </c>
      <c r="E185" t="s">
        <v>18</v>
      </c>
      <c r="F185" s="3">
        <f t="shared" si="18"/>
        <v>1</v>
      </c>
      <c r="G185" t="s">
        <v>19</v>
      </c>
      <c r="H185" t="str">
        <f t="shared" si="19"/>
        <v>Valid</v>
      </c>
      <c r="I185" t="s">
        <v>33</v>
      </c>
      <c r="J185" t="str">
        <f t="shared" si="20"/>
        <v>Kigoma Ujiji Mc</v>
      </c>
      <c r="K185" t="s">
        <v>109</v>
      </c>
      <c r="L185" t="str" cm="1">
        <f t="array" ref="L185">_xlfn.IFS(
ISNUMBER(SEARCH("ICU",K185)), "ICU",
ISNUMBER(SEARCH("NEONATAL",K185)), PROPER("NEONATAL"),
ISNUMBER(SEARCH("LABOUR",K185)), PROPER("LABOUR"),
ISNUMBER(SEARCH("PAEDIATRIC",K185)), PROPER("PAEDIATRIC"),
ISNUMBER(SEARCH("FEMALE SURGICAL",K185)), PROPER("FEMALE SURG, ORTHO &amp; GYN"),
ISNUMBER(SEARCH("PSYCHIATRIST",K185)), PROPER("PSYCHIATRIST"),
ISNUMBER(SEARCH("GRADE 1",K185)), PROPER("GRADE 1"),
ISNUMBER(SEARCH("MALE SURGICAL",K185)), PROPER("MALE SURG &amp; ORTHOPEDIC"),
ISNUMBER(SEARCH("MALE MEDICAL",K185)), PROPER("MALE MEDICAL"),
ISNUMBER(SEARCH("GRADE 2",K185)), PROPER("GRADE 2"),
ISNUMBER(SEARCH("FEMALE WARD",K185)), PROPER("FEMALE MEDICAL"),
TRUE, "Unmapped: " &amp; K185)</f>
        <v>Paediatric</v>
      </c>
      <c r="M185" t="s">
        <v>22</v>
      </c>
      <c r="O185" t="s">
        <v>809</v>
      </c>
      <c r="P185" t="str">
        <f t="shared" si="21"/>
        <v>Text Error</v>
      </c>
      <c r="Q185" s="5">
        <v>46024.984861111108</v>
      </c>
      <c r="R185" t="str">
        <f t="shared" si="22"/>
        <v>Valid Date</v>
      </c>
      <c r="S185" t="s">
        <v>810</v>
      </c>
      <c r="T185" s="5">
        <v>46035.552361111113</v>
      </c>
      <c r="U185">
        <v>10</v>
      </c>
      <c r="V185" t="str">
        <f t="shared" si="23"/>
        <v>OK</v>
      </c>
      <c r="W185" t="s">
        <v>397</v>
      </c>
      <c r="Y185" t="s">
        <v>30</v>
      </c>
    </row>
    <row r="186" spans="1:25" x14ac:dyDescent="0.25">
      <c r="A186" t="s">
        <v>812</v>
      </c>
      <c r="B186" t="str">
        <f t="shared" si="17"/>
        <v>Baby Of Situmai Juma Mganza</v>
      </c>
      <c r="C186">
        <v>128292</v>
      </c>
      <c r="D186" t="str">
        <f t="shared" si="16"/>
        <v>Unique</v>
      </c>
      <c r="E186" t="s">
        <v>622</v>
      </c>
      <c r="F186" s="3" t="str">
        <f t="shared" si="18"/>
        <v>2/12</v>
      </c>
      <c r="G186" t="s">
        <v>32</v>
      </c>
      <c r="H186" t="str">
        <f t="shared" si="19"/>
        <v>Valid</v>
      </c>
      <c r="I186" t="s">
        <v>20</v>
      </c>
      <c r="J186" t="str">
        <f t="shared" si="20"/>
        <v>Uvinza</v>
      </c>
      <c r="K186" t="s">
        <v>21</v>
      </c>
      <c r="L186" t="str" cm="1">
        <f t="array" ref="L186">_xlfn.IFS(
ISNUMBER(SEARCH("ICU",K186)), "ICU",
ISNUMBER(SEARCH("NEONATAL",K186)), PROPER("NEONATAL"),
ISNUMBER(SEARCH("LABOUR",K186)), PROPER("LABOUR"),
ISNUMBER(SEARCH("PAEDIATRIC",K186)), PROPER("PAEDIATRIC"),
ISNUMBER(SEARCH("FEMALE SURGICAL",K186)), PROPER("FEMALE SURG, ORTHO &amp; GYN"),
ISNUMBER(SEARCH("PSYCHIATRIST",K186)), PROPER("PSYCHIATRIST"),
ISNUMBER(SEARCH("GRADE 1",K186)), PROPER("GRADE 1"),
ISNUMBER(SEARCH("MALE SURGICAL",K186)), PROPER("MALE SURG &amp; ORTHOPEDIC"),
ISNUMBER(SEARCH("MALE MEDICAL",K186)), PROPER("MALE MEDICAL"),
ISNUMBER(SEARCH("GRADE 2",K186)), PROPER("GRADE 2"),
ISNUMBER(SEARCH("FEMALE WARD",K186)), PROPER("FEMALE MEDICAL"),
TRUE, "Unmapped: " &amp; K186)</f>
        <v>Neonatal</v>
      </c>
      <c r="M186" t="s">
        <v>22</v>
      </c>
      <c r="O186" t="s">
        <v>813</v>
      </c>
      <c r="P186" t="str">
        <f t="shared" si="21"/>
        <v>Text Error</v>
      </c>
      <c r="Q186" s="5">
        <v>46035.731898148151</v>
      </c>
      <c r="R186" t="str">
        <f t="shared" si="22"/>
        <v>Valid Date</v>
      </c>
      <c r="S186" t="s">
        <v>814</v>
      </c>
      <c r="T186" s="5">
        <v>46045.733217592591</v>
      </c>
      <c r="U186">
        <v>10</v>
      </c>
      <c r="V186" t="str">
        <f t="shared" si="23"/>
        <v>OK</v>
      </c>
      <c r="W186" t="s">
        <v>211</v>
      </c>
      <c r="Y186" t="s">
        <v>30</v>
      </c>
    </row>
    <row r="187" spans="1:25" x14ac:dyDescent="0.25">
      <c r="A187" t="s">
        <v>815</v>
      </c>
      <c r="B187" t="str">
        <f t="shared" si="17"/>
        <v>Zurfa S Makula</v>
      </c>
      <c r="C187">
        <v>108840</v>
      </c>
      <c r="D187" t="str">
        <f t="shared" si="16"/>
        <v>Unique</v>
      </c>
      <c r="E187" t="s">
        <v>816</v>
      </c>
      <c r="F187" s="3">
        <f t="shared" si="18"/>
        <v>63</v>
      </c>
      <c r="G187" t="s">
        <v>32</v>
      </c>
      <c r="H187" t="str">
        <f t="shared" si="19"/>
        <v>Valid</v>
      </c>
      <c r="I187" t="s">
        <v>33</v>
      </c>
      <c r="J187" t="str">
        <f t="shared" si="20"/>
        <v>Kigoma Ujiji Mc</v>
      </c>
      <c r="K187" t="s">
        <v>700</v>
      </c>
      <c r="L187" t="str" cm="1">
        <f t="array" ref="L187">_xlfn.IFS(
ISNUMBER(SEARCH("ICU",K187)), "ICU",
ISNUMBER(SEARCH("NEONATAL",K187)), PROPER("NEONATAL"),
ISNUMBER(SEARCH("LABOUR",K187)), PROPER("LABOUR"),
ISNUMBER(SEARCH("PAEDIATRIC",K187)), PROPER("PAEDIATRIC"),
ISNUMBER(SEARCH("FEMALE SURGICAL",K187)), PROPER("FEMALE SURG, ORTHO &amp; GYN"),
ISNUMBER(SEARCH("PSYCHIATRIST",K187)), PROPER("PSYCHIATRIST"),
ISNUMBER(SEARCH("GRADE 1",K187)), PROPER("GRADE 1"),
ISNUMBER(SEARCH("MALE SURGICAL",K187)), PROPER("MALE SURG &amp; ORTHOPEDIC"),
ISNUMBER(SEARCH("MALE MEDICAL",K187)), PROPER("MALE MEDICAL"),
ISNUMBER(SEARCH("GRADE 2",K187)), PROPER("GRADE 2"),
ISNUMBER(SEARCH("FEMALE WARD",K187)), PROPER("FEMALE MEDICAL"),
TRUE, "Unmapped: " &amp; K187)</f>
        <v>Female Medical</v>
      </c>
      <c r="M187" t="s">
        <v>394</v>
      </c>
      <c r="O187" t="s">
        <v>817</v>
      </c>
      <c r="P187" t="str">
        <f t="shared" si="21"/>
        <v>Text Error</v>
      </c>
      <c r="Q187" s="5">
        <v>46040.913923611108</v>
      </c>
      <c r="R187" t="str">
        <f t="shared" si="22"/>
        <v>Valid Date</v>
      </c>
      <c r="S187" t="s">
        <v>818</v>
      </c>
      <c r="T187" s="5">
        <v>46051.60665509259</v>
      </c>
      <c r="U187">
        <v>10</v>
      </c>
      <c r="V187" t="str">
        <f t="shared" si="23"/>
        <v>OK</v>
      </c>
      <c r="W187" t="s">
        <v>397</v>
      </c>
      <c r="Y187" t="s">
        <v>30</v>
      </c>
    </row>
    <row r="188" spans="1:25" x14ac:dyDescent="0.25">
      <c r="A188" t="s">
        <v>819</v>
      </c>
      <c r="B188" t="str">
        <f t="shared" si="17"/>
        <v>Baby Of Vaileth Meshaki Paul</v>
      </c>
      <c r="C188">
        <v>128792</v>
      </c>
      <c r="D188" t="str">
        <f t="shared" si="16"/>
        <v>Unique</v>
      </c>
      <c r="E188" t="s">
        <v>622</v>
      </c>
      <c r="F188" s="3" t="str">
        <f t="shared" si="18"/>
        <v>2/12</v>
      </c>
      <c r="G188" t="s">
        <v>19</v>
      </c>
      <c r="H188" t="str">
        <f t="shared" si="19"/>
        <v>Valid</v>
      </c>
      <c r="I188" t="s">
        <v>260</v>
      </c>
      <c r="J188" t="str">
        <f t="shared" si="20"/>
        <v>Kasulu</v>
      </c>
      <c r="K188" t="s">
        <v>21</v>
      </c>
      <c r="L188" t="str" cm="1">
        <f t="array" ref="L188">_xlfn.IFS(
ISNUMBER(SEARCH("ICU",K188)), "ICU",
ISNUMBER(SEARCH("NEONATAL",K188)), PROPER("NEONATAL"),
ISNUMBER(SEARCH("LABOUR",K188)), PROPER("LABOUR"),
ISNUMBER(SEARCH("PAEDIATRIC",K188)), PROPER("PAEDIATRIC"),
ISNUMBER(SEARCH("FEMALE SURGICAL",K188)), PROPER("FEMALE SURG, ORTHO &amp; GYN"),
ISNUMBER(SEARCH("PSYCHIATRIST",K188)), PROPER("PSYCHIATRIST"),
ISNUMBER(SEARCH("GRADE 1",K188)), PROPER("GRADE 1"),
ISNUMBER(SEARCH("MALE SURGICAL",K188)), PROPER("MALE SURG &amp; ORTHOPEDIC"),
ISNUMBER(SEARCH("MALE MEDICAL",K188)), PROPER("MALE MEDICAL"),
ISNUMBER(SEARCH("GRADE 2",K188)), PROPER("GRADE 2"),
ISNUMBER(SEARCH("FEMALE WARD",K188)), PROPER("FEMALE MEDICAL"),
TRUE, "Unmapped: " &amp; K188)</f>
        <v>Neonatal</v>
      </c>
      <c r="M188" t="s">
        <v>22</v>
      </c>
      <c r="O188" t="s">
        <v>820</v>
      </c>
      <c r="P188" t="str">
        <f t="shared" si="21"/>
        <v>Text Error</v>
      </c>
      <c r="Q188" s="5">
        <v>46041.031273148146</v>
      </c>
      <c r="R188" t="str">
        <f t="shared" si="22"/>
        <v>Valid Date</v>
      </c>
      <c r="S188" t="s">
        <v>821</v>
      </c>
      <c r="T188" s="5">
        <v>46051.438888888886</v>
      </c>
      <c r="U188">
        <v>10</v>
      </c>
      <c r="V188" t="str">
        <f t="shared" si="23"/>
        <v>OK</v>
      </c>
      <c r="W188" t="s">
        <v>211</v>
      </c>
      <c r="Y188" t="s">
        <v>30</v>
      </c>
    </row>
    <row r="189" spans="1:25" x14ac:dyDescent="0.25">
      <c r="A189" t="s">
        <v>822</v>
      </c>
      <c r="B189" t="str">
        <f t="shared" si="17"/>
        <v>Yovina Nkeza Hana</v>
      </c>
      <c r="C189">
        <v>128926</v>
      </c>
      <c r="D189" t="str">
        <f t="shared" si="16"/>
        <v>Unique</v>
      </c>
      <c r="E189" t="s">
        <v>823</v>
      </c>
      <c r="F189" s="3">
        <f t="shared" si="18"/>
        <v>69</v>
      </c>
      <c r="G189" t="s">
        <v>32</v>
      </c>
      <c r="H189" t="str">
        <f t="shared" si="19"/>
        <v>Valid</v>
      </c>
      <c r="I189" t="s">
        <v>130</v>
      </c>
      <c r="J189" t="str">
        <f t="shared" si="20"/>
        <v>Buhigwe</v>
      </c>
      <c r="K189" t="s">
        <v>123</v>
      </c>
      <c r="L189" t="str" cm="1">
        <f t="array" ref="L189">_xlfn.IFS(
ISNUMBER(SEARCH("ICU",K189)), "ICU",
ISNUMBER(SEARCH("NEONATAL",K189)), PROPER("NEONATAL"),
ISNUMBER(SEARCH("LABOUR",K189)), PROPER("LABOUR"),
ISNUMBER(SEARCH("PAEDIATRIC",K189)), PROPER("PAEDIATRIC"),
ISNUMBER(SEARCH("FEMALE SURGICAL",K189)), PROPER("FEMALE SURG, ORTHO &amp; GYN"),
ISNUMBER(SEARCH("PSYCHIATRIST",K189)), PROPER("PSYCHIATRIST"),
ISNUMBER(SEARCH("GRADE 1",K189)), PROPER("GRADE 1"),
ISNUMBER(SEARCH("MALE SURGICAL",K189)), PROPER("MALE SURG &amp; ORTHOPEDIC"),
ISNUMBER(SEARCH("MALE MEDICAL",K189)), PROPER("MALE MEDICAL"),
ISNUMBER(SEARCH("GRADE 2",K189)), PROPER("GRADE 2"),
ISNUMBER(SEARCH("FEMALE WARD",K189)), PROPER("FEMALE MEDICAL"),
TRUE, "Unmapped: " &amp; K189)</f>
        <v>Female Surg, Ortho &amp; Gyn</v>
      </c>
      <c r="M189" t="s">
        <v>22</v>
      </c>
      <c r="O189" t="s">
        <v>824</v>
      </c>
      <c r="P189" t="str">
        <f t="shared" si="21"/>
        <v>Text Error</v>
      </c>
      <c r="Q189" s="5">
        <v>46041.895601851851</v>
      </c>
      <c r="R189" t="str">
        <f t="shared" si="22"/>
        <v>Valid Date</v>
      </c>
      <c r="S189" t="s">
        <v>825</v>
      </c>
      <c r="T189" s="5">
        <v>46052.531122685185</v>
      </c>
      <c r="U189">
        <v>10</v>
      </c>
      <c r="V189" t="str">
        <f t="shared" si="23"/>
        <v>OK</v>
      </c>
      <c r="W189" t="s">
        <v>211</v>
      </c>
      <c r="Y189" t="s">
        <v>30</v>
      </c>
    </row>
    <row r="190" spans="1:25" x14ac:dyDescent="0.25">
      <c r="A190" t="s">
        <v>826</v>
      </c>
      <c r="B190" t="str">
        <f t="shared" si="17"/>
        <v>Sophia Lutabila Ntabwa</v>
      </c>
      <c r="C190">
        <v>126362</v>
      </c>
      <c r="D190" t="str">
        <f t="shared" si="16"/>
        <v>Unique</v>
      </c>
      <c r="E190" t="s">
        <v>450</v>
      </c>
      <c r="F190" s="3">
        <f t="shared" si="18"/>
        <v>45</v>
      </c>
      <c r="G190" t="s">
        <v>32</v>
      </c>
      <c r="H190" t="str">
        <f t="shared" si="19"/>
        <v>Valid</v>
      </c>
      <c r="I190" t="s">
        <v>62</v>
      </c>
      <c r="J190" t="str">
        <f t="shared" si="20"/>
        <v>Kigoma Vijijini</v>
      </c>
      <c r="K190" t="s">
        <v>40</v>
      </c>
      <c r="L190" t="str" cm="1">
        <f t="array" ref="L190">_xlfn.IFS(
ISNUMBER(SEARCH("ICU",K190)), "ICU",
ISNUMBER(SEARCH("NEONATAL",K190)), PROPER("NEONATAL"),
ISNUMBER(SEARCH("LABOUR",K190)), PROPER("LABOUR"),
ISNUMBER(SEARCH("PAEDIATRIC",K190)), PROPER("PAEDIATRIC"),
ISNUMBER(SEARCH("FEMALE SURGICAL",K190)), PROPER("FEMALE SURG, ORTHO &amp; GYN"),
ISNUMBER(SEARCH("PSYCHIATRIST",K190)), PROPER("PSYCHIATRIST"),
ISNUMBER(SEARCH("GRADE 1",K190)), PROPER("GRADE 1"),
ISNUMBER(SEARCH("MALE SURGICAL",K190)), PROPER("MALE SURG &amp; ORTHOPEDIC"),
ISNUMBER(SEARCH("MALE MEDICAL",K190)), PROPER("MALE MEDICAL"),
ISNUMBER(SEARCH("GRADE 2",K190)), PROPER("GRADE 2"),
ISNUMBER(SEARCH("FEMALE WARD",K190)), PROPER("FEMALE MEDICAL"),
TRUE, "Unmapped: " &amp; K190)</f>
        <v>Labour</v>
      </c>
      <c r="M190" t="s">
        <v>22</v>
      </c>
      <c r="O190" t="s">
        <v>827</v>
      </c>
      <c r="P190" t="str">
        <f t="shared" si="21"/>
        <v>Text Error</v>
      </c>
      <c r="Q190" s="5">
        <v>46015.650960648149</v>
      </c>
      <c r="R190" t="str">
        <f t="shared" si="22"/>
        <v>Valid Date</v>
      </c>
      <c r="S190" t="s">
        <v>828</v>
      </c>
      <c r="T190" s="5">
        <v>46024.746631944443</v>
      </c>
      <c r="U190">
        <v>9</v>
      </c>
      <c r="V190" t="str">
        <f t="shared" si="23"/>
        <v>OK</v>
      </c>
      <c r="W190" t="s">
        <v>25</v>
      </c>
      <c r="Y190" t="s">
        <v>30</v>
      </c>
    </row>
    <row r="191" spans="1:25" x14ac:dyDescent="0.25">
      <c r="A191" t="s">
        <v>829</v>
      </c>
      <c r="B191" t="str">
        <f t="shared" si="17"/>
        <v>Dickson Ernest Batuvya</v>
      </c>
      <c r="C191">
        <v>126405</v>
      </c>
      <c r="D191" t="str">
        <f t="shared" si="16"/>
        <v>Unique</v>
      </c>
      <c r="E191" t="s">
        <v>285</v>
      </c>
      <c r="F191" s="3">
        <f t="shared" si="18"/>
        <v>38</v>
      </c>
      <c r="G191" t="s">
        <v>19</v>
      </c>
      <c r="H191" t="str">
        <f t="shared" si="19"/>
        <v>Valid</v>
      </c>
      <c r="I191" t="s">
        <v>33</v>
      </c>
      <c r="J191" t="str">
        <f t="shared" si="20"/>
        <v>Kigoma Ujiji Mc</v>
      </c>
      <c r="K191" t="s">
        <v>484</v>
      </c>
      <c r="L191" t="str" cm="1">
        <f t="array" ref="L191">_xlfn.IFS(
ISNUMBER(SEARCH("ICU",K191)), "ICU",
ISNUMBER(SEARCH("NEONATAL",K191)), PROPER("NEONATAL"),
ISNUMBER(SEARCH("LABOUR",K191)), PROPER("LABOUR"),
ISNUMBER(SEARCH("PAEDIATRIC",K191)), PROPER("PAEDIATRIC"),
ISNUMBER(SEARCH("FEMALE SURGICAL",K191)), PROPER("FEMALE SURG, ORTHO &amp; GYN"),
ISNUMBER(SEARCH("PSYCHIATRIST",K191)), PROPER("PSYCHIATRIST"),
ISNUMBER(SEARCH("GRADE 1",K191)), PROPER("GRADE 1"),
ISNUMBER(SEARCH("MALE SURGICAL",K191)), PROPER("MALE SURG &amp; ORTHOPEDIC"),
ISNUMBER(SEARCH("MALE MEDICAL",K191)), PROPER("MALE MEDICAL"),
ISNUMBER(SEARCH("GRADE 2",K191)), PROPER("GRADE 2"),
ISNUMBER(SEARCH("FEMALE WARD",K191)), PROPER("FEMALE MEDICAL"),
TRUE, "Unmapped: " &amp; K191)</f>
        <v>Male Medical</v>
      </c>
      <c r="M191" t="s">
        <v>22</v>
      </c>
      <c r="O191" t="s">
        <v>830</v>
      </c>
      <c r="P191" t="str">
        <f t="shared" si="21"/>
        <v>Text Error</v>
      </c>
      <c r="Q191" s="5">
        <v>46016.73636574074</v>
      </c>
      <c r="R191" t="str">
        <f t="shared" si="22"/>
        <v>Valid Date</v>
      </c>
      <c r="S191" t="s">
        <v>831</v>
      </c>
      <c r="T191" s="5">
        <v>46026.691192129627</v>
      </c>
      <c r="U191">
        <v>9</v>
      </c>
      <c r="V191" t="str">
        <f t="shared" si="23"/>
        <v>OK</v>
      </c>
      <c r="W191" t="s">
        <v>25</v>
      </c>
      <c r="Y191" t="s">
        <v>30</v>
      </c>
    </row>
    <row r="192" spans="1:25" x14ac:dyDescent="0.25">
      <c r="A192" t="s">
        <v>832</v>
      </c>
      <c r="B192" t="str">
        <f t="shared" si="17"/>
        <v>Anna Emmanuel Emmanuel</v>
      </c>
      <c r="C192">
        <v>127180</v>
      </c>
      <c r="D192" t="str">
        <f t="shared" si="16"/>
        <v>Unique</v>
      </c>
      <c r="E192" t="s">
        <v>61</v>
      </c>
      <c r="F192" s="3">
        <f t="shared" si="18"/>
        <v>29</v>
      </c>
      <c r="G192" t="s">
        <v>32</v>
      </c>
      <c r="H192" t="str">
        <f t="shared" si="19"/>
        <v>Valid</v>
      </c>
      <c r="I192" t="s">
        <v>260</v>
      </c>
      <c r="J192" t="str">
        <f t="shared" si="20"/>
        <v>Kasulu</v>
      </c>
      <c r="K192" t="s">
        <v>123</v>
      </c>
      <c r="L192" t="str" cm="1">
        <f t="array" ref="L192">_xlfn.IFS(
ISNUMBER(SEARCH("ICU",K192)), "ICU",
ISNUMBER(SEARCH("NEONATAL",K192)), PROPER("NEONATAL"),
ISNUMBER(SEARCH("LABOUR",K192)), PROPER("LABOUR"),
ISNUMBER(SEARCH("PAEDIATRIC",K192)), PROPER("PAEDIATRIC"),
ISNUMBER(SEARCH("FEMALE SURGICAL",K192)), PROPER("FEMALE SURG, ORTHO &amp; GYN"),
ISNUMBER(SEARCH("PSYCHIATRIST",K192)), PROPER("PSYCHIATRIST"),
ISNUMBER(SEARCH("GRADE 1",K192)), PROPER("GRADE 1"),
ISNUMBER(SEARCH("MALE SURGICAL",K192)), PROPER("MALE SURG &amp; ORTHOPEDIC"),
ISNUMBER(SEARCH("MALE MEDICAL",K192)), PROPER("MALE MEDICAL"),
ISNUMBER(SEARCH("GRADE 2",K192)), PROPER("GRADE 2"),
ISNUMBER(SEARCH("FEMALE WARD",K192)), PROPER("FEMALE MEDICAL"),
TRUE, "Unmapped: " &amp; K192)</f>
        <v>Female Surg, Ortho &amp; Gyn</v>
      </c>
      <c r="M192" t="s">
        <v>22</v>
      </c>
      <c r="O192" t="s">
        <v>833</v>
      </c>
      <c r="P192" t="str">
        <f t="shared" si="21"/>
        <v>Text Error</v>
      </c>
      <c r="Q192" s="5">
        <v>46025.836967592593</v>
      </c>
      <c r="R192" t="str">
        <f t="shared" si="22"/>
        <v>Valid Date</v>
      </c>
      <c r="S192" t="s">
        <v>834</v>
      </c>
      <c r="T192" s="5">
        <v>46035.753483796296</v>
      </c>
      <c r="U192">
        <v>9</v>
      </c>
      <c r="V192" t="str">
        <f t="shared" si="23"/>
        <v>OK</v>
      </c>
      <c r="W192" t="s">
        <v>25</v>
      </c>
      <c r="Y192" t="s">
        <v>30</v>
      </c>
    </row>
    <row r="193" spans="1:25" x14ac:dyDescent="0.25">
      <c r="A193" t="s">
        <v>835</v>
      </c>
      <c r="B193" t="str">
        <f t="shared" si="17"/>
        <v>Zainabu Bilali Oled</v>
      </c>
      <c r="C193">
        <v>110539</v>
      </c>
      <c r="D193" t="str">
        <f t="shared" si="16"/>
        <v>Unique</v>
      </c>
      <c r="E193" t="s">
        <v>646</v>
      </c>
      <c r="F193" s="3">
        <f t="shared" si="18"/>
        <v>6</v>
      </c>
      <c r="G193" t="s">
        <v>32</v>
      </c>
      <c r="H193" t="str">
        <f t="shared" si="19"/>
        <v>Valid</v>
      </c>
      <c r="I193" t="s">
        <v>20</v>
      </c>
      <c r="J193" t="str">
        <f t="shared" si="20"/>
        <v>Uvinza</v>
      </c>
      <c r="K193" t="s">
        <v>109</v>
      </c>
      <c r="L193" t="str" cm="1">
        <f t="array" ref="L193">_xlfn.IFS(
ISNUMBER(SEARCH("ICU",K193)), "ICU",
ISNUMBER(SEARCH("NEONATAL",K193)), PROPER("NEONATAL"),
ISNUMBER(SEARCH("LABOUR",K193)), PROPER("LABOUR"),
ISNUMBER(SEARCH("PAEDIATRIC",K193)), PROPER("PAEDIATRIC"),
ISNUMBER(SEARCH("FEMALE SURGICAL",K193)), PROPER("FEMALE SURG, ORTHO &amp; GYN"),
ISNUMBER(SEARCH("PSYCHIATRIST",K193)), PROPER("PSYCHIATRIST"),
ISNUMBER(SEARCH("GRADE 1",K193)), PROPER("GRADE 1"),
ISNUMBER(SEARCH("MALE SURGICAL",K193)), PROPER("MALE SURG &amp; ORTHOPEDIC"),
ISNUMBER(SEARCH("MALE MEDICAL",K193)), PROPER("MALE MEDICAL"),
ISNUMBER(SEARCH("GRADE 2",K193)), PROPER("GRADE 2"),
ISNUMBER(SEARCH("FEMALE WARD",K193)), PROPER("FEMALE MEDICAL"),
TRUE, "Unmapped: " &amp; K193)</f>
        <v>Paediatric</v>
      </c>
      <c r="M193" t="s">
        <v>22</v>
      </c>
      <c r="O193" t="s">
        <v>836</v>
      </c>
      <c r="P193" t="str">
        <f t="shared" si="21"/>
        <v>Text Error</v>
      </c>
      <c r="Q193" s="5">
        <v>46025.923298611109</v>
      </c>
      <c r="R193" t="str">
        <f t="shared" si="22"/>
        <v>Valid Date</v>
      </c>
      <c r="S193" t="s">
        <v>837</v>
      </c>
      <c r="T193" s="5">
        <v>46035.526712962965</v>
      </c>
      <c r="U193">
        <v>9</v>
      </c>
      <c r="V193" t="str">
        <f t="shared" si="23"/>
        <v>OK</v>
      </c>
      <c r="W193" t="s">
        <v>25</v>
      </c>
      <c r="Y193" t="s">
        <v>30</v>
      </c>
    </row>
    <row r="194" spans="1:25" x14ac:dyDescent="0.25">
      <c r="A194" t="s">
        <v>838</v>
      </c>
      <c r="B194" t="str">
        <f t="shared" si="17"/>
        <v>Rehema Evarist Kayanda</v>
      </c>
      <c r="C194">
        <v>127220</v>
      </c>
      <c r="D194" t="str">
        <f t="shared" ref="D194:D257" si="24">IF(COUNTIF($C$2:$C$905,C194)&gt;1,"Duplicate","Unique")</f>
        <v>Unique</v>
      </c>
      <c r="E194" t="s">
        <v>68</v>
      </c>
      <c r="F194" s="3">
        <f t="shared" si="18"/>
        <v>32</v>
      </c>
      <c r="G194" t="s">
        <v>32</v>
      </c>
      <c r="H194" t="str">
        <f t="shared" si="19"/>
        <v>Valid</v>
      </c>
      <c r="I194" t="s">
        <v>33</v>
      </c>
      <c r="J194" t="str">
        <f t="shared" si="20"/>
        <v>Kigoma Ujiji Mc</v>
      </c>
      <c r="K194" t="s">
        <v>40</v>
      </c>
      <c r="L194" t="str" cm="1">
        <f t="array" ref="L194">_xlfn.IFS(
ISNUMBER(SEARCH("ICU",K194)), "ICU",
ISNUMBER(SEARCH("NEONATAL",K194)), PROPER("NEONATAL"),
ISNUMBER(SEARCH("LABOUR",K194)), PROPER("LABOUR"),
ISNUMBER(SEARCH("PAEDIATRIC",K194)), PROPER("PAEDIATRIC"),
ISNUMBER(SEARCH("FEMALE SURGICAL",K194)), PROPER("FEMALE SURG, ORTHO &amp; GYN"),
ISNUMBER(SEARCH("PSYCHIATRIST",K194)), PROPER("PSYCHIATRIST"),
ISNUMBER(SEARCH("GRADE 1",K194)), PROPER("GRADE 1"),
ISNUMBER(SEARCH("MALE SURGICAL",K194)), PROPER("MALE SURG &amp; ORTHOPEDIC"),
ISNUMBER(SEARCH("MALE MEDICAL",K194)), PROPER("MALE MEDICAL"),
ISNUMBER(SEARCH("GRADE 2",K194)), PROPER("GRADE 2"),
ISNUMBER(SEARCH("FEMALE WARD",K194)), PROPER("FEMALE MEDICAL"),
TRUE, "Unmapped: " &amp; K194)</f>
        <v>Labour</v>
      </c>
      <c r="M194" t="s">
        <v>22</v>
      </c>
      <c r="O194" t="s">
        <v>839</v>
      </c>
      <c r="P194" t="str">
        <f t="shared" si="21"/>
        <v>Text Error</v>
      </c>
      <c r="Q194" s="5">
        <v>46026.576562499999</v>
      </c>
      <c r="R194" t="str">
        <f t="shared" si="22"/>
        <v>Valid Date</v>
      </c>
      <c r="S194" t="s">
        <v>840</v>
      </c>
      <c r="T194" s="5">
        <v>46035.589953703704</v>
      </c>
      <c r="U194">
        <v>9</v>
      </c>
      <c r="V194" t="str">
        <f t="shared" si="23"/>
        <v>OK</v>
      </c>
      <c r="W194" t="s">
        <v>25</v>
      </c>
      <c r="Y194" t="s">
        <v>30</v>
      </c>
    </row>
    <row r="195" spans="1:25" x14ac:dyDescent="0.25">
      <c r="A195" t="s">
        <v>841</v>
      </c>
      <c r="B195" t="str">
        <f t="shared" ref="B195:B258" si="25">IF(LEN(TRIM(A195))-LEN(SUBSTITUTE(TRIM(A195)," ",""))&gt;=1,TRIM(A195),"⚠ Only 1 name: "&amp;TRIM(A195))</f>
        <v>Mashaka Buruda Masalu</v>
      </c>
      <c r="C195">
        <v>127243</v>
      </c>
      <c r="D195" t="str">
        <f t="shared" si="24"/>
        <v>Unique</v>
      </c>
      <c r="E195" t="s">
        <v>68</v>
      </c>
      <c r="F195" s="3">
        <f t="shared" ref="F195:F258" si="26">IF(ISNUMBER(SEARCH("month",E195)), LEFT(E195,FIND(" ",E195)-1)&amp;"/12", VALUE(LEFT(E195,FIND(" ",E195)-1)))</f>
        <v>32</v>
      </c>
      <c r="G195" t="s">
        <v>19</v>
      </c>
      <c r="H195" t="str">
        <f t="shared" ref="H195:H258" si="27">IF(OR(TRIM(G195)="Male", TRIM(G195)="Female"), "Valid", "Inconsistent")</f>
        <v>Valid</v>
      </c>
      <c r="I195" t="s">
        <v>20</v>
      </c>
      <c r="J195" t="str">
        <f t="shared" ref="J195:J258" si="28">SUBSTITUTE(SUBSTITUTE(TRIM(CLEAN(I195)),"Manisipaa ya kigoma ujiji","Kigoma Ujiji Mc"),"Buhingwe","Buhigwe")</f>
        <v>Uvinza</v>
      </c>
      <c r="K195" t="s">
        <v>428</v>
      </c>
      <c r="L195" t="str" cm="1">
        <f t="array" ref="L195">_xlfn.IFS(
ISNUMBER(SEARCH("ICU",K195)), "ICU",
ISNUMBER(SEARCH("NEONATAL",K195)), PROPER("NEONATAL"),
ISNUMBER(SEARCH("LABOUR",K195)), PROPER("LABOUR"),
ISNUMBER(SEARCH("PAEDIATRIC",K195)), PROPER("PAEDIATRIC"),
ISNUMBER(SEARCH("FEMALE SURGICAL",K195)), PROPER("FEMALE SURG, ORTHO &amp; GYN"),
ISNUMBER(SEARCH("PSYCHIATRIST",K195)), PROPER("PSYCHIATRIST"),
ISNUMBER(SEARCH("GRADE 1",K195)), PROPER("GRADE 1"),
ISNUMBER(SEARCH("MALE SURGICAL",K195)), PROPER("MALE SURG &amp; ORTHOPEDIC"),
ISNUMBER(SEARCH("MALE MEDICAL",K195)), PROPER("MALE MEDICAL"),
ISNUMBER(SEARCH("GRADE 2",K195)), PROPER("GRADE 2"),
ISNUMBER(SEARCH("FEMALE WARD",K195)), PROPER("FEMALE MEDICAL"),
TRUE, "Unmapped: " &amp; K195)</f>
        <v>Male Surg &amp; Orthopedic</v>
      </c>
      <c r="M195" t="s">
        <v>22</v>
      </c>
      <c r="O195" t="s">
        <v>842</v>
      </c>
      <c r="P195" t="str">
        <f t="shared" ref="P195:P258" si="29">IF(ISNUMBER(O195), "Valid Date", "Text Error")</f>
        <v>Text Error</v>
      </c>
      <c r="Q195" s="5">
        <v>46026.85324074074</v>
      </c>
      <c r="R195" t="str">
        <f t="shared" ref="R195:R258" si="30">IF(ISNUMBER(Q195), "Valid Date", "Text Error")</f>
        <v>Valid Date</v>
      </c>
      <c r="S195" t="s">
        <v>843</v>
      </c>
      <c r="T195" s="5">
        <v>46036.458101851851</v>
      </c>
      <c r="U195">
        <v>9</v>
      </c>
      <c r="V195" t="str">
        <f t="shared" ref="V195:V258" si="31">IF(NOT(ISNUMBER(U195)), "Text Error", IF(U195&lt;0, "Negative", "OK"))</f>
        <v>OK</v>
      </c>
      <c r="W195" t="s">
        <v>211</v>
      </c>
      <c r="Y195" t="s">
        <v>30</v>
      </c>
    </row>
    <row r="196" spans="1:25" x14ac:dyDescent="0.25">
      <c r="A196" t="s">
        <v>844</v>
      </c>
      <c r="B196" t="str">
        <f t="shared" si="25"/>
        <v>Lawama Haruna Saidi</v>
      </c>
      <c r="C196">
        <v>124582</v>
      </c>
      <c r="D196" t="str">
        <f t="shared" si="24"/>
        <v>Unique</v>
      </c>
      <c r="E196" t="s">
        <v>614</v>
      </c>
      <c r="F196" s="3">
        <f t="shared" si="26"/>
        <v>43</v>
      </c>
      <c r="G196" t="s">
        <v>32</v>
      </c>
      <c r="H196" t="str">
        <f t="shared" si="27"/>
        <v>Valid</v>
      </c>
      <c r="I196" t="s">
        <v>20</v>
      </c>
      <c r="J196" t="str">
        <f t="shared" si="28"/>
        <v>Uvinza</v>
      </c>
      <c r="K196" t="s">
        <v>123</v>
      </c>
      <c r="L196" t="str" cm="1">
        <f t="array" ref="L196">_xlfn.IFS(
ISNUMBER(SEARCH("ICU",K196)), "ICU",
ISNUMBER(SEARCH("NEONATAL",K196)), PROPER("NEONATAL"),
ISNUMBER(SEARCH("LABOUR",K196)), PROPER("LABOUR"),
ISNUMBER(SEARCH("PAEDIATRIC",K196)), PROPER("PAEDIATRIC"),
ISNUMBER(SEARCH("FEMALE SURGICAL",K196)), PROPER("FEMALE SURG, ORTHO &amp; GYN"),
ISNUMBER(SEARCH("PSYCHIATRIST",K196)), PROPER("PSYCHIATRIST"),
ISNUMBER(SEARCH("GRADE 1",K196)), PROPER("GRADE 1"),
ISNUMBER(SEARCH("MALE SURGICAL",K196)), PROPER("MALE SURG &amp; ORTHOPEDIC"),
ISNUMBER(SEARCH("MALE MEDICAL",K196)), PROPER("MALE MEDICAL"),
ISNUMBER(SEARCH("GRADE 2",K196)), PROPER("GRADE 2"),
ISNUMBER(SEARCH("FEMALE WARD",K196)), PROPER("FEMALE MEDICAL"),
TRUE, "Unmapped: " &amp; K196)</f>
        <v>Female Surg, Ortho &amp; Gyn</v>
      </c>
      <c r="M196" t="s">
        <v>394</v>
      </c>
      <c r="O196" t="s">
        <v>845</v>
      </c>
      <c r="P196" t="str">
        <f t="shared" si="29"/>
        <v>Text Error</v>
      </c>
      <c r="Q196" s="5">
        <v>46028.579699074071</v>
      </c>
      <c r="R196" t="str">
        <f t="shared" si="30"/>
        <v>Valid Date</v>
      </c>
      <c r="S196" t="s">
        <v>846</v>
      </c>
      <c r="T196" s="5">
        <v>46037.615358796298</v>
      </c>
      <c r="U196">
        <v>9</v>
      </c>
      <c r="V196" t="str">
        <f t="shared" si="31"/>
        <v>OK</v>
      </c>
      <c r="W196" t="s">
        <v>25</v>
      </c>
      <c r="Y196" t="s">
        <v>30</v>
      </c>
    </row>
    <row r="197" spans="1:25" x14ac:dyDescent="0.25">
      <c r="A197" t="s">
        <v>847</v>
      </c>
      <c r="B197" t="str">
        <f t="shared" si="25"/>
        <v>Zuwena Yusuph Mvunye</v>
      </c>
      <c r="C197">
        <v>102055</v>
      </c>
      <c r="D197" t="str">
        <f t="shared" si="24"/>
        <v>Unique</v>
      </c>
      <c r="E197" t="s">
        <v>54</v>
      </c>
      <c r="F197" s="3">
        <f t="shared" si="26"/>
        <v>21</v>
      </c>
      <c r="G197" t="s">
        <v>32</v>
      </c>
      <c r="H197" t="str">
        <f t="shared" si="27"/>
        <v>Valid</v>
      </c>
      <c r="I197" t="s">
        <v>33</v>
      </c>
      <c r="J197" t="str">
        <f t="shared" si="28"/>
        <v>Kigoma Ujiji Mc</v>
      </c>
      <c r="K197" t="s">
        <v>123</v>
      </c>
      <c r="L197" t="str" cm="1">
        <f t="array" ref="L197">_xlfn.IFS(
ISNUMBER(SEARCH("ICU",K197)), "ICU",
ISNUMBER(SEARCH("NEONATAL",K197)), PROPER("NEONATAL"),
ISNUMBER(SEARCH("LABOUR",K197)), PROPER("LABOUR"),
ISNUMBER(SEARCH("PAEDIATRIC",K197)), PROPER("PAEDIATRIC"),
ISNUMBER(SEARCH("FEMALE SURGICAL",K197)), PROPER("FEMALE SURG, ORTHO &amp; GYN"),
ISNUMBER(SEARCH("PSYCHIATRIST",K197)), PROPER("PSYCHIATRIST"),
ISNUMBER(SEARCH("GRADE 1",K197)), PROPER("GRADE 1"),
ISNUMBER(SEARCH("MALE SURGICAL",K197)), PROPER("MALE SURG &amp; ORTHOPEDIC"),
ISNUMBER(SEARCH("MALE MEDICAL",K197)), PROPER("MALE MEDICAL"),
ISNUMBER(SEARCH("GRADE 2",K197)), PROPER("GRADE 2"),
ISNUMBER(SEARCH("FEMALE WARD",K197)), PROPER("FEMALE MEDICAL"),
TRUE, "Unmapped: " &amp; K197)</f>
        <v>Female Surg, Ortho &amp; Gyn</v>
      </c>
      <c r="M197" t="s">
        <v>22</v>
      </c>
      <c r="O197" t="s">
        <v>848</v>
      </c>
      <c r="P197" t="str">
        <f t="shared" si="29"/>
        <v>Text Error</v>
      </c>
      <c r="Q197" s="5">
        <v>46029.749675925923</v>
      </c>
      <c r="R197" t="str">
        <f t="shared" si="30"/>
        <v>Valid Date</v>
      </c>
      <c r="S197" t="s">
        <v>849</v>
      </c>
      <c r="T197" s="5">
        <v>46039.620011574072</v>
      </c>
      <c r="U197">
        <v>9</v>
      </c>
      <c r="V197" t="str">
        <f t="shared" si="31"/>
        <v>OK</v>
      </c>
      <c r="W197" t="s">
        <v>112</v>
      </c>
      <c r="Y197" t="s">
        <v>30</v>
      </c>
    </row>
    <row r="198" spans="1:25" x14ac:dyDescent="0.25">
      <c r="A198" t="s">
        <v>850</v>
      </c>
      <c r="B198" t="str">
        <f t="shared" si="25"/>
        <v>Rebecca Peter Ntibagiligwa</v>
      </c>
      <c r="C198">
        <v>2041</v>
      </c>
      <c r="D198" t="str">
        <f t="shared" si="24"/>
        <v>Unique</v>
      </c>
      <c r="E198" t="s">
        <v>851</v>
      </c>
      <c r="F198" s="3">
        <f t="shared" si="26"/>
        <v>62</v>
      </c>
      <c r="G198" t="s">
        <v>32</v>
      </c>
      <c r="H198" t="str">
        <f t="shared" si="27"/>
        <v>Valid</v>
      </c>
      <c r="I198" t="s">
        <v>754</v>
      </c>
      <c r="J198" t="str">
        <f t="shared" si="28"/>
        <v>KG</v>
      </c>
      <c r="K198" t="s">
        <v>685</v>
      </c>
      <c r="L198" t="str" cm="1">
        <f t="array" ref="L198">_xlfn.IFS(
ISNUMBER(SEARCH("ICU",K198)), "ICU",
ISNUMBER(SEARCH("NEONATAL",K198)), PROPER("NEONATAL"),
ISNUMBER(SEARCH("LABOUR",K198)), PROPER("LABOUR"),
ISNUMBER(SEARCH("PAEDIATRIC",K198)), PROPER("PAEDIATRIC"),
ISNUMBER(SEARCH("FEMALE SURGICAL",K198)), PROPER("FEMALE SURG, ORTHO &amp; GYN"),
ISNUMBER(SEARCH("PSYCHIATRIST",K198)), PROPER("PSYCHIATRIST"),
ISNUMBER(SEARCH("GRADE 1",K198)), PROPER("GRADE 1"),
ISNUMBER(SEARCH("MALE SURGICAL",K198)), PROPER("MALE SURG &amp; ORTHOPEDIC"),
ISNUMBER(SEARCH("MALE MEDICAL",K198)), PROPER("MALE MEDICAL"),
ISNUMBER(SEARCH("GRADE 2",K198)), PROPER("GRADE 2"),
ISNUMBER(SEARCH("FEMALE WARD",K198)), PROPER("FEMALE MEDICAL"),
TRUE, "Unmapped: " &amp; K198)</f>
        <v>Grade 2</v>
      </c>
      <c r="M198" t="s">
        <v>394</v>
      </c>
      <c r="O198" t="s">
        <v>852</v>
      </c>
      <c r="P198" t="str">
        <f t="shared" si="29"/>
        <v>Text Error</v>
      </c>
      <c r="Q198" s="5">
        <v>46033.528113425928</v>
      </c>
      <c r="R198" t="str">
        <f t="shared" si="30"/>
        <v>Valid Date</v>
      </c>
      <c r="S198" t="s">
        <v>853</v>
      </c>
      <c r="T198" s="5">
        <v>46042.537418981483</v>
      </c>
      <c r="U198">
        <v>9</v>
      </c>
      <c r="V198" t="str">
        <f t="shared" si="31"/>
        <v>OK</v>
      </c>
      <c r="W198" t="s">
        <v>25</v>
      </c>
      <c r="Y198" t="s">
        <v>30</v>
      </c>
    </row>
    <row r="199" spans="1:25" x14ac:dyDescent="0.25">
      <c r="A199" t="s">
        <v>854</v>
      </c>
      <c r="B199" t="str">
        <f t="shared" si="25"/>
        <v>Feyzullaah Yasin Hussein</v>
      </c>
      <c r="C199">
        <v>128545</v>
      </c>
      <c r="D199" t="str">
        <f t="shared" si="24"/>
        <v>Unique</v>
      </c>
      <c r="E199" t="s">
        <v>353</v>
      </c>
      <c r="F199" s="3">
        <f t="shared" si="26"/>
        <v>4</v>
      </c>
      <c r="G199" t="s">
        <v>19</v>
      </c>
      <c r="H199" t="str">
        <f t="shared" si="27"/>
        <v>Valid</v>
      </c>
      <c r="I199" t="s">
        <v>62</v>
      </c>
      <c r="J199" t="str">
        <f t="shared" si="28"/>
        <v>Kigoma Vijijini</v>
      </c>
      <c r="K199" t="s">
        <v>109</v>
      </c>
      <c r="L199" t="str" cm="1">
        <f t="array" ref="L199">_xlfn.IFS(
ISNUMBER(SEARCH("ICU",K199)), "ICU",
ISNUMBER(SEARCH("NEONATAL",K199)), PROPER("NEONATAL"),
ISNUMBER(SEARCH("LABOUR",K199)), PROPER("LABOUR"),
ISNUMBER(SEARCH("PAEDIATRIC",K199)), PROPER("PAEDIATRIC"),
ISNUMBER(SEARCH("FEMALE SURGICAL",K199)), PROPER("FEMALE SURG, ORTHO &amp; GYN"),
ISNUMBER(SEARCH("PSYCHIATRIST",K199)), PROPER("PSYCHIATRIST"),
ISNUMBER(SEARCH("GRADE 1",K199)), PROPER("GRADE 1"),
ISNUMBER(SEARCH("MALE SURGICAL",K199)), PROPER("MALE SURG &amp; ORTHOPEDIC"),
ISNUMBER(SEARCH("MALE MEDICAL",K199)), PROPER("MALE MEDICAL"),
ISNUMBER(SEARCH("GRADE 2",K199)), PROPER("GRADE 2"),
ISNUMBER(SEARCH("FEMALE WARD",K199)), PROPER("FEMALE MEDICAL"),
TRUE, "Unmapped: " &amp; K199)</f>
        <v>Paediatric</v>
      </c>
      <c r="M199" t="s">
        <v>22</v>
      </c>
      <c r="O199" t="s">
        <v>855</v>
      </c>
      <c r="P199" t="str">
        <f t="shared" si="29"/>
        <v>Text Error</v>
      </c>
      <c r="Q199" s="5">
        <v>46037.675497685188</v>
      </c>
      <c r="R199" t="str">
        <f t="shared" si="30"/>
        <v>Valid Date</v>
      </c>
      <c r="S199" t="s">
        <v>856</v>
      </c>
      <c r="T199" s="5">
        <v>46046.713136574072</v>
      </c>
      <c r="U199">
        <v>9</v>
      </c>
      <c r="V199" t="str">
        <f t="shared" si="31"/>
        <v>OK</v>
      </c>
      <c r="W199" t="s">
        <v>25</v>
      </c>
      <c r="Y199" t="s">
        <v>30</v>
      </c>
    </row>
    <row r="200" spans="1:25" x14ac:dyDescent="0.25">
      <c r="A200" t="s">
        <v>857</v>
      </c>
      <c r="B200" t="str">
        <f t="shared" si="25"/>
        <v>Julieta Paulo Bugalu</v>
      </c>
      <c r="C200">
        <v>128572</v>
      </c>
      <c r="D200" t="str">
        <f t="shared" si="24"/>
        <v>Unique</v>
      </c>
      <c r="E200" t="s">
        <v>474</v>
      </c>
      <c r="F200" s="3">
        <f t="shared" si="26"/>
        <v>53</v>
      </c>
      <c r="G200" t="s">
        <v>32</v>
      </c>
      <c r="H200" t="str">
        <f t="shared" si="27"/>
        <v>Valid</v>
      </c>
      <c r="I200" t="s">
        <v>130</v>
      </c>
      <c r="J200" t="str">
        <f t="shared" si="28"/>
        <v>Buhigwe</v>
      </c>
      <c r="K200" t="s">
        <v>123</v>
      </c>
      <c r="L200" t="str" cm="1">
        <f t="array" ref="L200">_xlfn.IFS(
ISNUMBER(SEARCH("ICU",K200)), "ICU",
ISNUMBER(SEARCH("NEONATAL",K200)), PROPER("NEONATAL"),
ISNUMBER(SEARCH("LABOUR",K200)), PROPER("LABOUR"),
ISNUMBER(SEARCH("PAEDIATRIC",K200)), PROPER("PAEDIATRIC"),
ISNUMBER(SEARCH("FEMALE SURGICAL",K200)), PROPER("FEMALE SURG, ORTHO &amp; GYN"),
ISNUMBER(SEARCH("PSYCHIATRIST",K200)), PROPER("PSYCHIATRIST"),
ISNUMBER(SEARCH("GRADE 1",K200)), PROPER("GRADE 1"),
ISNUMBER(SEARCH("MALE SURGICAL",K200)), PROPER("MALE SURG &amp; ORTHOPEDIC"),
ISNUMBER(SEARCH("MALE MEDICAL",K200)), PROPER("MALE MEDICAL"),
ISNUMBER(SEARCH("GRADE 2",K200)), PROPER("GRADE 2"),
ISNUMBER(SEARCH("FEMALE WARD",K200)), PROPER("FEMALE MEDICAL"),
TRUE, "Unmapped: " &amp; K200)</f>
        <v>Female Surg, Ortho &amp; Gyn</v>
      </c>
      <c r="M200" t="s">
        <v>22</v>
      </c>
      <c r="O200" t="s">
        <v>858</v>
      </c>
      <c r="P200" t="str">
        <f t="shared" si="29"/>
        <v>Text Error</v>
      </c>
      <c r="Q200" s="5">
        <v>46038.087453703702</v>
      </c>
      <c r="R200" t="str">
        <f t="shared" si="30"/>
        <v>Valid Date</v>
      </c>
      <c r="S200" t="s">
        <v>859</v>
      </c>
      <c r="T200" s="5">
        <v>46047.591585648152</v>
      </c>
      <c r="U200">
        <v>9</v>
      </c>
      <c r="V200" t="str">
        <f t="shared" si="31"/>
        <v>OK</v>
      </c>
      <c r="W200" t="s">
        <v>25</v>
      </c>
      <c r="Y200" t="s">
        <v>30</v>
      </c>
    </row>
    <row r="201" spans="1:25" x14ac:dyDescent="0.25">
      <c r="A201" t="s">
        <v>705</v>
      </c>
      <c r="B201" t="str">
        <f t="shared" si="25"/>
        <v>Raphael Fele Emmnuel</v>
      </c>
      <c r="C201">
        <v>126174</v>
      </c>
      <c r="D201" t="str">
        <f t="shared" si="24"/>
        <v>Duplicate</v>
      </c>
      <c r="E201" t="s">
        <v>353</v>
      </c>
      <c r="F201" s="3">
        <f t="shared" si="26"/>
        <v>4</v>
      </c>
      <c r="G201" t="s">
        <v>19</v>
      </c>
      <c r="H201" t="str">
        <f t="shared" si="27"/>
        <v>Valid</v>
      </c>
      <c r="I201" t="s">
        <v>33</v>
      </c>
      <c r="J201" t="str">
        <f t="shared" si="28"/>
        <v>Kigoma Ujiji Mc</v>
      </c>
      <c r="K201" t="s">
        <v>109</v>
      </c>
      <c r="L201" t="str" cm="1">
        <f t="array" ref="L201">_xlfn.IFS(
ISNUMBER(SEARCH("ICU",K201)), "ICU",
ISNUMBER(SEARCH("NEONATAL",K201)), PROPER("NEONATAL"),
ISNUMBER(SEARCH("LABOUR",K201)), PROPER("LABOUR"),
ISNUMBER(SEARCH("PAEDIATRIC",K201)), PROPER("PAEDIATRIC"),
ISNUMBER(SEARCH("FEMALE SURGICAL",K201)), PROPER("FEMALE SURG, ORTHO &amp; GYN"),
ISNUMBER(SEARCH("PSYCHIATRIST",K201)), PROPER("PSYCHIATRIST"),
ISNUMBER(SEARCH("GRADE 1",K201)), PROPER("GRADE 1"),
ISNUMBER(SEARCH("MALE SURGICAL",K201)), PROPER("MALE SURG &amp; ORTHOPEDIC"),
ISNUMBER(SEARCH("MALE MEDICAL",K201)), PROPER("MALE MEDICAL"),
ISNUMBER(SEARCH("GRADE 2",K201)), PROPER("GRADE 2"),
ISNUMBER(SEARCH("FEMALE WARD",K201)), PROPER("FEMALE MEDICAL"),
TRUE, "Unmapped: " &amp; K201)</f>
        <v>Paediatric</v>
      </c>
      <c r="M201" t="s">
        <v>22</v>
      </c>
      <c r="O201" t="s">
        <v>860</v>
      </c>
      <c r="P201" t="str">
        <f t="shared" si="29"/>
        <v>Text Error</v>
      </c>
      <c r="Q201" s="5">
        <v>46040.800636574073</v>
      </c>
      <c r="R201" t="str">
        <f t="shared" si="30"/>
        <v>Valid Date</v>
      </c>
      <c r="S201" t="s">
        <v>861</v>
      </c>
      <c r="T201" s="5">
        <v>46050.586192129631</v>
      </c>
      <c r="U201">
        <v>9</v>
      </c>
      <c r="V201" t="str">
        <f t="shared" si="31"/>
        <v>OK</v>
      </c>
      <c r="W201" t="s">
        <v>25</v>
      </c>
      <c r="Y201" t="s">
        <v>30</v>
      </c>
    </row>
    <row r="202" spans="1:25" x14ac:dyDescent="0.25">
      <c r="A202" t="s">
        <v>862</v>
      </c>
      <c r="B202" t="str">
        <f t="shared" si="25"/>
        <v>Elias Minani Mboneye</v>
      </c>
      <c r="C202">
        <v>106275</v>
      </c>
      <c r="D202" t="str">
        <f t="shared" si="24"/>
        <v>Unique</v>
      </c>
      <c r="E202" t="s">
        <v>863</v>
      </c>
      <c r="F202" s="3">
        <f t="shared" si="26"/>
        <v>77</v>
      </c>
      <c r="G202" t="s">
        <v>19</v>
      </c>
      <c r="H202" t="str">
        <f t="shared" si="27"/>
        <v>Valid</v>
      </c>
      <c r="I202" t="s">
        <v>33</v>
      </c>
      <c r="J202" t="str">
        <f t="shared" si="28"/>
        <v>Kigoma Ujiji Mc</v>
      </c>
      <c r="K202" t="s">
        <v>393</v>
      </c>
      <c r="L202" t="str" cm="1">
        <f t="array" ref="L202">_xlfn.IFS(
ISNUMBER(SEARCH("ICU",K202)), "ICU",
ISNUMBER(SEARCH("NEONATAL",K202)), PROPER("NEONATAL"),
ISNUMBER(SEARCH("LABOUR",K202)), PROPER("LABOUR"),
ISNUMBER(SEARCH("PAEDIATRIC",K202)), PROPER("PAEDIATRIC"),
ISNUMBER(SEARCH("FEMALE SURGICAL",K202)), PROPER("FEMALE SURG, ORTHO &amp; GYN"),
ISNUMBER(SEARCH("PSYCHIATRIST",K202)), PROPER("PSYCHIATRIST"),
ISNUMBER(SEARCH("GRADE 1",K202)), PROPER("GRADE 1"),
ISNUMBER(SEARCH("MALE SURGICAL",K202)), PROPER("MALE SURG &amp; ORTHOPEDIC"),
ISNUMBER(SEARCH("MALE MEDICAL",K202)), PROPER("MALE MEDICAL"),
ISNUMBER(SEARCH("GRADE 2",K202)), PROPER("GRADE 2"),
ISNUMBER(SEARCH("FEMALE WARD",K202)), PROPER("FEMALE MEDICAL"),
TRUE, "Unmapped: " &amp; K202)</f>
        <v>Grade 1</v>
      </c>
      <c r="M202" t="s">
        <v>394</v>
      </c>
      <c r="O202" t="s">
        <v>864</v>
      </c>
      <c r="P202" t="str">
        <f t="shared" si="29"/>
        <v>Text Error</v>
      </c>
      <c r="Q202" s="5">
        <v>46041.617222222223</v>
      </c>
      <c r="R202" t="str">
        <f t="shared" si="30"/>
        <v>Valid Date</v>
      </c>
      <c r="S202" t="s">
        <v>865</v>
      </c>
      <c r="T202" s="5">
        <v>46051.532835648148</v>
      </c>
      <c r="U202">
        <v>9</v>
      </c>
      <c r="V202" t="str">
        <f t="shared" si="31"/>
        <v>OK</v>
      </c>
      <c r="W202" t="s">
        <v>211</v>
      </c>
      <c r="Y202" t="s">
        <v>30</v>
      </c>
    </row>
    <row r="203" spans="1:25" x14ac:dyDescent="0.25">
      <c r="A203" t="s">
        <v>868</v>
      </c>
      <c r="B203" t="str">
        <f t="shared" si="25"/>
        <v>Kagoma Kintali Daniel</v>
      </c>
      <c r="C203">
        <v>80132</v>
      </c>
      <c r="D203" t="str">
        <f t="shared" si="24"/>
        <v>Unique</v>
      </c>
      <c r="E203" t="s">
        <v>869</v>
      </c>
      <c r="F203" s="3">
        <f t="shared" si="26"/>
        <v>73</v>
      </c>
      <c r="G203" t="s">
        <v>19</v>
      </c>
      <c r="H203" t="str">
        <f t="shared" si="27"/>
        <v>Valid</v>
      </c>
      <c r="I203" t="s">
        <v>20</v>
      </c>
      <c r="J203" t="str">
        <f t="shared" si="28"/>
        <v>Uvinza</v>
      </c>
      <c r="K203" t="s">
        <v>428</v>
      </c>
      <c r="L203" t="str" cm="1">
        <f t="array" ref="L203">_xlfn.IFS(
ISNUMBER(SEARCH("ICU",K203)), "ICU",
ISNUMBER(SEARCH("NEONATAL",K203)), PROPER("NEONATAL"),
ISNUMBER(SEARCH("LABOUR",K203)), PROPER("LABOUR"),
ISNUMBER(SEARCH("PAEDIATRIC",K203)), PROPER("PAEDIATRIC"),
ISNUMBER(SEARCH("FEMALE SURGICAL",K203)), PROPER("FEMALE SURG, ORTHO &amp; GYN"),
ISNUMBER(SEARCH("PSYCHIATRIST",K203)), PROPER("PSYCHIATRIST"),
ISNUMBER(SEARCH("GRADE 1",K203)), PROPER("GRADE 1"),
ISNUMBER(SEARCH("MALE SURGICAL",K203)), PROPER("MALE SURG &amp; ORTHOPEDIC"),
ISNUMBER(SEARCH("MALE MEDICAL",K203)), PROPER("MALE MEDICAL"),
ISNUMBER(SEARCH("GRADE 2",K203)), PROPER("GRADE 2"),
ISNUMBER(SEARCH("FEMALE WARD",K203)), PROPER("FEMALE MEDICAL"),
TRUE, "Unmapped: " &amp; K203)</f>
        <v>Male Surg &amp; Orthopedic</v>
      </c>
      <c r="M203" t="s">
        <v>394</v>
      </c>
      <c r="O203" t="s">
        <v>870</v>
      </c>
      <c r="P203" t="str">
        <f t="shared" si="29"/>
        <v>Text Error</v>
      </c>
      <c r="Q203" s="5">
        <v>46042.584282407406</v>
      </c>
      <c r="R203" t="str">
        <f t="shared" si="30"/>
        <v>Valid Date</v>
      </c>
      <c r="S203" t="s">
        <v>871</v>
      </c>
      <c r="T203" s="5">
        <v>46051.70239583333</v>
      </c>
      <c r="U203">
        <v>9</v>
      </c>
      <c r="V203" t="str">
        <f t="shared" si="31"/>
        <v>OK</v>
      </c>
      <c r="W203" t="s">
        <v>25</v>
      </c>
      <c r="Y203" t="s">
        <v>30</v>
      </c>
    </row>
    <row r="204" spans="1:25" x14ac:dyDescent="0.25">
      <c r="A204" t="s">
        <v>873</v>
      </c>
      <c r="B204" t="str">
        <f t="shared" si="25"/>
        <v>Marunde Masenya Dotto</v>
      </c>
      <c r="C204">
        <v>129074</v>
      </c>
      <c r="D204" t="str">
        <f t="shared" si="24"/>
        <v>Unique</v>
      </c>
      <c r="E204" t="s">
        <v>718</v>
      </c>
      <c r="F204" s="3">
        <f t="shared" si="26"/>
        <v>64</v>
      </c>
      <c r="G204" t="s">
        <v>19</v>
      </c>
      <c r="H204" t="str">
        <f t="shared" si="27"/>
        <v>Valid</v>
      </c>
      <c r="I204" t="s">
        <v>20</v>
      </c>
      <c r="J204" t="str">
        <f t="shared" si="28"/>
        <v>Uvinza</v>
      </c>
      <c r="K204" t="s">
        <v>428</v>
      </c>
      <c r="L204" t="str" cm="1">
        <f t="array" ref="L204">_xlfn.IFS(
ISNUMBER(SEARCH("ICU",K204)), "ICU",
ISNUMBER(SEARCH("NEONATAL",K204)), PROPER("NEONATAL"),
ISNUMBER(SEARCH("LABOUR",K204)), PROPER("LABOUR"),
ISNUMBER(SEARCH("PAEDIATRIC",K204)), PROPER("PAEDIATRIC"),
ISNUMBER(SEARCH("FEMALE SURGICAL",K204)), PROPER("FEMALE SURG, ORTHO &amp; GYN"),
ISNUMBER(SEARCH("PSYCHIATRIST",K204)), PROPER("PSYCHIATRIST"),
ISNUMBER(SEARCH("GRADE 1",K204)), PROPER("GRADE 1"),
ISNUMBER(SEARCH("MALE SURGICAL",K204)), PROPER("MALE SURG &amp; ORTHOPEDIC"),
ISNUMBER(SEARCH("MALE MEDICAL",K204)), PROPER("MALE MEDICAL"),
ISNUMBER(SEARCH("GRADE 2",K204)), PROPER("GRADE 2"),
ISNUMBER(SEARCH("FEMALE WARD",K204)), PROPER("FEMALE MEDICAL"),
TRUE, "Unmapped: " &amp; K204)</f>
        <v>Male Surg &amp; Orthopedic</v>
      </c>
      <c r="M204" t="s">
        <v>22</v>
      </c>
      <c r="O204" t="s">
        <v>874</v>
      </c>
      <c r="P204" t="str">
        <f t="shared" si="29"/>
        <v>Text Error</v>
      </c>
      <c r="Q204" s="5">
        <v>46042.817488425928</v>
      </c>
      <c r="R204" t="str">
        <f t="shared" si="30"/>
        <v>Valid Date</v>
      </c>
      <c r="S204" t="s">
        <v>875</v>
      </c>
      <c r="T204" s="5">
        <v>46052.579143518517</v>
      </c>
      <c r="U204">
        <v>9</v>
      </c>
      <c r="V204" t="str">
        <f t="shared" si="31"/>
        <v>OK</v>
      </c>
      <c r="W204" t="s">
        <v>112</v>
      </c>
      <c r="Y204" t="s">
        <v>30</v>
      </c>
    </row>
    <row r="205" spans="1:25" x14ac:dyDescent="0.25">
      <c r="A205" t="s">
        <v>877</v>
      </c>
      <c r="B205" t="str">
        <f t="shared" si="25"/>
        <v>Maisala Hemedy Said</v>
      </c>
      <c r="C205">
        <v>126289</v>
      </c>
      <c r="D205" t="str">
        <f t="shared" si="24"/>
        <v>Unique</v>
      </c>
      <c r="E205" t="s">
        <v>61</v>
      </c>
      <c r="F205" s="3">
        <f t="shared" si="26"/>
        <v>29</v>
      </c>
      <c r="G205" t="s">
        <v>32</v>
      </c>
      <c r="H205" t="str">
        <f t="shared" si="27"/>
        <v>Valid</v>
      </c>
      <c r="I205" t="s">
        <v>62</v>
      </c>
      <c r="J205" t="str">
        <f t="shared" si="28"/>
        <v>Kigoma Vijijini</v>
      </c>
      <c r="K205" t="s">
        <v>40</v>
      </c>
      <c r="L205" t="str" cm="1">
        <f t="array" ref="L205">_xlfn.IFS(
ISNUMBER(SEARCH("ICU",K205)), "ICU",
ISNUMBER(SEARCH("NEONATAL",K205)), PROPER("NEONATAL"),
ISNUMBER(SEARCH("LABOUR",K205)), PROPER("LABOUR"),
ISNUMBER(SEARCH("PAEDIATRIC",K205)), PROPER("PAEDIATRIC"),
ISNUMBER(SEARCH("FEMALE SURGICAL",K205)), PROPER("FEMALE SURG, ORTHO &amp; GYN"),
ISNUMBER(SEARCH("PSYCHIATRIST",K205)), PROPER("PSYCHIATRIST"),
ISNUMBER(SEARCH("GRADE 1",K205)), PROPER("GRADE 1"),
ISNUMBER(SEARCH("MALE SURGICAL",K205)), PROPER("MALE SURG &amp; ORTHOPEDIC"),
ISNUMBER(SEARCH("MALE MEDICAL",K205)), PROPER("MALE MEDICAL"),
ISNUMBER(SEARCH("GRADE 2",K205)), PROPER("GRADE 2"),
ISNUMBER(SEARCH("FEMALE WARD",K205)), PROPER("FEMALE MEDICAL"),
TRUE, "Unmapped: " &amp; K205)</f>
        <v>Labour</v>
      </c>
      <c r="M205" t="s">
        <v>22</v>
      </c>
      <c r="O205" t="s">
        <v>878</v>
      </c>
      <c r="P205" t="str">
        <f t="shared" si="29"/>
        <v>Text Error</v>
      </c>
      <c r="Q205" s="5">
        <v>46015.663634259261</v>
      </c>
      <c r="R205" t="str">
        <f t="shared" si="30"/>
        <v>Valid Date</v>
      </c>
      <c r="S205" t="s">
        <v>879</v>
      </c>
      <c r="T205" s="5">
        <v>46024.403402777774</v>
      </c>
      <c r="U205">
        <v>8</v>
      </c>
      <c r="V205" t="str">
        <f t="shared" si="31"/>
        <v>OK</v>
      </c>
      <c r="W205" t="s">
        <v>25</v>
      </c>
      <c r="Y205" t="s">
        <v>30</v>
      </c>
    </row>
    <row r="206" spans="1:25" x14ac:dyDescent="0.25">
      <c r="A206" t="s">
        <v>880</v>
      </c>
      <c r="B206" t="str">
        <f t="shared" si="25"/>
        <v>B/o Maisala 1 Hemedi Said</v>
      </c>
      <c r="C206">
        <v>126353</v>
      </c>
      <c r="D206" t="str">
        <f t="shared" si="24"/>
        <v>Unique</v>
      </c>
      <c r="E206" t="s">
        <v>622</v>
      </c>
      <c r="F206" s="3" t="str">
        <f t="shared" si="26"/>
        <v>2/12</v>
      </c>
      <c r="G206" t="s">
        <v>32</v>
      </c>
      <c r="H206" t="str">
        <f t="shared" si="27"/>
        <v>Valid</v>
      </c>
      <c r="I206" t="s">
        <v>62</v>
      </c>
      <c r="J206" t="str">
        <f t="shared" si="28"/>
        <v>Kigoma Vijijini</v>
      </c>
      <c r="K206" t="s">
        <v>21</v>
      </c>
      <c r="L206" t="str" cm="1">
        <f t="array" ref="L206">_xlfn.IFS(
ISNUMBER(SEARCH("ICU",K206)), "ICU",
ISNUMBER(SEARCH("NEONATAL",K206)), PROPER("NEONATAL"),
ISNUMBER(SEARCH("LABOUR",K206)), PROPER("LABOUR"),
ISNUMBER(SEARCH("PAEDIATRIC",K206)), PROPER("PAEDIATRIC"),
ISNUMBER(SEARCH("FEMALE SURGICAL",K206)), PROPER("FEMALE SURG, ORTHO &amp; GYN"),
ISNUMBER(SEARCH("PSYCHIATRIST",K206)), PROPER("PSYCHIATRIST"),
ISNUMBER(SEARCH("GRADE 1",K206)), PROPER("GRADE 1"),
ISNUMBER(SEARCH("MALE SURGICAL",K206)), PROPER("MALE SURG &amp; ORTHOPEDIC"),
ISNUMBER(SEARCH("MALE MEDICAL",K206)), PROPER("MALE MEDICAL"),
ISNUMBER(SEARCH("GRADE 2",K206)), PROPER("GRADE 2"),
ISNUMBER(SEARCH("FEMALE WARD",K206)), PROPER("FEMALE MEDICAL"),
TRUE, "Unmapped: " &amp; K206)</f>
        <v>Neonatal</v>
      </c>
      <c r="M206" t="s">
        <v>22</v>
      </c>
      <c r="O206" t="s">
        <v>881</v>
      </c>
      <c r="P206" t="str">
        <f t="shared" si="29"/>
        <v>Text Error</v>
      </c>
      <c r="Q206" s="5">
        <v>46015.884085648147</v>
      </c>
      <c r="R206" t="str">
        <f t="shared" si="30"/>
        <v>Valid Date</v>
      </c>
      <c r="S206" t="s">
        <v>882</v>
      </c>
      <c r="T206" s="5">
        <v>46024.398738425924</v>
      </c>
      <c r="U206">
        <v>8</v>
      </c>
      <c r="V206" t="str">
        <f t="shared" si="31"/>
        <v>OK</v>
      </c>
      <c r="W206" t="s">
        <v>25</v>
      </c>
      <c r="Y206" t="s">
        <v>30</v>
      </c>
    </row>
    <row r="207" spans="1:25" x14ac:dyDescent="0.25">
      <c r="A207" t="s">
        <v>883</v>
      </c>
      <c r="B207" t="str">
        <f t="shared" si="25"/>
        <v>Ramadhan Maulidi Mwehero</v>
      </c>
      <c r="C207">
        <v>60471</v>
      </c>
      <c r="D207" t="str">
        <f t="shared" si="24"/>
        <v>Unique</v>
      </c>
      <c r="E207" t="s">
        <v>884</v>
      </c>
      <c r="F207" s="3">
        <f t="shared" si="26"/>
        <v>70</v>
      </c>
      <c r="G207" t="s">
        <v>19</v>
      </c>
      <c r="H207" t="str">
        <f t="shared" si="27"/>
        <v>Valid</v>
      </c>
      <c r="I207" t="s">
        <v>227</v>
      </c>
      <c r="J207" t="str">
        <f t="shared" si="28"/>
        <v>KGG</v>
      </c>
      <c r="K207" t="s">
        <v>484</v>
      </c>
      <c r="L207" t="str" cm="1">
        <f t="array" ref="L207">_xlfn.IFS(
ISNUMBER(SEARCH("ICU",K207)), "ICU",
ISNUMBER(SEARCH("NEONATAL",K207)), PROPER("NEONATAL"),
ISNUMBER(SEARCH("LABOUR",K207)), PROPER("LABOUR"),
ISNUMBER(SEARCH("PAEDIATRIC",K207)), PROPER("PAEDIATRIC"),
ISNUMBER(SEARCH("FEMALE SURGICAL",K207)), PROPER("FEMALE SURG, ORTHO &amp; GYN"),
ISNUMBER(SEARCH("PSYCHIATRIST",K207)), PROPER("PSYCHIATRIST"),
ISNUMBER(SEARCH("GRADE 1",K207)), PROPER("GRADE 1"),
ISNUMBER(SEARCH("MALE SURGICAL",K207)), PROPER("MALE SURG &amp; ORTHOPEDIC"),
ISNUMBER(SEARCH("MALE MEDICAL",K207)), PROPER("MALE MEDICAL"),
ISNUMBER(SEARCH("GRADE 2",K207)), PROPER("GRADE 2"),
ISNUMBER(SEARCH("FEMALE WARD",K207)), PROPER("FEMALE MEDICAL"),
TRUE, "Unmapped: " &amp; K207)</f>
        <v>Male Medical</v>
      </c>
      <c r="M207" t="s">
        <v>22</v>
      </c>
      <c r="O207" t="s">
        <v>885</v>
      </c>
      <c r="P207" t="str">
        <f t="shared" si="29"/>
        <v>Text Error</v>
      </c>
      <c r="Q207" s="5">
        <v>46016.6169212963</v>
      </c>
      <c r="R207" t="str">
        <f t="shared" si="30"/>
        <v>Valid Date</v>
      </c>
      <c r="S207" t="s">
        <v>886</v>
      </c>
      <c r="T207" s="5">
        <v>46024.729849537034</v>
      </c>
      <c r="U207">
        <v>8</v>
      </c>
      <c r="V207" t="str">
        <f t="shared" si="31"/>
        <v>OK</v>
      </c>
      <c r="W207" t="s">
        <v>25</v>
      </c>
      <c r="Y207" t="s">
        <v>30</v>
      </c>
    </row>
    <row r="208" spans="1:25" x14ac:dyDescent="0.25">
      <c r="A208" t="s">
        <v>887</v>
      </c>
      <c r="B208" t="str">
        <f t="shared" si="25"/>
        <v>Imani Morisi Lucasi</v>
      </c>
      <c r="C208">
        <v>126600</v>
      </c>
      <c r="D208" t="str">
        <f t="shared" si="24"/>
        <v>Unique</v>
      </c>
      <c r="E208" t="s">
        <v>541</v>
      </c>
      <c r="F208" s="3">
        <f t="shared" si="26"/>
        <v>42</v>
      </c>
      <c r="G208" t="s">
        <v>32</v>
      </c>
      <c r="H208" t="str">
        <f t="shared" si="27"/>
        <v>Valid</v>
      </c>
      <c r="I208" t="s">
        <v>33</v>
      </c>
      <c r="J208" t="str">
        <f t="shared" si="28"/>
        <v>Kigoma Ujiji Mc</v>
      </c>
      <c r="K208" t="s">
        <v>700</v>
      </c>
      <c r="L208" t="str" cm="1">
        <f t="array" ref="L208">_xlfn.IFS(
ISNUMBER(SEARCH("ICU",K208)), "ICU",
ISNUMBER(SEARCH("NEONATAL",K208)), PROPER("NEONATAL"),
ISNUMBER(SEARCH("LABOUR",K208)), PROPER("LABOUR"),
ISNUMBER(SEARCH("PAEDIATRIC",K208)), PROPER("PAEDIATRIC"),
ISNUMBER(SEARCH("FEMALE SURGICAL",K208)), PROPER("FEMALE SURG, ORTHO &amp; GYN"),
ISNUMBER(SEARCH("PSYCHIATRIST",K208)), PROPER("PSYCHIATRIST"),
ISNUMBER(SEARCH("GRADE 1",K208)), PROPER("GRADE 1"),
ISNUMBER(SEARCH("MALE SURGICAL",K208)), PROPER("MALE SURG &amp; ORTHOPEDIC"),
ISNUMBER(SEARCH("MALE MEDICAL",K208)), PROPER("MALE MEDICAL"),
ISNUMBER(SEARCH("GRADE 2",K208)), PROPER("GRADE 2"),
ISNUMBER(SEARCH("FEMALE WARD",K208)), PROPER("FEMALE MEDICAL"),
TRUE, "Unmapped: " &amp; K208)</f>
        <v>Female Medical</v>
      </c>
      <c r="M208" t="s">
        <v>22</v>
      </c>
      <c r="O208" t="s">
        <v>888</v>
      </c>
      <c r="P208" t="str">
        <f t="shared" si="29"/>
        <v>Text Error</v>
      </c>
      <c r="Q208" s="5">
        <v>46020.634097222224</v>
      </c>
      <c r="R208" t="str">
        <f t="shared" si="30"/>
        <v>Valid Date</v>
      </c>
      <c r="S208" t="s">
        <v>889</v>
      </c>
      <c r="T208" s="5">
        <v>46028.640219907407</v>
      </c>
      <c r="U208">
        <v>8</v>
      </c>
      <c r="V208" t="str">
        <f t="shared" si="31"/>
        <v>OK</v>
      </c>
      <c r="W208" t="s">
        <v>25</v>
      </c>
      <c r="Y208" t="s">
        <v>30</v>
      </c>
    </row>
    <row r="209" spans="1:25" x14ac:dyDescent="0.25">
      <c r="A209" t="s">
        <v>890</v>
      </c>
      <c r="B209" t="str">
        <f t="shared" si="25"/>
        <v>Stephen Samwel Buguzo</v>
      </c>
      <c r="C209">
        <v>29719</v>
      </c>
      <c r="D209" t="str">
        <f t="shared" si="24"/>
        <v>Unique</v>
      </c>
      <c r="E209" t="s">
        <v>778</v>
      </c>
      <c r="F209" s="3">
        <f t="shared" si="26"/>
        <v>52</v>
      </c>
      <c r="G209" t="s">
        <v>19</v>
      </c>
      <c r="H209" t="str">
        <f t="shared" si="27"/>
        <v>Valid</v>
      </c>
      <c r="I209" t="s">
        <v>227</v>
      </c>
      <c r="J209" t="str">
        <f t="shared" si="28"/>
        <v>KGG</v>
      </c>
      <c r="K209" t="s">
        <v>685</v>
      </c>
      <c r="L209" t="str" cm="1">
        <f t="array" ref="L209">_xlfn.IFS(
ISNUMBER(SEARCH("ICU",K209)), "ICU",
ISNUMBER(SEARCH("NEONATAL",K209)), PROPER("NEONATAL"),
ISNUMBER(SEARCH("LABOUR",K209)), PROPER("LABOUR"),
ISNUMBER(SEARCH("PAEDIATRIC",K209)), PROPER("PAEDIATRIC"),
ISNUMBER(SEARCH("FEMALE SURGICAL",K209)), PROPER("FEMALE SURG, ORTHO &amp; GYN"),
ISNUMBER(SEARCH("PSYCHIATRIST",K209)), PROPER("PSYCHIATRIST"),
ISNUMBER(SEARCH("GRADE 1",K209)), PROPER("GRADE 1"),
ISNUMBER(SEARCH("MALE SURGICAL",K209)), PROPER("MALE SURG &amp; ORTHOPEDIC"),
ISNUMBER(SEARCH("MALE MEDICAL",K209)), PROPER("MALE MEDICAL"),
ISNUMBER(SEARCH("GRADE 2",K209)), PROPER("GRADE 2"),
ISNUMBER(SEARCH("FEMALE WARD",K209)), PROPER("FEMALE MEDICAL"),
TRUE, "Unmapped: " &amp; K209)</f>
        <v>Grade 2</v>
      </c>
      <c r="M209" t="s">
        <v>394</v>
      </c>
      <c r="O209" t="s">
        <v>891</v>
      </c>
      <c r="P209" t="str">
        <f t="shared" si="29"/>
        <v>Text Error</v>
      </c>
      <c r="Q209" s="5">
        <v>46021.541018518517</v>
      </c>
      <c r="R209" t="str">
        <f t="shared" si="30"/>
        <v>Valid Date</v>
      </c>
      <c r="S209" t="s">
        <v>892</v>
      </c>
      <c r="T209" s="5">
        <v>46030.497731481482</v>
      </c>
      <c r="U209">
        <v>8</v>
      </c>
      <c r="V209" t="str">
        <f t="shared" si="31"/>
        <v>OK</v>
      </c>
      <c r="W209" t="s">
        <v>211</v>
      </c>
      <c r="Y209" t="s">
        <v>30</v>
      </c>
    </row>
    <row r="210" spans="1:25" x14ac:dyDescent="0.25">
      <c r="A210" t="s">
        <v>893</v>
      </c>
      <c r="B210" t="str">
        <f t="shared" si="25"/>
        <v>Salima Shabani Mfundiko</v>
      </c>
      <c r="C210">
        <v>126949</v>
      </c>
      <c r="D210" t="str">
        <f t="shared" si="24"/>
        <v>Unique</v>
      </c>
      <c r="E210" t="s">
        <v>641</v>
      </c>
      <c r="F210" s="3">
        <f t="shared" si="26"/>
        <v>46</v>
      </c>
      <c r="G210" t="s">
        <v>32</v>
      </c>
      <c r="H210" t="str">
        <f t="shared" si="27"/>
        <v>Valid</v>
      </c>
      <c r="I210" t="s">
        <v>20</v>
      </c>
      <c r="J210" t="str">
        <f t="shared" si="28"/>
        <v>Uvinza</v>
      </c>
      <c r="K210" t="s">
        <v>123</v>
      </c>
      <c r="L210" t="str" cm="1">
        <f t="array" ref="L210">_xlfn.IFS(
ISNUMBER(SEARCH("ICU",K210)), "ICU",
ISNUMBER(SEARCH("NEONATAL",K210)), PROPER("NEONATAL"),
ISNUMBER(SEARCH("LABOUR",K210)), PROPER("LABOUR"),
ISNUMBER(SEARCH("PAEDIATRIC",K210)), PROPER("PAEDIATRIC"),
ISNUMBER(SEARCH("FEMALE SURGICAL",K210)), PROPER("FEMALE SURG, ORTHO &amp; GYN"),
ISNUMBER(SEARCH("PSYCHIATRIST",K210)), PROPER("PSYCHIATRIST"),
ISNUMBER(SEARCH("GRADE 1",K210)), PROPER("GRADE 1"),
ISNUMBER(SEARCH("MALE SURGICAL",K210)), PROPER("MALE SURG &amp; ORTHOPEDIC"),
ISNUMBER(SEARCH("MALE MEDICAL",K210)), PROPER("MALE MEDICAL"),
ISNUMBER(SEARCH("GRADE 2",K210)), PROPER("GRADE 2"),
ISNUMBER(SEARCH("FEMALE WARD",K210)), PROPER("FEMALE MEDICAL"),
TRUE, "Unmapped: " &amp; K210)</f>
        <v>Female Surg, Ortho &amp; Gyn</v>
      </c>
      <c r="M210" t="s">
        <v>22</v>
      </c>
      <c r="O210" t="s">
        <v>894</v>
      </c>
      <c r="P210" t="str">
        <f t="shared" si="29"/>
        <v>Text Error</v>
      </c>
      <c r="Q210" s="5">
        <v>46022.709490740737</v>
      </c>
      <c r="R210" t="str">
        <f t="shared" si="30"/>
        <v>Valid Date</v>
      </c>
      <c r="S210" t="s">
        <v>895</v>
      </c>
      <c r="T210" s="5">
        <v>46030.744293981479</v>
      </c>
      <c r="U210">
        <v>8</v>
      </c>
      <c r="V210" t="str">
        <f t="shared" si="31"/>
        <v>OK</v>
      </c>
      <c r="W210" t="s">
        <v>25</v>
      </c>
      <c r="Y210" t="s">
        <v>30</v>
      </c>
    </row>
    <row r="211" spans="1:25" x14ac:dyDescent="0.25">
      <c r="A211" t="s">
        <v>896</v>
      </c>
      <c r="B211" t="str">
        <f t="shared" si="25"/>
        <v>Raheli Samweli Kiyogoma</v>
      </c>
      <c r="C211">
        <v>127022</v>
      </c>
      <c r="D211" t="str">
        <f t="shared" si="24"/>
        <v>Unique</v>
      </c>
      <c r="E211" t="s">
        <v>601</v>
      </c>
      <c r="F211" s="3">
        <f t="shared" si="26"/>
        <v>17</v>
      </c>
      <c r="G211" t="s">
        <v>32</v>
      </c>
      <c r="H211" t="str">
        <f t="shared" si="27"/>
        <v>Valid</v>
      </c>
      <c r="I211" t="s">
        <v>62</v>
      </c>
      <c r="J211" t="str">
        <f t="shared" si="28"/>
        <v>Kigoma Vijijini</v>
      </c>
      <c r="K211" t="s">
        <v>123</v>
      </c>
      <c r="L211" t="str" cm="1">
        <f t="array" ref="L211">_xlfn.IFS(
ISNUMBER(SEARCH("ICU",K211)), "ICU",
ISNUMBER(SEARCH("NEONATAL",K211)), PROPER("NEONATAL"),
ISNUMBER(SEARCH("LABOUR",K211)), PROPER("LABOUR"),
ISNUMBER(SEARCH("PAEDIATRIC",K211)), PROPER("PAEDIATRIC"),
ISNUMBER(SEARCH("FEMALE SURGICAL",K211)), PROPER("FEMALE SURG, ORTHO &amp; GYN"),
ISNUMBER(SEARCH("PSYCHIATRIST",K211)), PROPER("PSYCHIATRIST"),
ISNUMBER(SEARCH("GRADE 1",K211)), PROPER("GRADE 1"),
ISNUMBER(SEARCH("MALE SURGICAL",K211)), PROPER("MALE SURG &amp; ORTHOPEDIC"),
ISNUMBER(SEARCH("MALE MEDICAL",K211)), PROPER("MALE MEDICAL"),
ISNUMBER(SEARCH("GRADE 2",K211)), PROPER("GRADE 2"),
ISNUMBER(SEARCH("FEMALE WARD",K211)), PROPER("FEMALE MEDICAL"),
TRUE, "Unmapped: " &amp; K211)</f>
        <v>Female Surg, Ortho &amp; Gyn</v>
      </c>
      <c r="M211" t="s">
        <v>22</v>
      </c>
      <c r="O211" t="s">
        <v>897</v>
      </c>
      <c r="P211" t="str">
        <f t="shared" si="29"/>
        <v>Text Error</v>
      </c>
      <c r="Q211" s="5">
        <v>46024.727407407408</v>
      </c>
      <c r="R211" t="str">
        <f t="shared" si="30"/>
        <v>Valid Date</v>
      </c>
      <c r="S211" t="s">
        <v>898</v>
      </c>
      <c r="T211" s="5">
        <v>46033.694328703707</v>
      </c>
      <c r="U211">
        <v>8</v>
      </c>
      <c r="V211" t="str">
        <f t="shared" si="31"/>
        <v>OK</v>
      </c>
      <c r="W211" t="s">
        <v>25</v>
      </c>
      <c r="Y211" t="s">
        <v>30</v>
      </c>
    </row>
    <row r="212" spans="1:25" x14ac:dyDescent="0.25">
      <c r="A212" t="s">
        <v>899</v>
      </c>
      <c r="B212" t="str">
        <f t="shared" si="25"/>
        <v>Baby Robert Samwel</v>
      </c>
      <c r="C212">
        <v>127203</v>
      </c>
      <c r="D212" t="str">
        <f t="shared" si="24"/>
        <v>Unique</v>
      </c>
      <c r="E212" t="s">
        <v>86</v>
      </c>
      <c r="F212" s="3">
        <f t="shared" si="26"/>
        <v>23</v>
      </c>
      <c r="G212" t="s">
        <v>32</v>
      </c>
      <c r="H212" t="str">
        <f t="shared" si="27"/>
        <v>Valid</v>
      </c>
      <c r="I212" t="s">
        <v>33</v>
      </c>
      <c r="J212" t="str">
        <f t="shared" si="28"/>
        <v>Kigoma Ujiji Mc</v>
      </c>
      <c r="K212" t="s">
        <v>40</v>
      </c>
      <c r="L212" t="str" cm="1">
        <f t="array" ref="L212">_xlfn.IFS(
ISNUMBER(SEARCH("ICU",K212)), "ICU",
ISNUMBER(SEARCH("NEONATAL",K212)), PROPER("NEONATAL"),
ISNUMBER(SEARCH("LABOUR",K212)), PROPER("LABOUR"),
ISNUMBER(SEARCH("PAEDIATRIC",K212)), PROPER("PAEDIATRIC"),
ISNUMBER(SEARCH("FEMALE SURGICAL",K212)), PROPER("FEMALE SURG, ORTHO &amp; GYN"),
ISNUMBER(SEARCH("PSYCHIATRIST",K212)), PROPER("PSYCHIATRIST"),
ISNUMBER(SEARCH("GRADE 1",K212)), PROPER("GRADE 1"),
ISNUMBER(SEARCH("MALE SURGICAL",K212)), PROPER("MALE SURG &amp; ORTHOPEDIC"),
ISNUMBER(SEARCH("MALE MEDICAL",K212)), PROPER("MALE MEDICAL"),
ISNUMBER(SEARCH("GRADE 2",K212)), PROPER("GRADE 2"),
ISNUMBER(SEARCH("FEMALE WARD",K212)), PROPER("FEMALE MEDICAL"),
TRUE, "Unmapped: " &amp; K212)</f>
        <v>Labour</v>
      </c>
      <c r="M212" t="s">
        <v>22</v>
      </c>
      <c r="O212" t="s">
        <v>900</v>
      </c>
      <c r="P212" t="str">
        <f t="shared" si="29"/>
        <v>Text Error</v>
      </c>
      <c r="Q212" s="5">
        <v>46026.063518518517</v>
      </c>
      <c r="R212" t="str">
        <f t="shared" si="30"/>
        <v>Valid Date</v>
      </c>
      <c r="S212" t="s">
        <v>901</v>
      </c>
      <c r="T212" s="5">
        <v>46034.510011574072</v>
      </c>
      <c r="U212">
        <v>8</v>
      </c>
      <c r="V212" t="str">
        <f t="shared" si="31"/>
        <v>OK</v>
      </c>
      <c r="W212" t="s">
        <v>25</v>
      </c>
      <c r="Y212" t="s">
        <v>30</v>
      </c>
    </row>
    <row r="213" spans="1:25" x14ac:dyDescent="0.25">
      <c r="A213" t="s">
        <v>902</v>
      </c>
      <c r="B213" t="str">
        <f t="shared" si="25"/>
        <v>Mussa Rashid Machuza</v>
      </c>
      <c r="C213">
        <v>127245</v>
      </c>
      <c r="D213" t="str">
        <f t="shared" si="24"/>
        <v>Unique</v>
      </c>
      <c r="E213" t="s">
        <v>903</v>
      </c>
      <c r="F213" s="3">
        <f t="shared" si="26"/>
        <v>12</v>
      </c>
      <c r="G213" t="s">
        <v>19</v>
      </c>
      <c r="H213" t="str">
        <f t="shared" si="27"/>
        <v>Valid</v>
      </c>
      <c r="I213" t="s">
        <v>33</v>
      </c>
      <c r="J213" t="str">
        <f t="shared" si="28"/>
        <v>Kigoma Ujiji Mc</v>
      </c>
      <c r="K213" t="s">
        <v>109</v>
      </c>
      <c r="L213" t="str" cm="1">
        <f t="array" ref="L213">_xlfn.IFS(
ISNUMBER(SEARCH("ICU",K213)), "ICU",
ISNUMBER(SEARCH("NEONATAL",K213)), PROPER("NEONATAL"),
ISNUMBER(SEARCH("LABOUR",K213)), PROPER("LABOUR"),
ISNUMBER(SEARCH("PAEDIATRIC",K213)), PROPER("PAEDIATRIC"),
ISNUMBER(SEARCH("FEMALE SURGICAL",K213)), PROPER("FEMALE SURG, ORTHO &amp; GYN"),
ISNUMBER(SEARCH("PSYCHIATRIST",K213)), PROPER("PSYCHIATRIST"),
ISNUMBER(SEARCH("GRADE 1",K213)), PROPER("GRADE 1"),
ISNUMBER(SEARCH("MALE SURGICAL",K213)), PROPER("MALE SURG &amp; ORTHOPEDIC"),
ISNUMBER(SEARCH("MALE MEDICAL",K213)), PROPER("MALE MEDICAL"),
ISNUMBER(SEARCH("GRADE 2",K213)), PROPER("GRADE 2"),
ISNUMBER(SEARCH("FEMALE WARD",K213)), PROPER("FEMALE MEDICAL"),
TRUE, "Unmapped: " &amp; K213)</f>
        <v>Paediatric</v>
      </c>
      <c r="M213" t="s">
        <v>22</v>
      </c>
      <c r="O213" t="s">
        <v>904</v>
      </c>
      <c r="P213" t="str">
        <f t="shared" si="29"/>
        <v>Text Error</v>
      </c>
      <c r="Q213" s="5">
        <v>46026.859432870369</v>
      </c>
      <c r="R213" t="str">
        <f t="shared" si="30"/>
        <v>Valid Date</v>
      </c>
      <c r="S213" t="s">
        <v>905</v>
      </c>
      <c r="T213" s="5">
        <v>46035.420254629629</v>
      </c>
      <c r="U213">
        <v>8</v>
      </c>
      <c r="V213" t="str">
        <f t="shared" si="31"/>
        <v>OK</v>
      </c>
      <c r="W213" t="s">
        <v>25</v>
      </c>
      <c r="Y213" t="s">
        <v>30</v>
      </c>
    </row>
    <row r="214" spans="1:25" x14ac:dyDescent="0.25">
      <c r="A214" t="s">
        <v>907</v>
      </c>
      <c r="B214" t="str">
        <f t="shared" si="25"/>
        <v>Alex Medard Kamole</v>
      </c>
      <c r="C214">
        <v>123126</v>
      </c>
      <c r="D214" t="str">
        <f t="shared" si="24"/>
        <v>Unique</v>
      </c>
      <c r="E214" t="s">
        <v>641</v>
      </c>
      <c r="F214" s="3">
        <f t="shared" si="26"/>
        <v>46</v>
      </c>
      <c r="G214" t="s">
        <v>19</v>
      </c>
      <c r="H214" t="str">
        <f t="shared" si="27"/>
        <v>Valid</v>
      </c>
      <c r="I214" t="s">
        <v>33</v>
      </c>
      <c r="J214" t="str">
        <f t="shared" si="28"/>
        <v>Kigoma Ujiji Mc</v>
      </c>
      <c r="K214" t="s">
        <v>428</v>
      </c>
      <c r="L214" t="str" cm="1">
        <f t="array" ref="L214">_xlfn.IFS(
ISNUMBER(SEARCH("ICU",K214)), "ICU",
ISNUMBER(SEARCH("NEONATAL",K214)), PROPER("NEONATAL"),
ISNUMBER(SEARCH("LABOUR",K214)), PROPER("LABOUR"),
ISNUMBER(SEARCH("PAEDIATRIC",K214)), PROPER("PAEDIATRIC"),
ISNUMBER(SEARCH("FEMALE SURGICAL",K214)), PROPER("FEMALE SURG, ORTHO &amp; GYN"),
ISNUMBER(SEARCH("PSYCHIATRIST",K214)), PROPER("PSYCHIATRIST"),
ISNUMBER(SEARCH("GRADE 1",K214)), PROPER("GRADE 1"),
ISNUMBER(SEARCH("MALE SURGICAL",K214)), PROPER("MALE SURG &amp; ORTHOPEDIC"),
ISNUMBER(SEARCH("MALE MEDICAL",K214)), PROPER("MALE MEDICAL"),
ISNUMBER(SEARCH("GRADE 2",K214)), PROPER("GRADE 2"),
ISNUMBER(SEARCH("FEMALE WARD",K214)), PROPER("FEMALE MEDICAL"),
TRUE, "Unmapped: " &amp; K214)</f>
        <v>Male Surg &amp; Orthopedic</v>
      </c>
      <c r="M214" t="s">
        <v>22</v>
      </c>
      <c r="O214" t="s">
        <v>908</v>
      </c>
      <c r="P214" t="str">
        <f t="shared" si="29"/>
        <v>Text Error</v>
      </c>
      <c r="Q214" s="5">
        <v>46027.642592592594</v>
      </c>
      <c r="R214" t="str">
        <f t="shared" si="30"/>
        <v>Valid Date</v>
      </c>
      <c r="S214" t="s">
        <v>909</v>
      </c>
      <c r="T214" s="5">
        <v>46035.727094907408</v>
      </c>
      <c r="U214">
        <v>8</v>
      </c>
      <c r="V214" t="str">
        <f t="shared" si="31"/>
        <v>OK</v>
      </c>
      <c r="W214" t="s">
        <v>25</v>
      </c>
      <c r="Y214" t="s">
        <v>30</v>
      </c>
    </row>
    <row r="215" spans="1:25" x14ac:dyDescent="0.25">
      <c r="A215" t="s">
        <v>911</v>
      </c>
      <c r="B215" t="str">
        <f t="shared" si="25"/>
        <v>Paulina Moshi Bukuru</v>
      </c>
      <c r="C215">
        <v>127796</v>
      </c>
      <c r="D215" t="str">
        <f t="shared" si="24"/>
        <v>Unique</v>
      </c>
      <c r="E215" t="s">
        <v>147</v>
      </c>
      <c r="F215" s="3">
        <f t="shared" si="26"/>
        <v>30</v>
      </c>
      <c r="G215" t="s">
        <v>32</v>
      </c>
      <c r="H215" t="str">
        <f t="shared" si="27"/>
        <v>Valid</v>
      </c>
      <c r="I215" t="s">
        <v>33</v>
      </c>
      <c r="J215" t="str">
        <f t="shared" si="28"/>
        <v>Kigoma Ujiji Mc</v>
      </c>
      <c r="K215" t="s">
        <v>40</v>
      </c>
      <c r="L215" t="str" cm="1">
        <f t="array" ref="L215">_xlfn.IFS(
ISNUMBER(SEARCH("ICU",K215)), "ICU",
ISNUMBER(SEARCH("NEONATAL",K215)), PROPER("NEONATAL"),
ISNUMBER(SEARCH("LABOUR",K215)), PROPER("LABOUR"),
ISNUMBER(SEARCH("PAEDIATRIC",K215)), PROPER("PAEDIATRIC"),
ISNUMBER(SEARCH("FEMALE SURGICAL",K215)), PROPER("FEMALE SURG, ORTHO &amp; GYN"),
ISNUMBER(SEARCH("PSYCHIATRIST",K215)), PROPER("PSYCHIATRIST"),
ISNUMBER(SEARCH("GRADE 1",K215)), PROPER("GRADE 1"),
ISNUMBER(SEARCH("MALE SURGICAL",K215)), PROPER("MALE SURG &amp; ORTHOPEDIC"),
ISNUMBER(SEARCH("MALE MEDICAL",K215)), PROPER("MALE MEDICAL"),
ISNUMBER(SEARCH("GRADE 2",K215)), PROPER("GRADE 2"),
ISNUMBER(SEARCH("FEMALE WARD",K215)), PROPER("FEMALE MEDICAL"),
TRUE, "Unmapped: " &amp; K215)</f>
        <v>Labour</v>
      </c>
      <c r="M215" t="s">
        <v>22</v>
      </c>
      <c r="O215" t="s">
        <v>912</v>
      </c>
      <c r="P215" t="str">
        <f t="shared" si="29"/>
        <v>Text Error</v>
      </c>
      <c r="Q215" s="5">
        <v>46030.773564814815</v>
      </c>
      <c r="R215" t="str">
        <f t="shared" si="30"/>
        <v>Valid Date</v>
      </c>
      <c r="S215" t="s">
        <v>913</v>
      </c>
      <c r="T215" s="5">
        <v>46039.68341435185</v>
      </c>
      <c r="U215">
        <v>8</v>
      </c>
      <c r="V215" t="str">
        <f t="shared" si="31"/>
        <v>OK</v>
      </c>
      <c r="W215" t="s">
        <v>25</v>
      </c>
      <c r="Y215" t="s">
        <v>30</v>
      </c>
    </row>
    <row r="216" spans="1:25" x14ac:dyDescent="0.25">
      <c r="A216" t="s">
        <v>914</v>
      </c>
      <c r="B216" t="str">
        <f t="shared" si="25"/>
        <v>Leosia Bitega Wandongoye</v>
      </c>
      <c r="C216">
        <v>6603</v>
      </c>
      <c r="D216" t="str">
        <f t="shared" si="24"/>
        <v>Duplicate</v>
      </c>
      <c r="E216" t="s">
        <v>572</v>
      </c>
      <c r="F216" s="3">
        <f t="shared" si="26"/>
        <v>61</v>
      </c>
      <c r="G216" t="s">
        <v>32</v>
      </c>
      <c r="H216" t="str">
        <f t="shared" si="27"/>
        <v>Valid</v>
      </c>
      <c r="I216" t="s">
        <v>33</v>
      </c>
      <c r="J216" t="str">
        <f t="shared" si="28"/>
        <v>Kigoma Ujiji Mc</v>
      </c>
      <c r="K216" t="s">
        <v>685</v>
      </c>
      <c r="L216" t="str" cm="1">
        <f t="array" ref="L216">_xlfn.IFS(
ISNUMBER(SEARCH("ICU",K216)), "ICU",
ISNUMBER(SEARCH("NEONATAL",K216)), PROPER("NEONATAL"),
ISNUMBER(SEARCH("LABOUR",K216)), PROPER("LABOUR"),
ISNUMBER(SEARCH("PAEDIATRIC",K216)), PROPER("PAEDIATRIC"),
ISNUMBER(SEARCH("FEMALE SURGICAL",K216)), PROPER("FEMALE SURG, ORTHO &amp; GYN"),
ISNUMBER(SEARCH("PSYCHIATRIST",K216)), PROPER("PSYCHIATRIST"),
ISNUMBER(SEARCH("GRADE 1",K216)), PROPER("GRADE 1"),
ISNUMBER(SEARCH("MALE SURGICAL",K216)), PROPER("MALE SURG &amp; ORTHOPEDIC"),
ISNUMBER(SEARCH("MALE MEDICAL",K216)), PROPER("MALE MEDICAL"),
ISNUMBER(SEARCH("GRADE 2",K216)), PROPER("GRADE 2"),
ISNUMBER(SEARCH("FEMALE WARD",K216)), PROPER("FEMALE MEDICAL"),
TRUE, "Unmapped: " &amp; K216)</f>
        <v>Grade 2</v>
      </c>
      <c r="M216" t="s">
        <v>394</v>
      </c>
      <c r="O216" t="s">
        <v>915</v>
      </c>
      <c r="P216" t="str">
        <f t="shared" si="29"/>
        <v>Text Error</v>
      </c>
      <c r="Q216" s="5">
        <v>46033.650138888886</v>
      </c>
      <c r="R216" t="str">
        <f t="shared" si="30"/>
        <v>Valid Date</v>
      </c>
      <c r="S216" t="s">
        <v>916</v>
      </c>
      <c r="T216" s="5">
        <v>46042.511759259258</v>
      </c>
      <c r="U216">
        <v>8</v>
      </c>
      <c r="V216" t="str">
        <f t="shared" si="31"/>
        <v>OK</v>
      </c>
      <c r="W216" t="s">
        <v>25</v>
      </c>
      <c r="Y216" t="s">
        <v>30</v>
      </c>
    </row>
    <row r="217" spans="1:25" x14ac:dyDescent="0.25">
      <c r="A217" t="s">
        <v>917</v>
      </c>
      <c r="B217" t="str">
        <f t="shared" si="25"/>
        <v>Bakuza Haji Kasogoto</v>
      </c>
      <c r="C217">
        <v>128170</v>
      </c>
      <c r="D217" t="str">
        <f t="shared" si="24"/>
        <v>Unique</v>
      </c>
      <c r="E217" t="s">
        <v>122</v>
      </c>
      <c r="F217" s="3">
        <f t="shared" si="26"/>
        <v>40</v>
      </c>
      <c r="G217" t="s">
        <v>19</v>
      </c>
      <c r="H217" t="str">
        <f t="shared" si="27"/>
        <v>Valid</v>
      </c>
      <c r="I217" t="s">
        <v>62</v>
      </c>
      <c r="J217" t="str">
        <f t="shared" si="28"/>
        <v>Kigoma Vijijini</v>
      </c>
      <c r="K217" t="s">
        <v>763</v>
      </c>
      <c r="L217" t="str" cm="1">
        <f t="array" ref="L217">_xlfn.IFS(
ISNUMBER(SEARCH("ICU",K217)), "ICU",
ISNUMBER(SEARCH("NEONATAL",K217)), PROPER("NEONATAL"),
ISNUMBER(SEARCH("LABOUR",K217)), PROPER("LABOUR"),
ISNUMBER(SEARCH("PAEDIATRIC",K217)), PROPER("PAEDIATRIC"),
ISNUMBER(SEARCH("FEMALE SURGICAL",K217)), PROPER("FEMALE SURG, ORTHO &amp; GYN"),
ISNUMBER(SEARCH("PSYCHIATRIST",K217)), PROPER("PSYCHIATRIST"),
ISNUMBER(SEARCH("GRADE 1",K217)), PROPER("GRADE 1"),
ISNUMBER(SEARCH("MALE SURGICAL",K217)), PROPER("MALE SURG &amp; ORTHOPEDIC"),
ISNUMBER(SEARCH("MALE MEDICAL",K217)), PROPER("MALE MEDICAL"),
ISNUMBER(SEARCH("GRADE 2",K217)), PROPER("GRADE 2"),
ISNUMBER(SEARCH("FEMALE WARD",K217)), PROPER("FEMALE MEDICAL"),
TRUE, "Unmapped: " &amp; K217)</f>
        <v>ICU</v>
      </c>
      <c r="M217" t="s">
        <v>22</v>
      </c>
      <c r="O217" t="s">
        <v>918</v>
      </c>
      <c r="P217" t="str">
        <f t="shared" si="29"/>
        <v>Text Error</v>
      </c>
      <c r="Q217" s="5">
        <v>46035.405636574076</v>
      </c>
      <c r="R217" t="str">
        <f t="shared" si="30"/>
        <v>Valid Date</v>
      </c>
      <c r="S217" t="s">
        <v>919</v>
      </c>
      <c r="T217" s="5">
        <v>46043.444976851853</v>
      </c>
      <c r="U217">
        <v>8</v>
      </c>
      <c r="V217" t="str">
        <f t="shared" si="31"/>
        <v>OK</v>
      </c>
      <c r="W217" t="s">
        <v>211</v>
      </c>
      <c r="Y217" t="s">
        <v>30</v>
      </c>
    </row>
    <row r="218" spans="1:25" x14ac:dyDescent="0.25">
      <c r="A218" t="s">
        <v>921</v>
      </c>
      <c r="B218" t="str">
        <f t="shared" si="25"/>
        <v>Roza Shabani Matongo</v>
      </c>
      <c r="C218">
        <v>128416</v>
      </c>
      <c r="D218" t="str">
        <f t="shared" si="24"/>
        <v>Unique</v>
      </c>
      <c r="E218" t="s">
        <v>922</v>
      </c>
      <c r="F218" s="3">
        <f t="shared" si="26"/>
        <v>65</v>
      </c>
      <c r="G218" t="s">
        <v>32</v>
      </c>
      <c r="H218" t="str">
        <f t="shared" si="27"/>
        <v>Valid</v>
      </c>
      <c r="I218" t="s">
        <v>62</v>
      </c>
      <c r="J218" t="str">
        <f t="shared" si="28"/>
        <v>Kigoma Vijijini</v>
      </c>
      <c r="K218" t="s">
        <v>700</v>
      </c>
      <c r="L218" t="str" cm="1">
        <f t="array" ref="L218">_xlfn.IFS(
ISNUMBER(SEARCH("ICU",K218)), "ICU",
ISNUMBER(SEARCH("NEONATAL",K218)), PROPER("NEONATAL"),
ISNUMBER(SEARCH("LABOUR",K218)), PROPER("LABOUR"),
ISNUMBER(SEARCH("PAEDIATRIC",K218)), PROPER("PAEDIATRIC"),
ISNUMBER(SEARCH("FEMALE SURGICAL",K218)), PROPER("FEMALE SURG, ORTHO &amp; GYN"),
ISNUMBER(SEARCH("PSYCHIATRIST",K218)), PROPER("PSYCHIATRIST"),
ISNUMBER(SEARCH("GRADE 1",K218)), PROPER("GRADE 1"),
ISNUMBER(SEARCH("MALE SURGICAL",K218)), PROPER("MALE SURG &amp; ORTHOPEDIC"),
ISNUMBER(SEARCH("MALE MEDICAL",K218)), PROPER("MALE MEDICAL"),
ISNUMBER(SEARCH("GRADE 2",K218)), PROPER("GRADE 2"),
ISNUMBER(SEARCH("FEMALE WARD",K218)), PROPER("FEMALE MEDICAL"),
TRUE, "Unmapped: " &amp; K218)</f>
        <v>Female Medical</v>
      </c>
      <c r="M218" t="s">
        <v>22</v>
      </c>
      <c r="O218" t="s">
        <v>923</v>
      </c>
      <c r="P218" t="str">
        <f t="shared" si="29"/>
        <v>Text Error</v>
      </c>
      <c r="Q218" s="5">
        <v>46036.765972222223</v>
      </c>
      <c r="R218" t="str">
        <f t="shared" si="30"/>
        <v>Valid Date</v>
      </c>
      <c r="S218" t="s">
        <v>924</v>
      </c>
      <c r="T218" s="5">
        <v>46045.694687499999</v>
      </c>
      <c r="U218">
        <v>8</v>
      </c>
      <c r="V218" t="str">
        <f t="shared" si="31"/>
        <v>OK</v>
      </c>
      <c r="W218" t="s">
        <v>25</v>
      </c>
      <c r="Y218" t="s">
        <v>30</v>
      </c>
    </row>
    <row r="219" spans="1:25" x14ac:dyDescent="0.25">
      <c r="A219" t="s">
        <v>926</v>
      </c>
      <c r="B219" t="str">
        <f t="shared" si="25"/>
        <v>Neema Joel Sadock</v>
      </c>
      <c r="C219">
        <v>128468</v>
      </c>
      <c r="D219" t="str">
        <f t="shared" si="24"/>
        <v>Unique</v>
      </c>
      <c r="E219" t="s">
        <v>39</v>
      </c>
      <c r="F219" s="3">
        <f t="shared" si="26"/>
        <v>33</v>
      </c>
      <c r="G219" t="s">
        <v>32</v>
      </c>
      <c r="H219" t="str">
        <f t="shared" si="27"/>
        <v>Valid</v>
      </c>
      <c r="I219" t="s">
        <v>33</v>
      </c>
      <c r="J219" t="str">
        <f t="shared" si="28"/>
        <v>Kigoma Ujiji Mc</v>
      </c>
      <c r="K219" t="s">
        <v>123</v>
      </c>
      <c r="L219" t="str" cm="1">
        <f t="array" ref="L219">_xlfn.IFS(
ISNUMBER(SEARCH("ICU",K219)), "ICU",
ISNUMBER(SEARCH("NEONATAL",K219)), PROPER("NEONATAL"),
ISNUMBER(SEARCH("LABOUR",K219)), PROPER("LABOUR"),
ISNUMBER(SEARCH("PAEDIATRIC",K219)), PROPER("PAEDIATRIC"),
ISNUMBER(SEARCH("FEMALE SURGICAL",K219)), PROPER("FEMALE SURG, ORTHO &amp; GYN"),
ISNUMBER(SEARCH("PSYCHIATRIST",K219)), PROPER("PSYCHIATRIST"),
ISNUMBER(SEARCH("GRADE 1",K219)), PROPER("GRADE 1"),
ISNUMBER(SEARCH("MALE SURGICAL",K219)), PROPER("MALE SURG &amp; ORTHOPEDIC"),
ISNUMBER(SEARCH("MALE MEDICAL",K219)), PROPER("MALE MEDICAL"),
ISNUMBER(SEARCH("GRADE 2",K219)), PROPER("GRADE 2"),
ISNUMBER(SEARCH("FEMALE WARD",K219)), PROPER("FEMALE MEDICAL"),
TRUE, "Unmapped: " &amp; K219)</f>
        <v>Female Surg, Ortho &amp; Gyn</v>
      </c>
      <c r="M219" t="s">
        <v>22</v>
      </c>
      <c r="O219" t="s">
        <v>927</v>
      </c>
      <c r="P219" t="str">
        <f t="shared" si="29"/>
        <v>Text Error</v>
      </c>
      <c r="Q219" s="5">
        <v>46037.053842592592</v>
      </c>
      <c r="R219" t="str">
        <f t="shared" si="30"/>
        <v>Valid Date</v>
      </c>
      <c r="S219" t="s">
        <v>928</v>
      </c>
      <c r="T219" s="5">
        <v>46045.516377314816</v>
      </c>
      <c r="U219">
        <v>8</v>
      </c>
      <c r="V219" t="str">
        <f t="shared" si="31"/>
        <v>OK</v>
      </c>
      <c r="W219" t="s">
        <v>25</v>
      </c>
      <c r="Y219" t="s">
        <v>30</v>
      </c>
    </row>
    <row r="220" spans="1:25" x14ac:dyDescent="0.25">
      <c r="A220" t="s">
        <v>930</v>
      </c>
      <c r="B220" t="str">
        <f t="shared" si="25"/>
        <v>Nelbroad Jastine Bupamba</v>
      </c>
      <c r="C220">
        <v>128546</v>
      </c>
      <c r="D220" t="str">
        <f t="shared" si="24"/>
        <v>Unique</v>
      </c>
      <c r="E220" t="s">
        <v>18</v>
      </c>
      <c r="F220" s="3">
        <f t="shared" si="26"/>
        <v>1</v>
      </c>
      <c r="G220" t="s">
        <v>19</v>
      </c>
      <c r="H220" t="str">
        <f t="shared" si="27"/>
        <v>Valid</v>
      </c>
      <c r="I220" t="s">
        <v>33</v>
      </c>
      <c r="J220" t="str">
        <f t="shared" si="28"/>
        <v>Kigoma Ujiji Mc</v>
      </c>
      <c r="K220" t="s">
        <v>109</v>
      </c>
      <c r="L220" t="str" cm="1">
        <f t="array" ref="L220">_xlfn.IFS(
ISNUMBER(SEARCH("ICU",K220)), "ICU",
ISNUMBER(SEARCH("NEONATAL",K220)), PROPER("NEONATAL"),
ISNUMBER(SEARCH("LABOUR",K220)), PROPER("LABOUR"),
ISNUMBER(SEARCH("PAEDIATRIC",K220)), PROPER("PAEDIATRIC"),
ISNUMBER(SEARCH("FEMALE SURGICAL",K220)), PROPER("FEMALE SURG, ORTHO &amp; GYN"),
ISNUMBER(SEARCH("PSYCHIATRIST",K220)), PROPER("PSYCHIATRIST"),
ISNUMBER(SEARCH("GRADE 1",K220)), PROPER("GRADE 1"),
ISNUMBER(SEARCH("MALE SURGICAL",K220)), PROPER("MALE SURG &amp; ORTHOPEDIC"),
ISNUMBER(SEARCH("MALE MEDICAL",K220)), PROPER("MALE MEDICAL"),
ISNUMBER(SEARCH("GRADE 2",K220)), PROPER("GRADE 2"),
ISNUMBER(SEARCH("FEMALE WARD",K220)), PROPER("FEMALE MEDICAL"),
TRUE, "Unmapped: " &amp; K220)</f>
        <v>Paediatric</v>
      </c>
      <c r="M220" t="s">
        <v>22</v>
      </c>
      <c r="O220" t="s">
        <v>931</v>
      </c>
      <c r="P220" t="str">
        <f t="shared" si="29"/>
        <v>Text Error</v>
      </c>
      <c r="Q220" s="5">
        <v>46037.772638888891</v>
      </c>
      <c r="R220" t="str">
        <f t="shared" si="30"/>
        <v>Valid Date</v>
      </c>
      <c r="S220" t="s">
        <v>932</v>
      </c>
      <c r="T220" s="5">
        <v>46046.658032407409</v>
      </c>
      <c r="U220">
        <v>8</v>
      </c>
      <c r="V220" t="str">
        <f t="shared" si="31"/>
        <v>OK</v>
      </c>
      <c r="W220" t="s">
        <v>112</v>
      </c>
      <c r="Y220" t="s">
        <v>30</v>
      </c>
    </row>
    <row r="221" spans="1:25" x14ac:dyDescent="0.25">
      <c r="A221" t="s">
        <v>933</v>
      </c>
      <c r="B221" t="str">
        <f t="shared" si="25"/>
        <v>Clesensia Sililo Matakala</v>
      </c>
      <c r="C221">
        <v>128786</v>
      </c>
      <c r="D221" t="str">
        <f t="shared" si="24"/>
        <v>Unique</v>
      </c>
      <c r="E221" t="s">
        <v>572</v>
      </c>
      <c r="F221" s="3">
        <f t="shared" si="26"/>
        <v>61</v>
      </c>
      <c r="G221" t="s">
        <v>32</v>
      </c>
      <c r="H221" t="str">
        <f t="shared" si="27"/>
        <v>Valid</v>
      </c>
      <c r="I221" t="s">
        <v>33</v>
      </c>
      <c r="J221" t="str">
        <f t="shared" si="28"/>
        <v>Kigoma Ujiji Mc</v>
      </c>
      <c r="K221" t="s">
        <v>700</v>
      </c>
      <c r="L221" t="str" cm="1">
        <f t="array" ref="L221">_xlfn.IFS(
ISNUMBER(SEARCH("ICU",K221)), "ICU",
ISNUMBER(SEARCH("NEONATAL",K221)), PROPER("NEONATAL"),
ISNUMBER(SEARCH("LABOUR",K221)), PROPER("LABOUR"),
ISNUMBER(SEARCH("PAEDIATRIC",K221)), PROPER("PAEDIATRIC"),
ISNUMBER(SEARCH("FEMALE SURGICAL",K221)), PROPER("FEMALE SURG, ORTHO &amp; GYN"),
ISNUMBER(SEARCH("PSYCHIATRIST",K221)), PROPER("PSYCHIATRIST"),
ISNUMBER(SEARCH("GRADE 1",K221)), PROPER("GRADE 1"),
ISNUMBER(SEARCH("MALE SURGICAL",K221)), PROPER("MALE SURG &amp; ORTHOPEDIC"),
ISNUMBER(SEARCH("MALE MEDICAL",K221)), PROPER("MALE MEDICAL"),
ISNUMBER(SEARCH("GRADE 2",K221)), PROPER("GRADE 2"),
ISNUMBER(SEARCH("FEMALE WARD",K221)), PROPER("FEMALE MEDICAL"),
TRUE, "Unmapped: " &amp; K221)</f>
        <v>Female Medical</v>
      </c>
      <c r="M221" t="s">
        <v>22</v>
      </c>
      <c r="O221" t="s">
        <v>934</v>
      </c>
      <c r="P221" t="str">
        <f t="shared" si="29"/>
        <v>Text Error</v>
      </c>
      <c r="Q221" s="5">
        <v>46040.914675925924</v>
      </c>
      <c r="R221" t="str">
        <f t="shared" si="30"/>
        <v>Valid Date</v>
      </c>
      <c r="S221" t="s">
        <v>935</v>
      </c>
      <c r="T221" s="5">
        <v>46049.586469907408</v>
      </c>
      <c r="U221">
        <v>8</v>
      </c>
      <c r="V221" t="str">
        <f t="shared" si="31"/>
        <v>OK</v>
      </c>
      <c r="W221" t="s">
        <v>25</v>
      </c>
      <c r="Y221" t="s">
        <v>30</v>
      </c>
    </row>
    <row r="222" spans="1:25" x14ac:dyDescent="0.25">
      <c r="A222" t="s">
        <v>936</v>
      </c>
      <c r="B222" t="str">
        <f t="shared" si="25"/>
        <v>Chausiku Jumanne Kasaba</v>
      </c>
      <c r="C222">
        <v>32062</v>
      </c>
      <c r="D222" t="str">
        <f t="shared" si="24"/>
        <v>Duplicate</v>
      </c>
      <c r="E222" t="s">
        <v>215</v>
      </c>
      <c r="F222" s="3">
        <f t="shared" si="26"/>
        <v>25</v>
      </c>
      <c r="G222" t="s">
        <v>32</v>
      </c>
      <c r="H222" t="str">
        <f t="shared" si="27"/>
        <v>Valid</v>
      </c>
      <c r="I222" t="s">
        <v>227</v>
      </c>
      <c r="J222" t="str">
        <f t="shared" si="28"/>
        <v>KGG</v>
      </c>
      <c r="K222" t="s">
        <v>123</v>
      </c>
      <c r="L222" t="str" cm="1">
        <f t="array" ref="L222">_xlfn.IFS(
ISNUMBER(SEARCH("ICU",K222)), "ICU",
ISNUMBER(SEARCH("NEONATAL",K222)), PROPER("NEONATAL"),
ISNUMBER(SEARCH("LABOUR",K222)), PROPER("LABOUR"),
ISNUMBER(SEARCH("PAEDIATRIC",K222)), PROPER("PAEDIATRIC"),
ISNUMBER(SEARCH("FEMALE SURGICAL",K222)), PROPER("FEMALE SURG, ORTHO &amp; GYN"),
ISNUMBER(SEARCH("PSYCHIATRIST",K222)), PROPER("PSYCHIATRIST"),
ISNUMBER(SEARCH("GRADE 1",K222)), PROPER("GRADE 1"),
ISNUMBER(SEARCH("MALE SURGICAL",K222)), PROPER("MALE SURG &amp; ORTHOPEDIC"),
ISNUMBER(SEARCH("MALE MEDICAL",K222)), PROPER("MALE MEDICAL"),
ISNUMBER(SEARCH("GRADE 2",K222)), PROPER("GRADE 2"),
ISNUMBER(SEARCH("FEMALE WARD",K222)), PROPER("FEMALE MEDICAL"),
TRUE, "Unmapped: " &amp; K222)</f>
        <v>Female Surg, Ortho &amp; Gyn</v>
      </c>
      <c r="M222" t="s">
        <v>22</v>
      </c>
      <c r="O222" t="s">
        <v>937</v>
      </c>
      <c r="P222" t="str">
        <f t="shared" si="29"/>
        <v>Text Error</v>
      </c>
      <c r="Q222" s="5">
        <v>46041.702499999999</v>
      </c>
      <c r="R222" t="str">
        <f t="shared" si="30"/>
        <v>Valid Date</v>
      </c>
      <c r="S222" t="s">
        <v>938</v>
      </c>
      <c r="T222" s="5">
        <v>46050.36996527778</v>
      </c>
      <c r="U222">
        <v>8</v>
      </c>
      <c r="V222" t="str">
        <f t="shared" si="31"/>
        <v>OK</v>
      </c>
      <c r="W222" t="s">
        <v>25</v>
      </c>
      <c r="Y222" t="s">
        <v>30</v>
      </c>
    </row>
    <row r="223" spans="1:25" x14ac:dyDescent="0.25">
      <c r="A223" t="s">
        <v>940</v>
      </c>
      <c r="B223" t="str">
        <f t="shared" si="25"/>
        <v>Babyof Joyce Faida Sinza</v>
      </c>
      <c r="C223">
        <v>129087</v>
      </c>
      <c r="D223" t="str">
        <f t="shared" si="24"/>
        <v>Unique</v>
      </c>
      <c r="E223" t="s">
        <v>622</v>
      </c>
      <c r="F223" s="3" t="str">
        <f t="shared" si="26"/>
        <v>2/12</v>
      </c>
      <c r="G223" t="s">
        <v>32</v>
      </c>
      <c r="H223" t="str">
        <f t="shared" si="27"/>
        <v>Valid</v>
      </c>
      <c r="I223" t="s">
        <v>260</v>
      </c>
      <c r="J223" t="str">
        <f t="shared" si="28"/>
        <v>Kasulu</v>
      </c>
      <c r="K223" t="s">
        <v>21</v>
      </c>
      <c r="L223" t="str" cm="1">
        <f t="array" ref="L223">_xlfn.IFS(
ISNUMBER(SEARCH("ICU",K223)), "ICU",
ISNUMBER(SEARCH("NEONATAL",K223)), PROPER("NEONATAL"),
ISNUMBER(SEARCH("LABOUR",K223)), PROPER("LABOUR"),
ISNUMBER(SEARCH("PAEDIATRIC",K223)), PROPER("PAEDIATRIC"),
ISNUMBER(SEARCH("FEMALE SURGICAL",K223)), PROPER("FEMALE SURG, ORTHO &amp; GYN"),
ISNUMBER(SEARCH("PSYCHIATRIST",K223)), PROPER("PSYCHIATRIST"),
ISNUMBER(SEARCH("GRADE 1",K223)), PROPER("GRADE 1"),
ISNUMBER(SEARCH("MALE SURGICAL",K223)), PROPER("MALE SURG &amp; ORTHOPEDIC"),
ISNUMBER(SEARCH("MALE MEDICAL",K223)), PROPER("MALE MEDICAL"),
ISNUMBER(SEARCH("GRADE 2",K223)), PROPER("GRADE 2"),
ISNUMBER(SEARCH("FEMALE WARD",K223)), PROPER("FEMALE MEDICAL"),
TRUE, "Unmapped: " &amp; K223)</f>
        <v>Neonatal</v>
      </c>
      <c r="M223" t="s">
        <v>22</v>
      </c>
      <c r="O223" t="s">
        <v>941</v>
      </c>
      <c r="P223" t="str">
        <f t="shared" si="29"/>
        <v>Text Error</v>
      </c>
      <c r="Q223" s="5">
        <v>46042.990706018521</v>
      </c>
      <c r="R223" t="str">
        <f t="shared" si="30"/>
        <v>Valid Date</v>
      </c>
      <c r="S223" t="s">
        <v>942</v>
      </c>
      <c r="T223" s="5">
        <v>46051.707361111112</v>
      </c>
      <c r="U223">
        <v>8</v>
      </c>
      <c r="V223" t="str">
        <f t="shared" si="31"/>
        <v>OK</v>
      </c>
      <c r="W223" t="s">
        <v>112</v>
      </c>
      <c r="Y223" t="s">
        <v>30</v>
      </c>
    </row>
    <row r="224" spans="1:25" x14ac:dyDescent="0.25">
      <c r="A224" t="s">
        <v>944</v>
      </c>
      <c r="B224" t="str">
        <f t="shared" si="25"/>
        <v>Mussa Hamis Feruzi</v>
      </c>
      <c r="C224">
        <v>129181</v>
      </c>
      <c r="D224" t="str">
        <f t="shared" si="24"/>
        <v>Unique</v>
      </c>
      <c r="E224" t="s">
        <v>454</v>
      </c>
      <c r="F224" s="3">
        <f t="shared" si="26"/>
        <v>3</v>
      </c>
      <c r="G224" t="s">
        <v>19</v>
      </c>
      <c r="H224" t="str">
        <f t="shared" si="27"/>
        <v>Valid</v>
      </c>
      <c r="I224" t="s">
        <v>62</v>
      </c>
      <c r="J224" t="str">
        <f t="shared" si="28"/>
        <v>Kigoma Vijijini</v>
      </c>
      <c r="K224" t="s">
        <v>109</v>
      </c>
      <c r="L224" t="str" cm="1">
        <f t="array" ref="L224">_xlfn.IFS(
ISNUMBER(SEARCH("ICU",K224)), "ICU",
ISNUMBER(SEARCH("NEONATAL",K224)), PROPER("NEONATAL"),
ISNUMBER(SEARCH("LABOUR",K224)), PROPER("LABOUR"),
ISNUMBER(SEARCH("PAEDIATRIC",K224)), PROPER("PAEDIATRIC"),
ISNUMBER(SEARCH("FEMALE SURGICAL",K224)), PROPER("FEMALE SURG, ORTHO &amp; GYN"),
ISNUMBER(SEARCH("PSYCHIATRIST",K224)), PROPER("PSYCHIATRIST"),
ISNUMBER(SEARCH("GRADE 1",K224)), PROPER("GRADE 1"),
ISNUMBER(SEARCH("MALE SURGICAL",K224)), PROPER("MALE SURG &amp; ORTHOPEDIC"),
ISNUMBER(SEARCH("MALE MEDICAL",K224)), PROPER("MALE MEDICAL"),
ISNUMBER(SEARCH("GRADE 2",K224)), PROPER("GRADE 2"),
ISNUMBER(SEARCH("FEMALE WARD",K224)), PROPER("FEMALE MEDICAL"),
TRUE, "Unmapped: " &amp; K224)</f>
        <v>Paediatric</v>
      </c>
      <c r="M224" t="s">
        <v>22</v>
      </c>
      <c r="O224" t="s">
        <v>945</v>
      </c>
      <c r="P224" t="str">
        <f t="shared" si="29"/>
        <v>Text Error</v>
      </c>
      <c r="Q224" s="5">
        <v>46043.822500000002</v>
      </c>
      <c r="R224" t="str">
        <f t="shared" si="30"/>
        <v>Valid Date</v>
      </c>
      <c r="S224" t="s">
        <v>946</v>
      </c>
      <c r="T224" s="5">
        <v>46052.499571759261</v>
      </c>
      <c r="U224">
        <v>8</v>
      </c>
      <c r="V224" t="str">
        <f t="shared" si="31"/>
        <v>OK</v>
      </c>
      <c r="W224" t="s">
        <v>25</v>
      </c>
      <c r="Y224" t="s">
        <v>30</v>
      </c>
    </row>
    <row r="225" spans="1:25" x14ac:dyDescent="0.25">
      <c r="A225" t="s">
        <v>947</v>
      </c>
      <c r="B225" t="str">
        <f t="shared" si="25"/>
        <v>Joseph Kibugu Mashanya</v>
      </c>
      <c r="C225">
        <v>129306</v>
      </c>
      <c r="D225" t="str">
        <f t="shared" si="24"/>
        <v>Unique</v>
      </c>
      <c r="E225" t="s">
        <v>948</v>
      </c>
      <c r="F225" s="3">
        <f t="shared" si="26"/>
        <v>83</v>
      </c>
      <c r="G225" t="s">
        <v>19</v>
      </c>
      <c r="H225" t="str">
        <f t="shared" si="27"/>
        <v>Valid</v>
      </c>
      <c r="I225" t="s">
        <v>33</v>
      </c>
      <c r="J225" t="str">
        <f t="shared" si="28"/>
        <v>Kigoma Ujiji Mc</v>
      </c>
      <c r="K225" t="s">
        <v>484</v>
      </c>
      <c r="L225" t="str" cm="1">
        <f t="array" ref="L225">_xlfn.IFS(
ISNUMBER(SEARCH("ICU",K225)), "ICU",
ISNUMBER(SEARCH("NEONATAL",K225)), PROPER("NEONATAL"),
ISNUMBER(SEARCH("LABOUR",K225)), PROPER("LABOUR"),
ISNUMBER(SEARCH("PAEDIATRIC",K225)), PROPER("PAEDIATRIC"),
ISNUMBER(SEARCH("FEMALE SURGICAL",K225)), PROPER("FEMALE SURG, ORTHO &amp; GYN"),
ISNUMBER(SEARCH("PSYCHIATRIST",K225)), PROPER("PSYCHIATRIST"),
ISNUMBER(SEARCH("GRADE 1",K225)), PROPER("GRADE 1"),
ISNUMBER(SEARCH("MALE SURGICAL",K225)), PROPER("MALE SURG &amp; ORTHOPEDIC"),
ISNUMBER(SEARCH("MALE MEDICAL",K225)), PROPER("MALE MEDICAL"),
ISNUMBER(SEARCH("GRADE 2",K225)), PROPER("GRADE 2"),
ISNUMBER(SEARCH("FEMALE WARD",K225)), PROPER("FEMALE MEDICAL"),
TRUE, "Unmapped: " &amp; K225)</f>
        <v>Male Medical</v>
      </c>
      <c r="M225" t="s">
        <v>22</v>
      </c>
      <c r="O225" t="s">
        <v>949</v>
      </c>
      <c r="P225" t="str">
        <f t="shared" si="29"/>
        <v>Text Error</v>
      </c>
      <c r="Q225" s="5">
        <v>46045.079479166663</v>
      </c>
      <c r="R225" t="str">
        <f t="shared" si="30"/>
        <v>Valid Date</v>
      </c>
      <c r="S225" t="s">
        <v>950</v>
      </c>
      <c r="T225" s="5">
        <v>46053.737233796295</v>
      </c>
      <c r="U225">
        <v>8</v>
      </c>
      <c r="V225" t="str">
        <f t="shared" si="31"/>
        <v>OK</v>
      </c>
      <c r="W225" t="s">
        <v>25</v>
      </c>
      <c r="Y225" t="s">
        <v>30</v>
      </c>
    </row>
    <row r="226" spans="1:25" x14ac:dyDescent="0.25">
      <c r="A226" t="s">
        <v>952</v>
      </c>
      <c r="B226" t="str">
        <f t="shared" si="25"/>
        <v>Demza Wilberd Wilberd</v>
      </c>
      <c r="C226">
        <v>126535</v>
      </c>
      <c r="D226" t="str">
        <f t="shared" si="24"/>
        <v>Unique</v>
      </c>
      <c r="E226" t="s">
        <v>361</v>
      </c>
      <c r="F226" s="3">
        <f t="shared" si="26"/>
        <v>27</v>
      </c>
      <c r="G226" t="s">
        <v>32</v>
      </c>
      <c r="H226" t="str">
        <f t="shared" si="27"/>
        <v>Valid</v>
      </c>
      <c r="I226" t="s">
        <v>260</v>
      </c>
      <c r="J226" t="str">
        <f t="shared" si="28"/>
        <v>Kasulu</v>
      </c>
      <c r="K226" t="s">
        <v>123</v>
      </c>
      <c r="L226" t="str" cm="1">
        <f t="array" ref="L226">_xlfn.IFS(
ISNUMBER(SEARCH("ICU",K226)), "ICU",
ISNUMBER(SEARCH("NEONATAL",K226)), PROPER("NEONATAL"),
ISNUMBER(SEARCH("LABOUR",K226)), PROPER("LABOUR"),
ISNUMBER(SEARCH("PAEDIATRIC",K226)), PROPER("PAEDIATRIC"),
ISNUMBER(SEARCH("FEMALE SURGICAL",K226)), PROPER("FEMALE SURG, ORTHO &amp; GYN"),
ISNUMBER(SEARCH("PSYCHIATRIST",K226)), PROPER("PSYCHIATRIST"),
ISNUMBER(SEARCH("GRADE 1",K226)), PROPER("GRADE 1"),
ISNUMBER(SEARCH("MALE SURGICAL",K226)), PROPER("MALE SURG &amp; ORTHOPEDIC"),
ISNUMBER(SEARCH("MALE MEDICAL",K226)), PROPER("MALE MEDICAL"),
ISNUMBER(SEARCH("GRADE 2",K226)), PROPER("GRADE 2"),
ISNUMBER(SEARCH("FEMALE WARD",K226)), PROPER("FEMALE MEDICAL"),
TRUE, "Unmapped: " &amp; K226)</f>
        <v>Female Surg, Ortho &amp; Gyn</v>
      </c>
      <c r="M226" t="s">
        <v>22</v>
      </c>
      <c r="O226" t="s">
        <v>953</v>
      </c>
      <c r="P226" t="str">
        <f t="shared" si="29"/>
        <v>Text Error</v>
      </c>
      <c r="Q226" s="5">
        <v>46018.668287037035</v>
      </c>
      <c r="R226" t="str">
        <f t="shared" si="30"/>
        <v>Valid Date</v>
      </c>
      <c r="S226" t="s">
        <v>954</v>
      </c>
      <c r="T226" s="5">
        <v>46026.403483796297</v>
      </c>
      <c r="U226">
        <v>7</v>
      </c>
      <c r="V226" t="str">
        <f t="shared" si="31"/>
        <v>OK</v>
      </c>
      <c r="W226" t="s">
        <v>25</v>
      </c>
      <c r="Y226" t="s">
        <v>30</v>
      </c>
    </row>
    <row r="227" spans="1:25" x14ac:dyDescent="0.25">
      <c r="A227" t="s">
        <v>955</v>
      </c>
      <c r="B227" t="str">
        <f t="shared" si="25"/>
        <v>Ester Bosco Kiza</v>
      </c>
      <c r="C227">
        <v>126553</v>
      </c>
      <c r="D227" t="str">
        <f t="shared" si="24"/>
        <v>Unique</v>
      </c>
      <c r="E227" t="s">
        <v>400</v>
      </c>
      <c r="F227" s="3">
        <f t="shared" si="26"/>
        <v>39</v>
      </c>
      <c r="G227" t="s">
        <v>32</v>
      </c>
      <c r="H227" t="str">
        <f t="shared" si="27"/>
        <v>Valid</v>
      </c>
      <c r="I227" t="s">
        <v>33</v>
      </c>
      <c r="J227" t="str">
        <f t="shared" si="28"/>
        <v>Kigoma Ujiji Mc</v>
      </c>
      <c r="K227" t="s">
        <v>40</v>
      </c>
      <c r="L227" t="str" cm="1">
        <f t="array" ref="L227">_xlfn.IFS(
ISNUMBER(SEARCH("ICU",K227)), "ICU",
ISNUMBER(SEARCH("NEONATAL",K227)), PROPER("NEONATAL"),
ISNUMBER(SEARCH("LABOUR",K227)), PROPER("LABOUR"),
ISNUMBER(SEARCH("PAEDIATRIC",K227)), PROPER("PAEDIATRIC"),
ISNUMBER(SEARCH("FEMALE SURGICAL",K227)), PROPER("FEMALE SURG, ORTHO &amp; GYN"),
ISNUMBER(SEARCH("PSYCHIATRIST",K227)), PROPER("PSYCHIATRIST"),
ISNUMBER(SEARCH("GRADE 1",K227)), PROPER("GRADE 1"),
ISNUMBER(SEARCH("MALE SURGICAL",K227)), PROPER("MALE SURG &amp; ORTHOPEDIC"),
ISNUMBER(SEARCH("MALE MEDICAL",K227)), PROPER("MALE MEDICAL"),
ISNUMBER(SEARCH("GRADE 2",K227)), PROPER("GRADE 2"),
ISNUMBER(SEARCH("FEMALE WARD",K227)), PROPER("FEMALE MEDICAL"),
TRUE, "Unmapped: " &amp; K227)</f>
        <v>Labour</v>
      </c>
      <c r="M227" t="s">
        <v>22</v>
      </c>
      <c r="O227" t="s">
        <v>956</v>
      </c>
      <c r="P227" t="str">
        <f t="shared" si="29"/>
        <v>Text Error</v>
      </c>
      <c r="Q227" s="5">
        <v>46018.732719907406</v>
      </c>
      <c r="R227" t="str">
        <f t="shared" si="30"/>
        <v>Valid Date</v>
      </c>
      <c r="S227" t="s">
        <v>957</v>
      </c>
      <c r="T227" s="5">
        <v>46025.803506944445</v>
      </c>
      <c r="U227">
        <v>7</v>
      </c>
      <c r="V227" t="str">
        <f t="shared" si="31"/>
        <v>OK</v>
      </c>
      <c r="W227" t="s">
        <v>25</v>
      </c>
      <c r="Y227" t="s">
        <v>30</v>
      </c>
    </row>
    <row r="228" spans="1:25" x14ac:dyDescent="0.25">
      <c r="A228" t="s">
        <v>959</v>
      </c>
      <c r="B228" t="str">
        <f t="shared" si="25"/>
        <v>Mwanahamis Mohamed Dawa</v>
      </c>
      <c r="C228">
        <v>126572</v>
      </c>
      <c r="D228" t="str">
        <f t="shared" si="24"/>
        <v>Unique</v>
      </c>
      <c r="E228" t="s">
        <v>181</v>
      </c>
      <c r="F228" s="3">
        <f t="shared" si="26"/>
        <v>7</v>
      </c>
      <c r="G228" t="s">
        <v>32</v>
      </c>
      <c r="H228" t="str">
        <f t="shared" si="27"/>
        <v>Valid</v>
      </c>
      <c r="I228" t="s">
        <v>33</v>
      </c>
      <c r="J228" t="str">
        <f t="shared" si="28"/>
        <v>Kigoma Ujiji Mc</v>
      </c>
      <c r="K228" t="s">
        <v>109</v>
      </c>
      <c r="L228" t="str" cm="1">
        <f t="array" ref="L228">_xlfn.IFS(
ISNUMBER(SEARCH("ICU",K228)), "ICU",
ISNUMBER(SEARCH("NEONATAL",K228)), PROPER("NEONATAL"),
ISNUMBER(SEARCH("LABOUR",K228)), PROPER("LABOUR"),
ISNUMBER(SEARCH("PAEDIATRIC",K228)), PROPER("PAEDIATRIC"),
ISNUMBER(SEARCH("FEMALE SURGICAL",K228)), PROPER("FEMALE SURG, ORTHO &amp; GYN"),
ISNUMBER(SEARCH("PSYCHIATRIST",K228)), PROPER("PSYCHIATRIST"),
ISNUMBER(SEARCH("GRADE 1",K228)), PROPER("GRADE 1"),
ISNUMBER(SEARCH("MALE SURGICAL",K228)), PROPER("MALE SURG &amp; ORTHOPEDIC"),
ISNUMBER(SEARCH("MALE MEDICAL",K228)), PROPER("MALE MEDICAL"),
ISNUMBER(SEARCH("GRADE 2",K228)), PROPER("GRADE 2"),
ISNUMBER(SEARCH("FEMALE WARD",K228)), PROPER("FEMALE MEDICAL"),
TRUE, "Unmapped: " &amp; K228)</f>
        <v>Paediatric</v>
      </c>
      <c r="M228" t="s">
        <v>22</v>
      </c>
      <c r="O228" t="s">
        <v>960</v>
      </c>
      <c r="P228" t="str">
        <f t="shared" si="29"/>
        <v>Text Error</v>
      </c>
      <c r="Q228" s="5">
        <v>46019.586435185185</v>
      </c>
      <c r="R228" t="str">
        <f t="shared" si="30"/>
        <v>Valid Date</v>
      </c>
      <c r="S228" t="s">
        <v>961</v>
      </c>
      <c r="T228" s="5">
        <v>46026.595995370371</v>
      </c>
      <c r="U228">
        <v>7</v>
      </c>
      <c r="V228" t="str">
        <f t="shared" si="31"/>
        <v>OK</v>
      </c>
      <c r="W228" t="s">
        <v>25</v>
      </c>
      <c r="Y228" t="s">
        <v>30</v>
      </c>
    </row>
    <row r="229" spans="1:25" x14ac:dyDescent="0.25">
      <c r="A229" t="s">
        <v>963</v>
      </c>
      <c r="B229" t="str">
        <f t="shared" si="25"/>
        <v>Amos Ibrahimu Katamba</v>
      </c>
      <c r="C229">
        <v>92538</v>
      </c>
      <c r="D229" t="str">
        <f t="shared" si="24"/>
        <v>Unique</v>
      </c>
      <c r="E229" t="s">
        <v>964</v>
      </c>
      <c r="F229" s="3">
        <f t="shared" si="26"/>
        <v>92</v>
      </c>
      <c r="G229" t="s">
        <v>19</v>
      </c>
      <c r="H229" t="str">
        <f t="shared" si="27"/>
        <v>Valid</v>
      </c>
      <c r="I229" t="s">
        <v>20</v>
      </c>
      <c r="J229" t="str">
        <f t="shared" si="28"/>
        <v>Uvinza</v>
      </c>
      <c r="K229" t="s">
        <v>484</v>
      </c>
      <c r="L229" t="str" cm="1">
        <f t="array" ref="L229">_xlfn.IFS(
ISNUMBER(SEARCH("ICU",K229)), "ICU",
ISNUMBER(SEARCH("NEONATAL",K229)), PROPER("NEONATAL"),
ISNUMBER(SEARCH("LABOUR",K229)), PROPER("LABOUR"),
ISNUMBER(SEARCH("PAEDIATRIC",K229)), PROPER("PAEDIATRIC"),
ISNUMBER(SEARCH("FEMALE SURGICAL",K229)), PROPER("FEMALE SURG, ORTHO &amp; GYN"),
ISNUMBER(SEARCH("PSYCHIATRIST",K229)), PROPER("PSYCHIATRIST"),
ISNUMBER(SEARCH("GRADE 1",K229)), PROPER("GRADE 1"),
ISNUMBER(SEARCH("MALE SURGICAL",K229)), PROPER("MALE SURG &amp; ORTHOPEDIC"),
ISNUMBER(SEARCH("MALE MEDICAL",K229)), PROPER("MALE MEDICAL"),
ISNUMBER(SEARCH("GRADE 2",K229)), PROPER("GRADE 2"),
ISNUMBER(SEARCH("FEMALE WARD",K229)), PROPER("FEMALE MEDICAL"),
TRUE, "Unmapped: " &amp; K229)</f>
        <v>Male Medical</v>
      </c>
      <c r="M229" t="s">
        <v>22</v>
      </c>
      <c r="O229" t="s">
        <v>965</v>
      </c>
      <c r="P229" t="str">
        <f t="shared" si="29"/>
        <v>Text Error</v>
      </c>
      <c r="Q229" s="5">
        <v>46020.107256944444</v>
      </c>
      <c r="R229" t="str">
        <f t="shared" si="30"/>
        <v>Valid Date</v>
      </c>
      <c r="S229" t="s">
        <v>966</v>
      </c>
      <c r="T229" s="5">
        <v>46027.557141203702</v>
      </c>
      <c r="U229">
        <v>7</v>
      </c>
      <c r="V229" t="str">
        <f t="shared" si="31"/>
        <v>OK</v>
      </c>
      <c r="W229" t="s">
        <v>211</v>
      </c>
      <c r="Y229" t="s">
        <v>30</v>
      </c>
    </row>
    <row r="230" spans="1:25" x14ac:dyDescent="0.25">
      <c r="A230" t="s">
        <v>968</v>
      </c>
      <c r="B230" t="str">
        <f t="shared" si="25"/>
        <v>Martha Seti Lupula</v>
      </c>
      <c r="C230">
        <v>126476</v>
      </c>
      <c r="D230" t="str">
        <f t="shared" si="24"/>
        <v>Unique</v>
      </c>
      <c r="E230" t="s">
        <v>68</v>
      </c>
      <c r="F230" s="3">
        <f t="shared" si="26"/>
        <v>32</v>
      </c>
      <c r="G230" t="s">
        <v>32</v>
      </c>
      <c r="H230" t="str">
        <f t="shared" si="27"/>
        <v>Valid</v>
      </c>
      <c r="I230" t="s">
        <v>33</v>
      </c>
      <c r="J230" t="str">
        <f t="shared" si="28"/>
        <v>Kigoma Ujiji Mc</v>
      </c>
      <c r="K230" t="s">
        <v>123</v>
      </c>
      <c r="L230" t="str" cm="1">
        <f t="array" ref="L230">_xlfn.IFS(
ISNUMBER(SEARCH("ICU",K230)), "ICU",
ISNUMBER(SEARCH("NEONATAL",K230)), PROPER("NEONATAL"),
ISNUMBER(SEARCH("LABOUR",K230)), PROPER("LABOUR"),
ISNUMBER(SEARCH("PAEDIATRIC",K230)), PROPER("PAEDIATRIC"),
ISNUMBER(SEARCH("FEMALE SURGICAL",K230)), PROPER("FEMALE SURG, ORTHO &amp; GYN"),
ISNUMBER(SEARCH("PSYCHIATRIST",K230)), PROPER("PSYCHIATRIST"),
ISNUMBER(SEARCH("GRADE 1",K230)), PROPER("GRADE 1"),
ISNUMBER(SEARCH("MALE SURGICAL",K230)), PROPER("MALE SURG &amp; ORTHOPEDIC"),
ISNUMBER(SEARCH("MALE MEDICAL",K230)), PROPER("MALE MEDICAL"),
ISNUMBER(SEARCH("GRADE 2",K230)), PROPER("GRADE 2"),
ISNUMBER(SEARCH("FEMALE WARD",K230)), PROPER("FEMALE MEDICAL"),
TRUE, "Unmapped: " &amp; K230)</f>
        <v>Female Surg, Ortho &amp; Gyn</v>
      </c>
      <c r="M230" t="s">
        <v>664</v>
      </c>
      <c r="O230" t="s">
        <v>969</v>
      </c>
      <c r="P230" t="str">
        <f t="shared" si="29"/>
        <v>Text Error</v>
      </c>
      <c r="Q230" s="5">
        <v>46022.441932870373</v>
      </c>
      <c r="R230" t="str">
        <f t="shared" si="30"/>
        <v>Valid Date</v>
      </c>
      <c r="S230" t="s">
        <v>970</v>
      </c>
      <c r="T230" s="5">
        <v>46029.75371527778</v>
      </c>
      <c r="U230">
        <v>7</v>
      </c>
      <c r="V230" t="str">
        <f t="shared" si="31"/>
        <v>OK</v>
      </c>
      <c r="W230" t="s">
        <v>25</v>
      </c>
      <c r="Y230" t="s">
        <v>30</v>
      </c>
    </row>
    <row r="231" spans="1:25" x14ac:dyDescent="0.25">
      <c r="A231" t="s">
        <v>972</v>
      </c>
      <c r="B231" t="str">
        <f t="shared" si="25"/>
        <v>Pius Gabriel Karemi</v>
      </c>
      <c r="C231">
        <v>127130</v>
      </c>
      <c r="D231" t="str">
        <f t="shared" si="24"/>
        <v>Unique</v>
      </c>
      <c r="E231" t="s">
        <v>151</v>
      </c>
      <c r="F231" s="3">
        <f t="shared" si="26"/>
        <v>22</v>
      </c>
      <c r="G231" t="s">
        <v>19</v>
      </c>
      <c r="H231" t="str">
        <f t="shared" si="27"/>
        <v>Valid</v>
      </c>
      <c r="I231" t="s">
        <v>33</v>
      </c>
      <c r="J231" t="str">
        <f t="shared" si="28"/>
        <v>Kigoma Ujiji Mc</v>
      </c>
      <c r="K231" t="s">
        <v>428</v>
      </c>
      <c r="L231" t="str" cm="1">
        <f t="array" ref="L231">_xlfn.IFS(
ISNUMBER(SEARCH("ICU",K231)), "ICU",
ISNUMBER(SEARCH("NEONATAL",K231)), PROPER("NEONATAL"),
ISNUMBER(SEARCH("LABOUR",K231)), PROPER("LABOUR"),
ISNUMBER(SEARCH("PAEDIATRIC",K231)), PROPER("PAEDIATRIC"),
ISNUMBER(SEARCH("FEMALE SURGICAL",K231)), PROPER("FEMALE SURG, ORTHO &amp; GYN"),
ISNUMBER(SEARCH("PSYCHIATRIST",K231)), PROPER("PSYCHIATRIST"),
ISNUMBER(SEARCH("GRADE 1",K231)), PROPER("GRADE 1"),
ISNUMBER(SEARCH("MALE SURGICAL",K231)), PROPER("MALE SURG &amp; ORTHOPEDIC"),
ISNUMBER(SEARCH("MALE MEDICAL",K231)), PROPER("MALE MEDICAL"),
ISNUMBER(SEARCH("GRADE 2",K231)), PROPER("GRADE 2"),
ISNUMBER(SEARCH("FEMALE WARD",K231)), PROPER("FEMALE MEDICAL"),
TRUE, "Unmapped: " &amp; K231)</f>
        <v>Male Surg &amp; Orthopedic</v>
      </c>
      <c r="M231" t="s">
        <v>22</v>
      </c>
      <c r="O231" t="s">
        <v>973</v>
      </c>
      <c r="P231" t="str">
        <f t="shared" si="29"/>
        <v>Text Error</v>
      </c>
      <c r="Q231" s="5">
        <v>46025.062083333331</v>
      </c>
      <c r="R231" t="str">
        <f t="shared" si="30"/>
        <v>Valid Date</v>
      </c>
      <c r="S231" t="s">
        <v>974</v>
      </c>
      <c r="T231" s="5">
        <v>46032.676817129628</v>
      </c>
      <c r="U231">
        <v>7</v>
      </c>
      <c r="V231" t="str">
        <f t="shared" si="31"/>
        <v>OK</v>
      </c>
      <c r="W231" t="s">
        <v>25</v>
      </c>
      <c r="Y231" t="s">
        <v>30</v>
      </c>
    </row>
    <row r="232" spans="1:25" x14ac:dyDescent="0.25">
      <c r="A232" t="s">
        <v>976</v>
      </c>
      <c r="B232" t="str">
        <f t="shared" si="25"/>
        <v>Chris Kedmoni Sanifu</v>
      </c>
      <c r="C232">
        <v>127140</v>
      </c>
      <c r="D232" t="str">
        <f t="shared" si="24"/>
        <v>Unique</v>
      </c>
      <c r="E232" t="s">
        <v>622</v>
      </c>
      <c r="F232" s="3" t="str">
        <f t="shared" si="26"/>
        <v>2/12</v>
      </c>
      <c r="G232" t="s">
        <v>19</v>
      </c>
      <c r="H232" t="str">
        <f t="shared" si="27"/>
        <v>Valid</v>
      </c>
      <c r="I232" t="s">
        <v>130</v>
      </c>
      <c r="J232" t="str">
        <f t="shared" si="28"/>
        <v>Buhigwe</v>
      </c>
      <c r="K232" t="s">
        <v>21</v>
      </c>
      <c r="L232" t="str" cm="1">
        <f t="array" ref="L232">_xlfn.IFS(
ISNUMBER(SEARCH("ICU",K232)), "ICU",
ISNUMBER(SEARCH("NEONATAL",K232)), PROPER("NEONATAL"),
ISNUMBER(SEARCH("LABOUR",K232)), PROPER("LABOUR"),
ISNUMBER(SEARCH("PAEDIATRIC",K232)), PROPER("PAEDIATRIC"),
ISNUMBER(SEARCH("FEMALE SURGICAL",K232)), PROPER("FEMALE SURG, ORTHO &amp; GYN"),
ISNUMBER(SEARCH("PSYCHIATRIST",K232)), PROPER("PSYCHIATRIST"),
ISNUMBER(SEARCH("GRADE 1",K232)), PROPER("GRADE 1"),
ISNUMBER(SEARCH("MALE SURGICAL",K232)), PROPER("MALE SURG &amp; ORTHOPEDIC"),
ISNUMBER(SEARCH("MALE MEDICAL",K232)), PROPER("MALE MEDICAL"),
ISNUMBER(SEARCH("GRADE 2",K232)), PROPER("GRADE 2"),
ISNUMBER(SEARCH("FEMALE WARD",K232)), PROPER("FEMALE MEDICAL"),
TRUE, "Unmapped: " &amp; K232)</f>
        <v>Neonatal</v>
      </c>
      <c r="M232" t="s">
        <v>22</v>
      </c>
      <c r="O232" t="s">
        <v>977</v>
      </c>
      <c r="P232" t="str">
        <f t="shared" si="29"/>
        <v>Text Error</v>
      </c>
      <c r="Q232" s="5">
        <v>46025.113078703704</v>
      </c>
      <c r="R232" t="str">
        <f t="shared" si="30"/>
        <v>Valid Date</v>
      </c>
      <c r="S232" t="s">
        <v>978</v>
      </c>
      <c r="T232" s="5">
        <v>46032.689270833333</v>
      </c>
      <c r="U232">
        <v>7</v>
      </c>
      <c r="V232" t="str">
        <f t="shared" si="31"/>
        <v>OK</v>
      </c>
      <c r="W232" t="s">
        <v>112</v>
      </c>
      <c r="Y232" t="s">
        <v>30</v>
      </c>
    </row>
    <row r="233" spans="1:25" x14ac:dyDescent="0.25">
      <c r="A233" t="s">
        <v>979</v>
      </c>
      <c r="B233" t="str">
        <f t="shared" si="25"/>
        <v>Evelina Exavery Kehegwa</v>
      </c>
      <c r="C233">
        <v>10898</v>
      </c>
      <c r="D233" t="str">
        <f t="shared" si="24"/>
        <v>Unique</v>
      </c>
      <c r="E233" t="s">
        <v>530</v>
      </c>
      <c r="F233" s="3">
        <f t="shared" si="26"/>
        <v>34</v>
      </c>
      <c r="G233" t="s">
        <v>32</v>
      </c>
      <c r="H233" t="str">
        <f t="shared" si="27"/>
        <v>Valid</v>
      </c>
      <c r="I233" t="s">
        <v>754</v>
      </c>
      <c r="J233" t="str">
        <f t="shared" si="28"/>
        <v>KG</v>
      </c>
      <c r="K233" t="s">
        <v>40</v>
      </c>
      <c r="L233" t="str" cm="1">
        <f t="array" ref="L233">_xlfn.IFS(
ISNUMBER(SEARCH("ICU",K233)), "ICU",
ISNUMBER(SEARCH("NEONATAL",K233)), PROPER("NEONATAL"),
ISNUMBER(SEARCH("LABOUR",K233)), PROPER("LABOUR"),
ISNUMBER(SEARCH("PAEDIATRIC",K233)), PROPER("PAEDIATRIC"),
ISNUMBER(SEARCH("FEMALE SURGICAL",K233)), PROPER("FEMALE SURG, ORTHO &amp; GYN"),
ISNUMBER(SEARCH("PSYCHIATRIST",K233)), PROPER("PSYCHIATRIST"),
ISNUMBER(SEARCH("GRADE 1",K233)), PROPER("GRADE 1"),
ISNUMBER(SEARCH("MALE SURGICAL",K233)), PROPER("MALE SURG &amp; ORTHOPEDIC"),
ISNUMBER(SEARCH("MALE MEDICAL",K233)), PROPER("MALE MEDICAL"),
ISNUMBER(SEARCH("GRADE 2",K233)), PROPER("GRADE 2"),
ISNUMBER(SEARCH("FEMALE WARD",K233)), PROPER("FEMALE MEDICAL"),
TRUE, "Unmapped: " &amp; K233)</f>
        <v>Labour</v>
      </c>
      <c r="M233" t="s">
        <v>394</v>
      </c>
      <c r="O233" t="s">
        <v>980</v>
      </c>
      <c r="P233" t="str">
        <f t="shared" si="29"/>
        <v>Text Error</v>
      </c>
      <c r="Q233" s="5">
        <v>46027.452685185184</v>
      </c>
      <c r="R233" t="str">
        <f t="shared" si="30"/>
        <v>Valid Date</v>
      </c>
      <c r="S233" t="s">
        <v>981</v>
      </c>
      <c r="T233" s="5">
        <v>46034.594814814816</v>
      </c>
      <c r="U233">
        <v>7</v>
      </c>
      <c r="V233" t="str">
        <f t="shared" si="31"/>
        <v>OK</v>
      </c>
      <c r="W233" t="s">
        <v>25</v>
      </c>
      <c r="Y233" t="s">
        <v>30</v>
      </c>
    </row>
    <row r="234" spans="1:25" x14ac:dyDescent="0.25">
      <c r="A234" t="s">
        <v>982</v>
      </c>
      <c r="B234" t="str">
        <f t="shared" si="25"/>
        <v>Salim Japheti Makusanya</v>
      </c>
      <c r="C234">
        <v>127283</v>
      </c>
      <c r="D234" t="str">
        <f t="shared" si="24"/>
        <v>Unique</v>
      </c>
      <c r="E234" t="s">
        <v>670</v>
      </c>
      <c r="F234" s="3">
        <f t="shared" si="26"/>
        <v>14</v>
      </c>
      <c r="G234" t="s">
        <v>19</v>
      </c>
      <c r="H234" t="str">
        <f t="shared" si="27"/>
        <v>Valid</v>
      </c>
      <c r="I234" t="s">
        <v>62</v>
      </c>
      <c r="J234" t="str">
        <f t="shared" si="28"/>
        <v>Kigoma Vijijini</v>
      </c>
      <c r="K234" t="s">
        <v>484</v>
      </c>
      <c r="L234" t="str" cm="1">
        <f t="array" ref="L234">_xlfn.IFS(
ISNUMBER(SEARCH("ICU",K234)), "ICU",
ISNUMBER(SEARCH("NEONATAL",K234)), PROPER("NEONATAL"),
ISNUMBER(SEARCH("LABOUR",K234)), PROPER("LABOUR"),
ISNUMBER(SEARCH("PAEDIATRIC",K234)), PROPER("PAEDIATRIC"),
ISNUMBER(SEARCH("FEMALE SURGICAL",K234)), PROPER("FEMALE SURG, ORTHO &amp; GYN"),
ISNUMBER(SEARCH("PSYCHIATRIST",K234)), PROPER("PSYCHIATRIST"),
ISNUMBER(SEARCH("GRADE 1",K234)), PROPER("GRADE 1"),
ISNUMBER(SEARCH("MALE SURGICAL",K234)), PROPER("MALE SURG &amp; ORTHOPEDIC"),
ISNUMBER(SEARCH("MALE MEDICAL",K234)), PROPER("MALE MEDICAL"),
ISNUMBER(SEARCH("GRADE 2",K234)), PROPER("GRADE 2"),
ISNUMBER(SEARCH("FEMALE WARD",K234)), PROPER("FEMALE MEDICAL"),
TRUE, "Unmapped: " &amp; K234)</f>
        <v>Male Medical</v>
      </c>
      <c r="M234" t="s">
        <v>22</v>
      </c>
      <c r="O234" t="s">
        <v>983</v>
      </c>
      <c r="P234" t="str">
        <f t="shared" si="29"/>
        <v>Text Error</v>
      </c>
      <c r="Q234" s="5">
        <v>46027.58189814815</v>
      </c>
      <c r="R234" t="str">
        <f t="shared" si="30"/>
        <v>Valid Date</v>
      </c>
      <c r="S234" t="s">
        <v>984</v>
      </c>
      <c r="T234" s="5">
        <v>46035.327673611115</v>
      </c>
      <c r="U234">
        <v>7</v>
      </c>
      <c r="V234" t="str">
        <f t="shared" si="31"/>
        <v>OK</v>
      </c>
      <c r="W234" t="s">
        <v>25</v>
      </c>
      <c r="Y234" t="s">
        <v>30</v>
      </c>
    </row>
    <row r="235" spans="1:25" x14ac:dyDescent="0.25">
      <c r="A235" t="s">
        <v>985</v>
      </c>
      <c r="B235" t="str">
        <f t="shared" si="25"/>
        <v>Hawa Omari Mkebure</v>
      </c>
      <c r="C235">
        <v>127416</v>
      </c>
      <c r="D235" t="str">
        <f t="shared" si="24"/>
        <v>Unique</v>
      </c>
      <c r="E235" t="s">
        <v>758</v>
      </c>
      <c r="F235" s="3">
        <f t="shared" si="26"/>
        <v>19</v>
      </c>
      <c r="G235" t="s">
        <v>32</v>
      </c>
      <c r="H235" t="str">
        <f t="shared" si="27"/>
        <v>Valid</v>
      </c>
      <c r="I235" t="s">
        <v>62</v>
      </c>
      <c r="J235" t="str">
        <f t="shared" si="28"/>
        <v>Kigoma Vijijini</v>
      </c>
      <c r="K235" t="s">
        <v>40</v>
      </c>
      <c r="L235" t="str" cm="1">
        <f t="array" ref="L235">_xlfn.IFS(
ISNUMBER(SEARCH("ICU",K235)), "ICU",
ISNUMBER(SEARCH("NEONATAL",K235)), PROPER("NEONATAL"),
ISNUMBER(SEARCH("LABOUR",K235)), PROPER("LABOUR"),
ISNUMBER(SEARCH("PAEDIATRIC",K235)), PROPER("PAEDIATRIC"),
ISNUMBER(SEARCH("FEMALE SURGICAL",K235)), PROPER("FEMALE SURG, ORTHO &amp; GYN"),
ISNUMBER(SEARCH("PSYCHIATRIST",K235)), PROPER("PSYCHIATRIST"),
ISNUMBER(SEARCH("GRADE 1",K235)), PROPER("GRADE 1"),
ISNUMBER(SEARCH("MALE SURGICAL",K235)), PROPER("MALE SURG &amp; ORTHOPEDIC"),
ISNUMBER(SEARCH("MALE MEDICAL",K235)), PROPER("MALE MEDICAL"),
ISNUMBER(SEARCH("GRADE 2",K235)), PROPER("GRADE 2"),
ISNUMBER(SEARCH("FEMALE WARD",K235)), PROPER("FEMALE MEDICAL"),
TRUE, "Unmapped: " &amp; K235)</f>
        <v>Labour</v>
      </c>
      <c r="M235" t="s">
        <v>22</v>
      </c>
      <c r="O235" t="s">
        <v>986</v>
      </c>
      <c r="P235" t="str">
        <f t="shared" si="29"/>
        <v>Text Error</v>
      </c>
      <c r="Q235" s="5">
        <v>46027.821250000001</v>
      </c>
      <c r="R235" t="str">
        <f t="shared" si="30"/>
        <v>Valid Date</v>
      </c>
      <c r="S235" t="s">
        <v>987</v>
      </c>
      <c r="T235" s="5">
        <v>46035.501828703702</v>
      </c>
      <c r="U235">
        <v>7</v>
      </c>
      <c r="V235" t="str">
        <f t="shared" si="31"/>
        <v>OK</v>
      </c>
      <c r="W235" t="s">
        <v>25</v>
      </c>
      <c r="Y235" t="s">
        <v>30</v>
      </c>
    </row>
    <row r="236" spans="1:25" x14ac:dyDescent="0.25">
      <c r="A236" t="s">
        <v>988</v>
      </c>
      <c r="B236" t="str">
        <f t="shared" si="25"/>
        <v>Baby Of Hawa Omari Mkebure</v>
      </c>
      <c r="C236">
        <v>127427</v>
      </c>
      <c r="D236" t="str">
        <f t="shared" si="24"/>
        <v>Unique</v>
      </c>
      <c r="E236" t="s">
        <v>18</v>
      </c>
      <c r="F236" s="3">
        <f t="shared" si="26"/>
        <v>1</v>
      </c>
      <c r="G236" t="s">
        <v>19</v>
      </c>
      <c r="H236" t="str">
        <f t="shared" si="27"/>
        <v>Valid</v>
      </c>
      <c r="I236" t="s">
        <v>62</v>
      </c>
      <c r="J236" t="str">
        <f t="shared" si="28"/>
        <v>Kigoma Vijijini</v>
      </c>
      <c r="K236" t="s">
        <v>21</v>
      </c>
      <c r="L236" t="str" cm="1">
        <f t="array" ref="L236">_xlfn.IFS(
ISNUMBER(SEARCH("ICU",K236)), "ICU",
ISNUMBER(SEARCH("NEONATAL",K236)), PROPER("NEONATAL"),
ISNUMBER(SEARCH("LABOUR",K236)), PROPER("LABOUR"),
ISNUMBER(SEARCH("PAEDIATRIC",K236)), PROPER("PAEDIATRIC"),
ISNUMBER(SEARCH("FEMALE SURGICAL",K236)), PROPER("FEMALE SURG, ORTHO &amp; GYN"),
ISNUMBER(SEARCH("PSYCHIATRIST",K236)), PROPER("PSYCHIATRIST"),
ISNUMBER(SEARCH("GRADE 1",K236)), PROPER("GRADE 1"),
ISNUMBER(SEARCH("MALE SURGICAL",K236)), PROPER("MALE SURG &amp; ORTHOPEDIC"),
ISNUMBER(SEARCH("MALE MEDICAL",K236)), PROPER("MALE MEDICAL"),
ISNUMBER(SEARCH("GRADE 2",K236)), PROPER("GRADE 2"),
ISNUMBER(SEARCH("FEMALE WARD",K236)), PROPER("FEMALE MEDICAL"),
TRUE, "Unmapped: " &amp; K236)</f>
        <v>Neonatal</v>
      </c>
      <c r="M236" t="s">
        <v>22</v>
      </c>
      <c r="O236" t="s">
        <v>989</v>
      </c>
      <c r="P236" t="str">
        <f t="shared" si="29"/>
        <v>Text Error</v>
      </c>
      <c r="Q236" s="5">
        <v>46027.906539351854</v>
      </c>
      <c r="R236" t="str">
        <f t="shared" si="30"/>
        <v>Valid Date</v>
      </c>
      <c r="S236" t="s">
        <v>990</v>
      </c>
      <c r="T236" s="5">
        <v>46035.502106481479</v>
      </c>
      <c r="U236">
        <v>7</v>
      </c>
      <c r="V236" t="str">
        <f t="shared" si="31"/>
        <v>OK</v>
      </c>
      <c r="W236" t="s">
        <v>25</v>
      </c>
      <c r="Y236" t="s">
        <v>30</v>
      </c>
    </row>
    <row r="237" spans="1:25" x14ac:dyDescent="0.25">
      <c r="A237" t="s">
        <v>991</v>
      </c>
      <c r="B237" t="str">
        <f t="shared" si="25"/>
        <v>Ashura Muhamed Selemani</v>
      </c>
      <c r="C237">
        <v>127705</v>
      </c>
      <c r="D237" t="str">
        <f t="shared" si="24"/>
        <v>Unique</v>
      </c>
      <c r="E237" t="s">
        <v>86</v>
      </c>
      <c r="F237" s="3">
        <f t="shared" si="26"/>
        <v>23</v>
      </c>
      <c r="G237" t="s">
        <v>32</v>
      </c>
      <c r="H237" t="str">
        <f t="shared" si="27"/>
        <v>Valid</v>
      </c>
      <c r="I237" t="s">
        <v>33</v>
      </c>
      <c r="J237" t="str">
        <f t="shared" si="28"/>
        <v>Kigoma Ujiji Mc</v>
      </c>
      <c r="K237" t="s">
        <v>40</v>
      </c>
      <c r="L237" t="str" cm="1">
        <f t="array" ref="L237">_xlfn.IFS(
ISNUMBER(SEARCH("ICU",K237)), "ICU",
ISNUMBER(SEARCH("NEONATAL",K237)), PROPER("NEONATAL"),
ISNUMBER(SEARCH("LABOUR",K237)), PROPER("LABOUR"),
ISNUMBER(SEARCH("PAEDIATRIC",K237)), PROPER("PAEDIATRIC"),
ISNUMBER(SEARCH("FEMALE SURGICAL",K237)), PROPER("FEMALE SURG, ORTHO &amp; GYN"),
ISNUMBER(SEARCH("PSYCHIATRIST",K237)), PROPER("PSYCHIATRIST"),
ISNUMBER(SEARCH("GRADE 1",K237)), PROPER("GRADE 1"),
ISNUMBER(SEARCH("MALE SURGICAL",K237)), PROPER("MALE SURG &amp; ORTHOPEDIC"),
ISNUMBER(SEARCH("MALE MEDICAL",K237)), PROPER("MALE MEDICAL"),
ISNUMBER(SEARCH("GRADE 2",K237)), PROPER("GRADE 2"),
ISNUMBER(SEARCH("FEMALE WARD",K237)), PROPER("FEMALE MEDICAL"),
TRUE, "Unmapped: " &amp; K237)</f>
        <v>Labour</v>
      </c>
      <c r="M237" t="s">
        <v>22</v>
      </c>
      <c r="O237" t="s">
        <v>992</v>
      </c>
      <c r="P237" t="str">
        <f t="shared" si="29"/>
        <v>Text Error</v>
      </c>
      <c r="Q237" s="5">
        <v>46030.024664351855</v>
      </c>
      <c r="R237" t="str">
        <f t="shared" si="30"/>
        <v>Valid Date</v>
      </c>
      <c r="S237" t="s">
        <v>993</v>
      </c>
      <c r="T237" s="5">
        <v>46037.603680555556</v>
      </c>
      <c r="U237">
        <v>7</v>
      </c>
      <c r="V237" t="str">
        <f t="shared" si="31"/>
        <v>OK</v>
      </c>
      <c r="W237" t="s">
        <v>25</v>
      </c>
      <c r="Y237" t="s">
        <v>30</v>
      </c>
    </row>
    <row r="238" spans="1:25" x14ac:dyDescent="0.25">
      <c r="A238" t="s">
        <v>994</v>
      </c>
      <c r="B238" t="str">
        <f t="shared" si="25"/>
        <v>Brayson Eliakim Mirnga</v>
      </c>
      <c r="C238">
        <v>127963</v>
      </c>
      <c r="D238" t="str">
        <f t="shared" si="24"/>
        <v>Unique</v>
      </c>
      <c r="E238" t="s">
        <v>614</v>
      </c>
      <c r="F238" s="3">
        <f t="shared" si="26"/>
        <v>43</v>
      </c>
      <c r="G238" t="s">
        <v>19</v>
      </c>
      <c r="H238" t="str">
        <f t="shared" si="27"/>
        <v>Valid</v>
      </c>
      <c r="I238" t="s">
        <v>260</v>
      </c>
      <c r="J238" t="str">
        <f t="shared" si="28"/>
        <v>Kasulu</v>
      </c>
      <c r="K238" t="s">
        <v>428</v>
      </c>
      <c r="L238" t="str" cm="1">
        <f t="array" ref="L238">_xlfn.IFS(
ISNUMBER(SEARCH("ICU",K238)), "ICU",
ISNUMBER(SEARCH("NEONATAL",K238)), PROPER("NEONATAL"),
ISNUMBER(SEARCH("LABOUR",K238)), PROPER("LABOUR"),
ISNUMBER(SEARCH("PAEDIATRIC",K238)), PROPER("PAEDIATRIC"),
ISNUMBER(SEARCH("FEMALE SURGICAL",K238)), PROPER("FEMALE SURG, ORTHO &amp; GYN"),
ISNUMBER(SEARCH("PSYCHIATRIST",K238)), PROPER("PSYCHIATRIST"),
ISNUMBER(SEARCH("GRADE 1",K238)), PROPER("GRADE 1"),
ISNUMBER(SEARCH("MALE SURGICAL",K238)), PROPER("MALE SURG &amp; ORTHOPEDIC"),
ISNUMBER(SEARCH("MALE MEDICAL",K238)), PROPER("MALE MEDICAL"),
ISNUMBER(SEARCH("GRADE 2",K238)), PROPER("GRADE 2"),
ISNUMBER(SEARCH("FEMALE WARD",K238)), PROPER("FEMALE MEDICAL"),
TRUE, "Unmapped: " &amp; K238)</f>
        <v>Male Surg &amp; Orthopedic</v>
      </c>
      <c r="M238" t="s">
        <v>22</v>
      </c>
      <c r="O238" t="s">
        <v>995</v>
      </c>
      <c r="P238" t="str">
        <f t="shared" si="29"/>
        <v>Text Error</v>
      </c>
      <c r="Q238" s="5">
        <v>46032.215775462966</v>
      </c>
      <c r="R238" t="str">
        <f t="shared" si="30"/>
        <v>Valid Date</v>
      </c>
      <c r="S238" t="s">
        <v>996</v>
      </c>
      <c r="T238" s="5">
        <v>46039.693726851852</v>
      </c>
      <c r="U238">
        <v>7</v>
      </c>
      <c r="V238" t="str">
        <f t="shared" si="31"/>
        <v>OK</v>
      </c>
      <c r="W238" t="s">
        <v>25</v>
      </c>
      <c r="Y238" t="s">
        <v>30</v>
      </c>
    </row>
    <row r="239" spans="1:25" x14ac:dyDescent="0.25">
      <c r="A239" t="s">
        <v>997</v>
      </c>
      <c r="B239" t="str">
        <f t="shared" si="25"/>
        <v>Prisca Onesmo Justine</v>
      </c>
      <c r="C239">
        <v>128005</v>
      </c>
      <c r="D239" t="str">
        <f t="shared" si="24"/>
        <v>Unique</v>
      </c>
      <c r="E239" t="s">
        <v>142</v>
      </c>
      <c r="F239" s="3">
        <f t="shared" si="26"/>
        <v>20</v>
      </c>
      <c r="G239" t="s">
        <v>32</v>
      </c>
      <c r="H239" t="str">
        <f t="shared" si="27"/>
        <v>Valid</v>
      </c>
      <c r="I239" t="s">
        <v>33</v>
      </c>
      <c r="J239" t="str">
        <f t="shared" si="28"/>
        <v>Kigoma Ujiji Mc</v>
      </c>
      <c r="K239" t="s">
        <v>40</v>
      </c>
      <c r="L239" t="str" cm="1">
        <f t="array" ref="L239">_xlfn.IFS(
ISNUMBER(SEARCH("ICU",K239)), "ICU",
ISNUMBER(SEARCH("NEONATAL",K239)), PROPER("NEONATAL"),
ISNUMBER(SEARCH("LABOUR",K239)), PROPER("LABOUR"),
ISNUMBER(SEARCH("PAEDIATRIC",K239)), PROPER("PAEDIATRIC"),
ISNUMBER(SEARCH("FEMALE SURGICAL",K239)), PROPER("FEMALE SURG, ORTHO &amp; GYN"),
ISNUMBER(SEARCH("PSYCHIATRIST",K239)), PROPER("PSYCHIATRIST"),
ISNUMBER(SEARCH("GRADE 1",K239)), PROPER("GRADE 1"),
ISNUMBER(SEARCH("MALE SURGICAL",K239)), PROPER("MALE SURG &amp; ORTHOPEDIC"),
ISNUMBER(SEARCH("MALE MEDICAL",K239)), PROPER("MALE MEDICAL"),
ISNUMBER(SEARCH("GRADE 2",K239)), PROPER("GRADE 2"),
ISNUMBER(SEARCH("FEMALE WARD",K239)), PROPER("FEMALE MEDICAL"),
TRUE, "Unmapped: " &amp; K239)</f>
        <v>Labour</v>
      </c>
      <c r="M239" t="s">
        <v>22</v>
      </c>
      <c r="O239" t="s">
        <v>998</v>
      </c>
      <c r="P239" t="str">
        <f t="shared" si="29"/>
        <v>Text Error</v>
      </c>
      <c r="Q239" s="5">
        <v>46032.708101851851</v>
      </c>
      <c r="R239" t="str">
        <f t="shared" si="30"/>
        <v>Valid Date</v>
      </c>
      <c r="S239" t="s">
        <v>999</v>
      </c>
      <c r="T239" s="5">
        <v>46040.366226851853</v>
      </c>
      <c r="U239">
        <v>7</v>
      </c>
      <c r="V239" t="str">
        <f t="shared" si="31"/>
        <v>OK</v>
      </c>
      <c r="W239" t="s">
        <v>112</v>
      </c>
      <c r="Y239" t="s">
        <v>30</v>
      </c>
    </row>
    <row r="240" spans="1:25" x14ac:dyDescent="0.25">
      <c r="A240" t="s">
        <v>1000</v>
      </c>
      <c r="B240" t="str">
        <f t="shared" si="25"/>
        <v>Rahel Ibrahim Walwa</v>
      </c>
      <c r="C240">
        <v>122880</v>
      </c>
      <c r="D240" t="str">
        <f t="shared" si="24"/>
        <v>Unique</v>
      </c>
      <c r="E240" t="s">
        <v>80</v>
      </c>
      <c r="F240" s="3">
        <f t="shared" si="26"/>
        <v>24</v>
      </c>
      <c r="G240" t="s">
        <v>32</v>
      </c>
      <c r="H240" t="str">
        <f t="shared" si="27"/>
        <v>Valid</v>
      </c>
      <c r="I240" t="s">
        <v>33</v>
      </c>
      <c r="J240" t="str">
        <f t="shared" si="28"/>
        <v>Kigoma Ujiji Mc</v>
      </c>
      <c r="K240" t="s">
        <v>40</v>
      </c>
      <c r="L240" t="str" cm="1">
        <f t="array" ref="L240">_xlfn.IFS(
ISNUMBER(SEARCH("ICU",K240)), "ICU",
ISNUMBER(SEARCH("NEONATAL",K240)), PROPER("NEONATAL"),
ISNUMBER(SEARCH("LABOUR",K240)), PROPER("LABOUR"),
ISNUMBER(SEARCH("PAEDIATRIC",K240)), PROPER("PAEDIATRIC"),
ISNUMBER(SEARCH("FEMALE SURGICAL",K240)), PROPER("FEMALE SURG, ORTHO &amp; GYN"),
ISNUMBER(SEARCH("PSYCHIATRIST",K240)), PROPER("PSYCHIATRIST"),
ISNUMBER(SEARCH("GRADE 1",K240)), PROPER("GRADE 1"),
ISNUMBER(SEARCH("MALE SURGICAL",K240)), PROPER("MALE SURG &amp; ORTHOPEDIC"),
ISNUMBER(SEARCH("MALE MEDICAL",K240)), PROPER("MALE MEDICAL"),
ISNUMBER(SEARCH("GRADE 2",K240)), PROPER("GRADE 2"),
ISNUMBER(SEARCH("FEMALE WARD",K240)), PROPER("FEMALE MEDICAL"),
TRUE, "Unmapped: " &amp; K240)</f>
        <v>Labour</v>
      </c>
      <c r="M240" t="s">
        <v>394</v>
      </c>
      <c r="O240" t="s">
        <v>1001</v>
      </c>
      <c r="P240" t="str">
        <f t="shared" si="29"/>
        <v>Text Error</v>
      </c>
      <c r="Q240" s="5">
        <v>46035.75644675926</v>
      </c>
      <c r="R240" t="str">
        <f t="shared" si="30"/>
        <v>Valid Date</v>
      </c>
      <c r="S240" t="s">
        <v>1002</v>
      </c>
      <c r="T240" s="5">
        <v>46043.570219907408</v>
      </c>
      <c r="U240">
        <v>7</v>
      </c>
      <c r="V240" t="str">
        <f t="shared" si="31"/>
        <v>OK</v>
      </c>
      <c r="W240" t="s">
        <v>25</v>
      </c>
      <c r="Y240" t="s">
        <v>30</v>
      </c>
    </row>
    <row r="241" spans="1:25" x14ac:dyDescent="0.25">
      <c r="A241" t="s">
        <v>1003</v>
      </c>
      <c r="B241" t="str">
        <f t="shared" si="25"/>
        <v>Baby Of Rahel Ibrahim Wagwa</v>
      </c>
      <c r="C241">
        <v>128366</v>
      </c>
      <c r="D241" t="str">
        <f t="shared" si="24"/>
        <v>Unique</v>
      </c>
      <c r="E241" t="s">
        <v>622</v>
      </c>
      <c r="F241" s="3" t="str">
        <f t="shared" si="26"/>
        <v>2/12</v>
      </c>
      <c r="G241" t="s">
        <v>19</v>
      </c>
      <c r="H241" t="str">
        <f t="shared" si="27"/>
        <v>Valid</v>
      </c>
      <c r="I241" t="s">
        <v>33</v>
      </c>
      <c r="J241" t="str">
        <f t="shared" si="28"/>
        <v>Kigoma Ujiji Mc</v>
      </c>
      <c r="K241" t="s">
        <v>21</v>
      </c>
      <c r="L241" t="str" cm="1">
        <f t="array" ref="L241">_xlfn.IFS(
ISNUMBER(SEARCH("ICU",K241)), "ICU",
ISNUMBER(SEARCH("NEONATAL",K241)), PROPER("NEONATAL"),
ISNUMBER(SEARCH("LABOUR",K241)), PROPER("LABOUR"),
ISNUMBER(SEARCH("PAEDIATRIC",K241)), PROPER("PAEDIATRIC"),
ISNUMBER(SEARCH("FEMALE SURGICAL",K241)), PROPER("FEMALE SURG, ORTHO &amp; GYN"),
ISNUMBER(SEARCH("PSYCHIATRIST",K241)), PROPER("PSYCHIATRIST"),
ISNUMBER(SEARCH("GRADE 1",K241)), PROPER("GRADE 1"),
ISNUMBER(SEARCH("MALE SURGICAL",K241)), PROPER("MALE SURG &amp; ORTHOPEDIC"),
ISNUMBER(SEARCH("MALE MEDICAL",K241)), PROPER("MALE MEDICAL"),
ISNUMBER(SEARCH("GRADE 2",K241)), PROPER("GRADE 2"),
ISNUMBER(SEARCH("FEMALE WARD",K241)), PROPER("FEMALE MEDICAL"),
TRUE, "Unmapped: " &amp; K241)</f>
        <v>Neonatal</v>
      </c>
      <c r="M241" t="s">
        <v>22</v>
      </c>
      <c r="O241" t="s">
        <v>1004</v>
      </c>
      <c r="P241" t="str">
        <f t="shared" si="29"/>
        <v>Text Error</v>
      </c>
      <c r="Q241" s="5">
        <v>46036.49359953704</v>
      </c>
      <c r="R241" t="str">
        <f t="shared" si="30"/>
        <v>Valid Date</v>
      </c>
      <c r="S241" t="s">
        <v>1005</v>
      </c>
      <c r="T241" s="5">
        <v>46043.546805555554</v>
      </c>
      <c r="U241">
        <v>7</v>
      </c>
      <c r="V241" t="str">
        <f t="shared" si="31"/>
        <v>OK</v>
      </c>
      <c r="W241" t="s">
        <v>25</v>
      </c>
      <c r="Y241" t="s">
        <v>30</v>
      </c>
    </row>
    <row r="242" spans="1:25" x14ac:dyDescent="0.25">
      <c r="A242" t="s">
        <v>1006</v>
      </c>
      <c r="B242" t="str">
        <f t="shared" si="25"/>
        <v>Hamis Seleman Dunia</v>
      </c>
      <c r="C242">
        <v>128485</v>
      </c>
      <c r="D242" t="str">
        <f t="shared" si="24"/>
        <v>Unique</v>
      </c>
      <c r="E242" t="s">
        <v>310</v>
      </c>
      <c r="F242" s="3">
        <f t="shared" si="26"/>
        <v>90</v>
      </c>
      <c r="G242" t="s">
        <v>19</v>
      </c>
      <c r="H242" t="str">
        <f t="shared" si="27"/>
        <v>Valid</v>
      </c>
      <c r="I242" t="s">
        <v>33</v>
      </c>
      <c r="J242" t="str">
        <f t="shared" si="28"/>
        <v>Kigoma Ujiji Mc</v>
      </c>
      <c r="K242" t="s">
        <v>428</v>
      </c>
      <c r="L242" t="str" cm="1">
        <f t="array" ref="L242">_xlfn.IFS(
ISNUMBER(SEARCH("ICU",K242)), "ICU",
ISNUMBER(SEARCH("NEONATAL",K242)), PROPER("NEONATAL"),
ISNUMBER(SEARCH("LABOUR",K242)), PROPER("LABOUR"),
ISNUMBER(SEARCH("PAEDIATRIC",K242)), PROPER("PAEDIATRIC"),
ISNUMBER(SEARCH("FEMALE SURGICAL",K242)), PROPER("FEMALE SURG, ORTHO &amp; GYN"),
ISNUMBER(SEARCH("PSYCHIATRIST",K242)), PROPER("PSYCHIATRIST"),
ISNUMBER(SEARCH("GRADE 1",K242)), PROPER("GRADE 1"),
ISNUMBER(SEARCH("MALE SURGICAL",K242)), PROPER("MALE SURG &amp; ORTHOPEDIC"),
ISNUMBER(SEARCH("MALE MEDICAL",K242)), PROPER("MALE MEDICAL"),
ISNUMBER(SEARCH("GRADE 2",K242)), PROPER("GRADE 2"),
ISNUMBER(SEARCH("FEMALE WARD",K242)), PROPER("FEMALE MEDICAL"),
TRUE, "Unmapped: " &amp; K242)</f>
        <v>Male Surg &amp; Orthopedic</v>
      </c>
      <c r="M242" t="s">
        <v>22</v>
      </c>
      <c r="O242" t="s">
        <v>1007</v>
      </c>
      <c r="P242" t="str">
        <f t="shared" si="29"/>
        <v>Text Error</v>
      </c>
      <c r="Q242" s="5">
        <v>46037.663182870368</v>
      </c>
      <c r="R242" t="str">
        <f t="shared" si="30"/>
        <v>Valid Date</v>
      </c>
      <c r="S242" t="s">
        <v>1008</v>
      </c>
      <c r="T242" s="5">
        <v>46045.51934027778</v>
      </c>
      <c r="U242">
        <v>7</v>
      </c>
      <c r="V242" t="str">
        <f t="shared" si="31"/>
        <v>OK</v>
      </c>
      <c r="W242" t="s">
        <v>25</v>
      </c>
      <c r="Y242" t="s">
        <v>30</v>
      </c>
    </row>
    <row r="243" spans="1:25" x14ac:dyDescent="0.25">
      <c r="A243" t="s">
        <v>1010</v>
      </c>
      <c r="B243" t="str">
        <f t="shared" si="25"/>
        <v>Sisango Ibrahim Mrisho</v>
      </c>
      <c r="C243">
        <v>128670</v>
      </c>
      <c r="D243" t="str">
        <f t="shared" si="24"/>
        <v>Unique</v>
      </c>
      <c r="E243" t="s">
        <v>758</v>
      </c>
      <c r="F243" s="3">
        <f t="shared" si="26"/>
        <v>19</v>
      </c>
      <c r="G243" t="s">
        <v>19</v>
      </c>
      <c r="H243" t="str">
        <f t="shared" si="27"/>
        <v>Valid</v>
      </c>
      <c r="I243" t="s">
        <v>33</v>
      </c>
      <c r="J243" t="str">
        <f t="shared" si="28"/>
        <v>Kigoma Ujiji Mc</v>
      </c>
      <c r="K243" t="s">
        <v>393</v>
      </c>
      <c r="L243" t="str" cm="1">
        <f t="array" ref="L243">_xlfn.IFS(
ISNUMBER(SEARCH("ICU",K243)), "ICU",
ISNUMBER(SEARCH("NEONATAL",K243)), PROPER("NEONATAL"),
ISNUMBER(SEARCH("LABOUR",K243)), PROPER("LABOUR"),
ISNUMBER(SEARCH("PAEDIATRIC",K243)), PROPER("PAEDIATRIC"),
ISNUMBER(SEARCH("FEMALE SURGICAL",K243)), PROPER("FEMALE SURG, ORTHO &amp; GYN"),
ISNUMBER(SEARCH("PSYCHIATRIST",K243)), PROPER("PSYCHIATRIST"),
ISNUMBER(SEARCH("GRADE 1",K243)), PROPER("GRADE 1"),
ISNUMBER(SEARCH("MALE SURGICAL",K243)), PROPER("MALE SURG &amp; ORTHOPEDIC"),
ISNUMBER(SEARCH("MALE MEDICAL",K243)), PROPER("MALE MEDICAL"),
ISNUMBER(SEARCH("GRADE 2",K243)), PROPER("GRADE 2"),
ISNUMBER(SEARCH("FEMALE WARD",K243)), PROPER("FEMALE MEDICAL"),
TRUE, "Unmapped: " &amp; K243)</f>
        <v>Grade 1</v>
      </c>
      <c r="M243" t="s">
        <v>22</v>
      </c>
      <c r="O243" t="s">
        <v>1011</v>
      </c>
      <c r="P243" t="str">
        <f t="shared" si="29"/>
        <v>Text Error</v>
      </c>
      <c r="Q243" s="5">
        <v>46038.991215277776</v>
      </c>
      <c r="R243" t="str">
        <f t="shared" si="30"/>
        <v>Valid Date</v>
      </c>
      <c r="S243" t="s">
        <v>1012</v>
      </c>
      <c r="T243" s="5">
        <v>46046.613668981481</v>
      </c>
      <c r="U243">
        <v>7</v>
      </c>
      <c r="V243" t="str">
        <f t="shared" si="31"/>
        <v>OK</v>
      </c>
      <c r="W243" t="s">
        <v>25</v>
      </c>
      <c r="Y243" t="s">
        <v>30</v>
      </c>
    </row>
    <row r="244" spans="1:25" x14ac:dyDescent="0.25">
      <c r="A244" t="s">
        <v>1014</v>
      </c>
      <c r="B244" t="str">
        <f t="shared" si="25"/>
        <v>Victoria Hamisi Kashindi</v>
      </c>
      <c r="C244">
        <v>128678</v>
      </c>
      <c r="D244" t="str">
        <f t="shared" si="24"/>
        <v>Unique</v>
      </c>
      <c r="E244" t="s">
        <v>285</v>
      </c>
      <c r="F244" s="3">
        <f t="shared" si="26"/>
        <v>38</v>
      </c>
      <c r="G244" t="s">
        <v>32</v>
      </c>
      <c r="H244" t="str">
        <f t="shared" si="27"/>
        <v>Valid</v>
      </c>
      <c r="I244" t="s">
        <v>33</v>
      </c>
      <c r="J244" t="str">
        <f t="shared" si="28"/>
        <v>Kigoma Ujiji Mc</v>
      </c>
      <c r="K244" t="s">
        <v>700</v>
      </c>
      <c r="L244" t="str" cm="1">
        <f t="array" ref="L244">_xlfn.IFS(
ISNUMBER(SEARCH("ICU",K244)), "ICU",
ISNUMBER(SEARCH("NEONATAL",K244)), PROPER("NEONATAL"),
ISNUMBER(SEARCH("LABOUR",K244)), PROPER("LABOUR"),
ISNUMBER(SEARCH("PAEDIATRIC",K244)), PROPER("PAEDIATRIC"),
ISNUMBER(SEARCH("FEMALE SURGICAL",K244)), PROPER("FEMALE SURG, ORTHO &amp; GYN"),
ISNUMBER(SEARCH("PSYCHIATRIST",K244)), PROPER("PSYCHIATRIST"),
ISNUMBER(SEARCH("GRADE 1",K244)), PROPER("GRADE 1"),
ISNUMBER(SEARCH("MALE SURGICAL",K244)), PROPER("MALE SURG &amp; ORTHOPEDIC"),
ISNUMBER(SEARCH("MALE MEDICAL",K244)), PROPER("MALE MEDICAL"),
ISNUMBER(SEARCH("GRADE 2",K244)), PROPER("GRADE 2"),
ISNUMBER(SEARCH("FEMALE WARD",K244)), PROPER("FEMALE MEDICAL"),
TRUE, "Unmapped: " &amp; K244)</f>
        <v>Female Medical</v>
      </c>
      <c r="M244" t="s">
        <v>22</v>
      </c>
      <c r="O244" t="s">
        <v>1015</v>
      </c>
      <c r="P244" t="str">
        <f t="shared" si="29"/>
        <v>Text Error</v>
      </c>
      <c r="Q244" s="5">
        <v>46039.078460648147</v>
      </c>
      <c r="R244" t="str">
        <f t="shared" si="30"/>
        <v>Valid Date</v>
      </c>
      <c r="S244" t="s">
        <v>1016</v>
      </c>
      <c r="T244" s="5">
        <v>46046.508981481478</v>
      </c>
      <c r="U244">
        <v>7</v>
      </c>
      <c r="V244" t="str">
        <f t="shared" si="31"/>
        <v>OK</v>
      </c>
      <c r="W244" t="s">
        <v>25</v>
      </c>
      <c r="Y244" t="s">
        <v>30</v>
      </c>
    </row>
    <row r="245" spans="1:25" x14ac:dyDescent="0.25">
      <c r="A245" t="s">
        <v>1018</v>
      </c>
      <c r="B245" t="str">
        <f t="shared" si="25"/>
        <v>Janeth Iberatus Choma</v>
      </c>
      <c r="C245">
        <v>128750</v>
      </c>
      <c r="D245" t="str">
        <f t="shared" si="24"/>
        <v>Unique</v>
      </c>
      <c r="E245" t="s">
        <v>285</v>
      </c>
      <c r="F245" s="3">
        <f t="shared" si="26"/>
        <v>38</v>
      </c>
      <c r="G245" t="s">
        <v>32</v>
      </c>
      <c r="H245" t="str">
        <f t="shared" si="27"/>
        <v>Valid</v>
      </c>
      <c r="I245" t="s">
        <v>33</v>
      </c>
      <c r="J245" t="str">
        <f t="shared" si="28"/>
        <v>Kigoma Ujiji Mc</v>
      </c>
      <c r="K245" t="s">
        <v>40</v>
      </c>
      <c r="L245" t="str" cm="1">
        <f t="array" ref="L245">_xlfn.IFS(
ISNUMBER(SEARCH("ICU",K245)), "ICU",
ISNUMBER(SEARCH("NEONATAL",K245)), PROPER("NEONATAL"),
ISNUMBER(SEARCH("LABOUR",K245)), PROPER("LABOUR"),
ISNUMBER(SEARCH("PAEDIATRIC",K245)), PROPER("PAEDIATRIC"),
ISNUMBER(SEARCH("FEMALE SURGICAL",K245)), PROPER("FEMALE SURG, ORTHO &amp; GYN"),
ISNUMBER(SEARCH("PSYCHIATRIST",K245)), PROPER("PSYCHIATRIST"),
ISNUMBER(SEARCH("GRADE 1",K245)), PROPER("GRADE 1"),
ISNUMBER(SEARCH("MALE SURGICAL",K245)), PROPER("MALE SURG &amp; ORTHOPEDIC"),
ISNUMBER(SEARCH("MALE MEDICAL",K245)), PROPER("MALE MEDICAL"),
ISNUMBER(SEARCH("GRADE 2",K245)), PROPER("GRADE 2"),
ISNUMBER(SEARCH("FEMALE WARD",K245)), PROPER("FEMALE MEDICAL"),
TRUE, "Unmapped: " &amp; K245)</f>
        <v>Labour</v>
      </c>
      <c r="M245" t="s">
        <v>394</v>
      </c>
      <c r="O245" t="s">
        <v>1019</v>
      </c>
      <c r="P245" t="str">
        <f t="shared" si="29"/>
        <v>Text Error</v>
      </c>
      <c r="Q245" s="5">
        <v>46040.416805555556</v>
      </c>
      <c r="R245" t="str">
        <f t="shared" si="30"/>
        <v>Valid Date</v>
      </c>
      <c r="S245" t="s">
        <v>1020</v>
      </c>
      <c r="T245" s="5">
        <v>46047.732557870368</v>
      </c>
      <c r="U245">
        <v>7</v>
      </c>
      <c r="V245" t="str">
        <f t="shared" si="31"/>
        <v>OK</v>
      </c>
      <c r="W245" t="s">
        <v>25</v>
      </c>
      <c r="Y245" t="s">
        <v>30</v>
      </c>
    </row>
    <row r="246" spans="1:25" x14ac:dyDescent="0.25">
      <c r="A246" t="s">
        <v>1021</v>
      </c>
      <c r="B246" t="str">
        <f t="shared" si="25"/>
        <v>1 Baby Of Janeth Liberatus Choma</v>
      </c>
      <c r="C246">
        <v>128760</v>
      </c>
      <c r="D246" t="str">
        <f t="shared" si="24"/>
        <v>Unique</v>
      </c>
      <c r="E246" t="s">
        <v>622</v>
      </c>
      <c r="F246" s="3" t="str">
        <f t="shared" si="26"/>
        <v>2/12</v>
      </c>
      <c r="G246" t="s">
        <v>32</v>
      </c>
      <c r="H246" t="str">
        <f t="shared" si="27"/>
        <v>Valid</v>
      </c>
      <c r="I246" t="s">
        <v>33</v>
      </c>
      <c r="J246" t="str">
        <f t="shared" si="28"/>
        <v>Kigoma Ujiji Mc</v>
      </c>
      <c r="K246" t="s">
        <v>21</v>
      </c>
      <c r="L246" t="str" cm="1">
        <f t="array" ref="L246">_xlfn.IFS(
ISNUMBER(SEARCH("ICU",K246)), "ICU",
ISNUMBER(SEARCH("NEONATAL",K246)), PROPER("NEONATAL"),
ISNUMBER(SEARCH("LABOUR",K246)), PROPER("LABOUR"),
ISNUMBER(SEARCH("PAEDIATRIC",K246)), PROPER("PAEDIATRIC"),
ISNUMBER(SEARCH("FEMALE SURGICAL",K246)), PROPER("FEMALE SURG, ORTHO &amp; GYN"),
ISNUMBER(SEARCH("PSYCHIATRIST",K246)), PROPER("PSYCHIATRIST"),
ISNUMBER(SEARCH("GRADE 1",K246)), PROPER("GRADE 1"),
ISNUMBER(SEARCH("MALE SURGICAL",K246)), PROPER("MALE SURG &amp; ORTHOPEDIC"),
ISNUMBER(SEARCH("MALE MEDICAL",K246)), PROPER("MALE MEDICAL"),
ISNUMBER(SEARCH("GRADE 2",K246)), PROPER("GRADE 2"),
ISNUMBER(SEARCH("FEMALE WARD",K246)), PROPER("FEMALE MEDICAL"),
TRUE, "Unmapped: " &amp; K246)</f>
        <v>Neonatal</v>
      </c>
      <c r="M246" t="s">
        <v>22</v>
      </c>
      <c r="O246" t="s">
        <v>1022</v>
      </c>
      <c r="P246" t="str">
        <f t="shared" si="29"/>
        <v>Text Error</v>
      </c>
      <c r="Q246" s="5">
        <v>46040.702384259261</v>
      </c>
      <c r="R246" t="str">
        <f t="shared" si="30"/>
        <v>Valid Date</v>
      </c>
      <c r="S246" t="s">
        <v>1023</v>
      </c>
      <c r="T246" s="5">
        <v>46047.73233796296</v>
      </c>
      <c r="U246">
        <v>7</v>
      </c>
      <c r="V246" t="str">
        <f t="shared" si="31"/>
        <v>OK</v>
      </c>
      <c r="W246" t="s">
        <v>25</v>
      </c>
      <c r="Y246" t="s">
        <v>30</v>
      </c>
    </row>
    <row r="247" spans="1:25" x14ac:dyDescent="0.25">
      <c r="A247" t="s">
        <v>1024</v>
      </c>
      <c r="B247" t="str">
        <f t="shared" si="25"/>
        <v>2 Baby Of Janeth Liberatus Choma</v>
      </c>
      <c r="C247">
        <v>128761</v>
      </c>
      <c r="D247" t="str">
        <f t="shared" si="24"/>
        <v>Unique</v>
      </c>
      <c r="E247" t="s">
        <v>622</v>
      </c>
      <c r="F247" s="3" t="str">
        <f t="shared" si="26"/>
        <v>2/12</v>
      </c>
      <c r="G247" t="s">
        <v>32</v>
      </c>
      <c r="H247" t="str">
        <f t="shared" si="27"/>
        <v>Valid</v>
      </c>
      <c r="I247" t="s">
        <v>33</v>
      </c>
      <c r="J247" t="str">
        <f t="shared" si="28"/>
        <v>Kigoma Ujiji Mc</v>
      </c>
      <c r="K247" t="s">
        <v>21</v>
      </c>
      <c r="L247" t="str" cm="1">
        <f t="array" ref="L247">_xlfn.IFS(
ISNUMBER(SEARCH("ICU",K247)), "ICU",
ISNUMBER(SEARCH("NEONATAL",K247)), PROPER("NEONATAL"),
ISNUMBER(SEARCH("LABOUR",K247)), PROPER("LABOUR"),
ISNUMBER(SEARCH("PAEDIATRIC",K247)), PROPER("PAEDIATRIC"),
ISNUMBER(SEARCH("FEMALE SURGICAL",K247)), PROPER("FEMALE SURG, ORTHO &amp; GYN"),
ISNUMBER(SEARCH("PSYCHIATRIST",K247)), PROPER("PSYCHIATRIST"),
ISNUMBER(SEARCH("GRADE 1",K247)), PROPER("GRADE 1"),
ISNUMBER(SEARCH("MALE SURGICAL",K247)), PROPER("MALE SURG &amp; ORTHOPEDIC"),
ISNUMBER(SEARCH("MALE MEDICAL",K247)), PROPER("MALE MEDICAL"),
ISNUMBER(SEARCH("GRADE 2",K247)), PROPER("GRADE 2"),
ISNUMBER(SEARCH("FEMALE WARD",K247)), PROPER("FEMALE MEDICAL"),
TRUE, "Unmapped: " &amp; K247)</f>
        <v>Neonatal</v>
      </c>
      <c r="M247" t="s">
        <v>22</v>
      </c>
      <c r="O247" t="s">
        <v>1025</v>
      </c>
      <c r="P247" t="str">
        <f t="shared" si="29"/>
        <v>Text Error</v>
      </c>
      <c r="Q247" s="5">
        <v>46040.70453703704</v>
      </c>
      <c r="R247" t="str">
        <f t="shared" si="30"/>
        <v>Valid Date</v>
      </c>
      <c r="S247" t="s">
        <v>1026</v>
      </c>
      <c r="T247" s="5">
        <v>46047.731932870367</v>
      </c>
      <c r="U247">
        <v>7</v>
      </c>
      <c r="V247" t="str">
        <f t="shared" si="31"/>
        <v>OK</v>
      </c>
      <c r="W247" t="s">
        <v>25</v>
      </c>
      <c r="Y247" t="s">
        <v>30</v>
      </c>
    </row>
    <row r="248" spans="1:25" x14ac:dyDescent="0.25">
      <c r="A248" t="s">
        <v>1027</v>
      </c>
      <c r="B248" t="str">
        <f t="shared" si="25"/>
        <v>Mathayo Rafael Zogoye</v>
      </c>
      <c r="C248">
        <v>128826</v>
      </c>
      <c r="D248" t="str">
        <f t="shared" si="24"/>
        <v>Unique</v>
      </c>
      <c r="E248" t="s">
        <v>450</v>
      </c>
      <c r="F248" s="3">
        <f t="shared" si="26"/>
        <v>45</v>
      </c>
      <c r="G248" t="s">
        <v>19</v>
      </c>
      <c r="H248" t="str">
        <f t="shared" si="27"/>
        <v>Valid</v>
      </c>
      <c r="I248" t="s">
        <v>33</v>
      </c>
      <c r="J248" t="str">
        <f t="shared" si="28"/>
        <v>Kigoma Ujiji Mc</v>
      </c>
      <c r="K248" t="s">
        <v>202</v>
      </c>
      <c r="L248" t="str" cm="1">
        <f t="array" ref="L248">_xlfn.IFS(
ISNUMBER(SEARCH("ICU",K248)), "ICU",
ISNUMBER(SEARCH("NEONATAL",K248)), PROPER("NEONATAL"),
ISNUMBER(SEARCH("LABOUR",K248)), PROPER("LABOUR"),
ISNUMBER(SEARCH("PAEDIATRIC",K248)), PROPER("PAEDIATRIC"),
ISNUMBER(SEARCH("FEMALE SURGICAL",K248)), PROPER("FEMALE SURG, ORTHO &amp; GYN"),
ISNUMBER(SEARCH("PSYCHIATRIST",K248)), PROPER("PSYCHIATRIST"),
ISNUMBER(SEARCH("GRADE 1",K248)), PROPER("GRADE 1"),
ISNUMBER(SEARCH("MALE SURGICAL",K248)), PROPER("MALE SURG &amp; ORTHOPEDIC"),
ISNUMBER(SEARCH("MALE MEDICAL",K248)), PROPER("MALE MEDICAL"),
ISNUMBER(SEARCH("GRADE 2",K248)), PROPER("GRADE 2"),
ISNUMBER(SEARCH("FEMALE WARD",K248)), PROPER("FEMALE MEDICAL"),
TRUE, "Unmapped: " &amp; K248)</f>
        <v>Psychiatrist</v>
      </c>
      <c r="M248" t="s">
        <v>22</v>
      </c>
      <c r="O248" t="s">
        <v>1028</v>
      </c>
      <c r="P248" t="str">
        <f t="shared" si="29"/>
        <v>Text Error</v>
      </c>
      <c r="Q248" s="5">
        <v>46041.519432870373</v>
      </c>
      <c r="R248" t="str">
        <f t="shared" si="30"/>
        <v>Valid Date</v>
      </c>
      <c r="S248" t="s">
        <v>1029</v>
      </c>
      <c r="T248" s="5">
        <v>46048.657442129632</v>
      </c>
      <c r="U248">
        <v>7</v>
      </c>
      <c r="V248" t="str">
        <f t="shared" si="31"/>
        <v>OK</v>
      </c>
      <c r="W248" t="s">
        <v>25</v>
      </c>
      <c r="Y248" t="s">
        <v>30</v>
      </c>
    </row>
    <row r="249" spans="1:25" x14ac:dyDescent="0.25">
      <c r="A249" t="s">
        <v>1030</v>
      </c>
      <c r="B249" t="str">
        <f t="shared" si="25"/>
        <v>Maua Haruna Adam</v>
      </c>
      <c r="C249">
        <v>128945</v>
      </c>
      <c r="D249" t="str">
        <f t="shared" si="24"/>
        <v>Unique</v>
      </c>
      <c r="E249" t="s">
        <v>758</v>
      </c>
      <c r="F249" s="3">
        <f t="shared" si="26"/>
        <v>19</v>
      </c>
      <c r="G249" t="s">
        <v>32</v>
      </c>
      <c r="H249" t="str">
        <f t="shared" si="27"/>
        <v>Valid</v>
      </c>
      <c r="I249" t="s">
        <v>62</v>
      </c>
      <c r="J249" t="str">
        <f t="shared" si="28"/>
        <v>Kigoma Vijijini</v>
      </c>
      <c r="K249" t="s">
        <v>40</v>
      </c>
      <c r="L249" t="str" cm="1">
        <f t="array" ref="L249">_xlfn.IFS(
ISNUMBER(SEARCH("ICU",K249)), "ICU",
ISNUMBER(SEARCH("NEONATAL",K249)), PROPER("NEONATAL"),
ISNUMBER(SEARCH("LABOUR",K249)), PROPER("LABOUR"),
ISNUMBER(SEARCH("PAEDIATRIC",K249)), PROPER("PAEDIATRIC"),
ISNUMBER(SEARCH("FEMALE SURGICAL",K249)), PROPER("FEMALE SURG, ORTHO &amp; GYN"),
ISNUMBER(SEARCH("PSYCHIATRIST",K249)), PROPER("PSYCHIATRIST"),
ISNUMBER(SEARCH("GRADE 1",K249)), PROPER("GRADE 1"),
ISNUMBER(SEARCH("MALE SURGICAL",K249)), PROPER("MALE SURG &amp; ORTHOPEDIC"),
ISNUMBER(SEARCH("MALE MEDICAL",K249)), PROPER("MALE MEDICAL"),
ISNUMBER(SEARCH("GRADE 2",K249)), PROPER("GRADE 2"),
ISNUMBER(SEARCH("FEMALE WARD",K249)), PROPER("FEMALE MEDICAL"),
TRUE, "Unmapped: " &amp; K249)</f>
        <v>Labour</v>
      </c>
      <c r="M249" t="s">
        <v>22</v>
      </c>
      <c r="O249" t="s">
        <v>1031</v>
      </c>
      <c r="P249" t="str">
        <f t="shared" si="29"/>
        <v>Text Error</v>
      </c>
      <c r="Q249" s="5">
        <v>46041.775243055556</v>
      </c>
      <c r="R249" t="str">
        <f t="shared" si="30"/>
        <v>Valid Date</v>
      </c>
      <c r="S249" t="s">
        <v>1032</v>
      </c>
      <c r="T249" s="5">
        <v>46049.41002314815</v>
      </c>
      <c r="U249">
        <v>7</v>
      </c>
      <c r="V249" t="str">
        <f t="shared" si="31"/>
        <v>OK</v>
      </c>
      <c r="W249" t="s">
        <v>25</v>
      </c>
      <c r="Y249" t="s">
        <v>30</v>
      </c>
    </row>
    <row r="250" spans="1:25" x14ac:dyDescent="0.25">
      <c r="A250" t="s">
        <v>1033</v>
      </c>
      <c r="B250" t="str">
        <f t="shared" si="25"/>
        <v>Viviane Samwel Kayango</v>
      </c>
      <c r="C250">
        <v>104177</v>
      </c>
      <c r="D250" t="str">
        <f t="shared" si="24"/>
        <v>Duplicate</v>
      </c>
      <c r="E250" t="s">
        <v>74</v>
      </c>
      <c r="F250" s="3">
        <f t="shared" si="26"/>
        <v>35</v>
      </c>
      <c r="G250" t="s">
        <v>32</v>
      </c>
      <c r="H250" t="str">
        <f t="shared" si="27"/>
        <v>Valid</v>
      </c>
      <c r="I250" t="s">
        <v>33</v>
      </c>
      <c r="J250" t="str">
        <f t="shared" si="28"/>
        <v>Kigoma Ujiji Mc</v>
      </c>
      <c r="K250" t="s">
        <v>40</v>
      </c>
      <c r="L250" t="str" cm="1">
        <f t="array" ref="L250">_xlfn.IFS(
ISNUMBER(SEARCH("ICU",K250)), "ICU",
ISNUMBER(SEARCH("NEONATAL",K250)), PROPER("NEONATAL"),
ISNUMBER(SEARCH("LABOUR",K250)), PROPER("LABOUR"),
ISNUMBER(SEARCH("PAEDIATRIC",K250)), PROPER("PAEDIATRIC"),
ISNUMBER(SEARCH("FEMALE SURGICAL",K250)), PROPER("FEMALE SURG, ORTHO &amp; GYN"),
ISNUMBER(SEARCH("PSYCHIATRIST",K250)), PROPER("PSYCHIATRIST"),
ISNUMBER(SEARCH("GRADE 1",K250)), PROPER("GRADE 1"),
ISNUMBER(SEARCH("MALE SURGICAL",K250)), PROPER("MALE SURG &amp; ORTHOPEDIC"),
ISNUMBER(SEARCH("MALE MEDICAL",K250)), PROPER("MALE MEDICAL"),
ISNUMBER(SEARCH("GRADE 2",K250)), PROPER("GRADE 2"),
ISNUMBER(SEARCH("FEMALE WARD",K250)), PROPER("FEMALE MEDICAL"),
TRUE, "Unmapped: " &amp; K250)</f>
        <v>Labour</v>
      </c>
      <c r="M250" t="s">
        <v>292</v>
      </c>
      <c r="O250" t="s">
        <v>1034</v>
      </c>
      <c r="P250" t="str">
        <f t="shared" si="29"/>
        <v>Text Error</v>
      </c>
      <c r="Q250" s="5">
        <v>46043.559155092589</v>
      </c>
      <c r="R250" t="str">
        <f t="shared" si="30"/>
        <v>Valid Date</v>
      </c>
      <c r="S250" t="s">
        <v>1035</v>
      </c>
      <c r="T250" s="5">
        <v>46050.625844907408</v>
      </c>
      <c r="U250">
        <v>7</v>
      </c>
      <c r="V250" t="str">
        <f t="shared" si="31"/>
        <v>OK</v>
      </c>
      <c r="W250" t="s">
        <v>25</v>
      </c>
      <c r="Y250" t="s">
        <v>30</v>
      </c>
    </row>
    <row r="251" spans="1:25" x14ac:dyDescent="0.25">
      <c r="A251" t="s">
        <v>1036</v>
      </c>
      <c r="B251" t="str">
        <f t="shared" si="25"/>
        <v>Jane Emmanuel Sode</v>
      </c>
      <c r="C251">
        <v>129016</v>
      </c>
      <c r="D251" t="str">
        <f t="shared" si="24"/>
        <v>Unique</v>
      </c>
      <c r="E251" t="s">
        <v>215</v>
      </c>
      <c r="F251" s="3">
        <f t="shared" si="26"/>
        <v>25</v>
      </c>
      <c r="G251" t="s">
        <v>32</v>
      </c>
      <c r="H251" t="str">
        <f t="shared" si="27"/>
        <v>Valid</v>
      </c>
      <c r="I251" t="s">
        <v>33</v>
      </c>
      <c r="J251" t="str">
        <f t="shared" si="28"/>
        <v>Kigoma Ujiji Mc</v>
      </c>
      <c r="K251" t="s">
        <v>40</v>
      </c>
      <c r="L251" t="str" cm="1">
        <f t="array" ref="L251">_xlfn.IFS(
ISNUMBER(SEARCH("ICU",K251)), "ICU",
ISNUMBER(SEARCH("NEONATAL",K251)), PROPER("NEONATAL"),
ISNUMBER(SEARCH("LABOUR",K251)), PROPER("LABOUR"),
ISNUMBER(SEARCH("PAEDIATRIC",K251)), PROPER("PAEDIATRIC"),
ISNUMBER(SEARCH("FEMALE SURGICAL",K251)), PROPER("FEMALE SURG, ORTHO &amp; GYN"),
ISNUMBER(SEARCH("PSYCHIATRIST",K251)), PROPER("PSYCHIATRIST"),
ISNUMBER(SEARCH("GRADE 1",K251)), PROPER("GRADE 1"),
ISNUMBER(SEARCH("MALE SURGICAL",K251)), PROPER("MALE SURG &amp; ORTHOPEDIC"),
ISNUMBER(SEARCH("MALE MEDICAL",K251)), PROPER("MALE MEDICAL"),
ISNUMBER(SEARCH("GRADE 2",K251)), PROPER("GRADE 2"),
ISNUMBER(SEARCH("FEMALE WARD",K251)), PROPER("FEMALE MEDICAL"),
TRUE, "Unmapped: " &amp; K251)</f>
        <v>Labour</v>
      </c>
      <c r="M251" t="s">
        <v>22</v>
      </c>
      <c r="O251" t="s">
        <v>1037</v>
      </c>
      <c r="P251" t="str">
        <f t="shared" si="29"/>
        <v>Text Error</v>
      </c>
      <c r="Q251" s="5">
        <v>46044.629988425928</v>
      </c>
      <c r="R251" t="str">
        <f t="shared" si="30"/>
        <v>Valid Date</v>
      </c>
      <c r="S251" t="s">
        <v>1038</v>
      </c>
      <c r="T251" s="5">
        <v>46052.472800925927</v>
      </c>
      <c r="U251">
        <v>7</v>
      </c>
      <c r="V251" t="str">
        <f t="shared" si="31"/>
        <v>OK</v>
      </c>
      <c r="W251" t="s">
        <v>25</v>
      </c>
      <c r="Y251" t="s">
        <v>30</v>
      </c>
    </row>
    <row r="252" spans="1:25" x14ac:dyDescent="0.25">
      <c r="A252" t="s">
        <v>1040</v>
      </c>
      <c r="B252" t="str">
        <f t="shared" si="25"/>
        <v>Aziza Abdallah Gwegu</v>
      </c>
      <c r="C252">
        <v>72747</v>
      </c>
      <c r="D252" t="str">
        <f t="shared" si="24"/>
        <v>Unique</v>
      </c>
      <c r="E252" t="s">
        <v>1041</v>
      </c>
      <c r="F252" s="3">
        <f t="shared" si="26"/>
        <v>57</v>
      </c>
      <c r="G252" t="s">
        <v>32</v>
      </c>
      <c r="H252" t="str">
        <f t="shared" si="27"/>
        <v>Valid</v>
      </c>
      <c r="I252" t="s">
        <v>227</v>
      </c>
      <c r="J252" t="str">
        <f t="shared" si="28"/>
        <v>KGG</v>
      </c>
      <c r="K252" t="s">
        <v>202</v>
      </c>
      <c r="L252" t="str" cm="1">
        <f t="array" ref="L252">_xlfn.IFS(
ISNUMBER(SEARCH("ICU",K252)), "ICU",
ISNUMBER(SEARCH("NEONATAL",K252)), PROPER("NEONATAL"),
ISNUMBER(SEARCH("LABOUR",K252)), PROPER("LABOUR"),
ISNUMBER(SEARCH("PAEDIATRIC",K252)), PROPER("PAEDIATRIC"),
ISNUMBER(SEARCH("FEMALE SURGICAL",K252)), PROPER("FEMALE SURG, ORTHO &amp; GYN"),
ISNUMBER(SEARCH("PSYCHIATRIST",K252)), PROPER("PSYCHIATRIST"),
ISNUMBER(SEARCH("GRADE 1",K252)), PROPER("GRADE 1"),
ISNUMBER(SEARCH("MALE SURGICAL",K252)), PROPER("MALE SURG &amp; ORTHOPEDIC"),
ISNUMBER(SEARCH("MALE MEDICAL",K252)), PROPER("MALE MEDICAL"),
ISNUMBER(SEARCH("GRADE 2",K252)), PROPER("GRADE 2"),
ISNUMBER(SEARCH("FEMALE WARD",K252)), PROPER("FEMALE MEDICAL"),
TRUE, "Unmapped: " &amp; K252)</f>
        <v>Psychiatrist</v>
      </c>
      <c r="M252" t="s">
        <v>22</v>
      </c>
      <c r="O252" t="s">
        <v>1042</v>
      </c>
      <c r="P252" t="str">
        <f t="shared" si="29"/>
        <v>Text Error</v>
      </c>
      <c r="Q252" s="5">
        <v>46044.686550925922</v>
      </c>
      <c r="R252" t="str">
        <f t="shared" si="30"/>
        <v>Valid Date</v>
      </c>
      <c r="S252" t="s">
        <v>1043</v>
      </c>
      <c r="T252" s="5">
        <v>46052.36917824074</v>
      </c>
      <c r="U252">
        <v>7</v>
      </c>
      <c r="V252" t="str">
        <f t="shared" si="31"/>
        <v>OK</v>
      </c>
      <c r="W252" t="s">
        <v>25</v>
      </c>
      <c r="Y252" t="s">
        <v>30</v>
      </c>
    </row>
    <row r="253" spans="1:25" x14ac:dyDescent="0.25">
      <c r="A253" t="s">
        <v>1044</v>
      </c>
      <c r="B253" t="str">
        <f t="shared" si="25"/>
        <v>Christina Marw Waryoba</v>
      </c>
      <c r="C253">
        <v>129448</v>
      </c>
      <c r="D253" t="str">
        <f t="shared" si="24"/>
        <v>Unique</v>
      </c>
      <c r="E253" t="s">
        <v>86</v>
      </c>
      <c r="F253" s="3">
        <f t="shared" si="26"/>
        <v>23</v>
      </c>
      <c r="G253" t="s">
        <v>32</v>
      </c>
      <c r="H253" t="str">
        <f t="shared" si="27"/>
        <v>Valid</v>
      </c>
      <c r="I253" t="s">
        <v>33</v>
      </c>
      <c r="J253" t="str">
        <f t="shared" si="28"/>
        <v>Kigoma Ujiji Mc</v>
      </c>
      <c r="K253" t="s">
        <v>40</v>
      </c>
      <c r="L253" t="str" cm="1">
        <f t="array" ref="L253">_xlfn.IFS(
ISNUMBER(SEARCH("ICU",K253)), "ICU",
ISNUMBER(SEARCH("NEONATAL",K253)), PROPER("NEONATAL"),
ISNUMBER(SEARCH("LABOUR",K253)), PROPER("LABOUR"),
ISNUMBER(SEARCH("PAEDIATRIC",K253)), PROPER("PAEDIATRIC"),
ISNUMBER(SEARCH("FEMALE SURGICAL",K253)), PROPER("FEMALE SURG, ORTHO &amp; GYN"),
ISNUMBER(SEARCH("PSYCHIATRIST",K253)), PROPER("PSYCHIATRIST"),
ISNUMBER(SEARCH("GRADE 1",K253)), PROPER("GRADE 1"),
ISNUMBER(SEARCH("MALE SURGICAL",K253)), PROPER("MALE SURG &amp; ORTHOPEDIC"),
ISNUMBER(SEARCH("MALE MEDICAL",K253)), PROPER("MALE MEDICAL"),
ISNUMBER(SEARCH("GRADE 2",K253)), PROPER("GRADE 2"),
ISNUMBER(SEARCH("FEMALE WARD",K253)), PROPER("FEMALE MEDICAL"),
TRUE, "Unmapped: " &amp; K253)</f>
        <v>Labour</v>
      </c>
      <c r="M253" t="s">
        <v>22</v>
      </c>
      <c r="O253" t="s">
        <v>1045</v>
      </c>
      <c r="P253" t="str">
        <f t="shared" si="29"/>
        <v>Text Error</v>
      </c>
      <c r="Q253" s="5">
        <v>46046.140509259261</v>
      </c>
      <c r="R253" t="str">
        <f t="shared" si="30"/>
        <v>Valid Date</v>
      </c>
      <c r="S253" t="s">
        <v>1046</v>
      </c>
      <c r="T253" s="5">
        <v>46053.610763888886</v>
      </c>
      <c r="U253">
        <v>7</v>
      </c>
      <c r="V253" t="str">
        <f t="shared" si="31"/>
        <v>OK</v>
      </c>
      <c r="W253" t="s">
        <v>25</v>
      </c>
      <c r="Y253" t="s">
        <v>30</v>
      </c>
    </row>
    <row r="254" spans="1:25" x14ac:dyDescent="0.25">
      <c r="A254" t="s">
        <v>1048</v>
      </c>
      <c r="B254" t="str">
        <f t="shared" si="25"/>
        <v>Baby Of Ashura Sungura Shabani</v>
      </c>
      <c r="C254">
        <v>126510</v>
      </c>
      <c r="D254" t="str">
        <f t="shared" si="24"/>
        <v>Unique</v>
      </c>
      <c r="E254" t="s">
        <v>622</v>
      </c>
      <c r="F254" s="3" t="str">
        <f t="shared" si="26"/>
        <v>2/12</v>
      </c>
      <c r="G254" t="s">
        <v>19</v>
      </c>
      <c r="H254" t="str">
        <f t="shared" si="27"/>
        <v>Valid</v>
      </c>
      <c r="I254" t="s">
        <v>33</v>
      </c>
      <c r="J254" t="str">
        <f t="shared" si="28"/>
        <v>Kigoma Ujiji Mc</v>
      </c>
      <c r="K254" t="s">
        <v>21</v>
      </c>
      <c r="L254" t="str" cm="1">
        <f t="array" ref="L254">_xlfn.IFS(
ISNUMBER(SEARCH("ICU",K254)), "ICU",
ISNUMBER(SEARCH("NEONATAL",K254)), PROPER("NEONATAL"),
ISNUMBER(SEARCH("LABOUR",K254)), PROPER("LABOUR"),
ISNUMBER(SEARCH("PAEDIATRIC",K254)), PROPER("PAEDIATRIC"),
ISNUMBER(SEARCH("FEMALE SURGICAL",K254)), PROPER("FEMALE SURG, ORTHO &amp; GYN"),
ISNUMBER(SEARCH("PSYCHIATRIST",K254)), PROPER("PSYCHIATRIST"),
ISNUMBER(SEARCH("GRADE 1",K254)), PROPER("GRADE 1"),
ISNUMBER(SEARCH("MALE SURGICAL",K254)), PROPER("MALE SURG &amp; ORTHOPEDIC"),
ISNUMBER(SEARCH("MALE MEDICAL",K254)), PROPER("MALE MEDICAL"),
ISNUMBER(SEARCH("GRADE 2",K254)), PROPER("GRADE 2"),
ISNUMBER(SEARCH("FEMALE WARD",K254)), PROPER("FEMALE MEDICAL"),
TRUE, "Unmapped: " &amp; K254)</f>
        <v>Neonatal</v>
      </c>
      <c r="M254" t="s">
        <v>22</v>
      </c>
      <c r="O254" t="s">
        <v>1049</v>
      </c>
      <c r="P254" t="str">
        <f t="shared" si="29"/>
        <v>Text Error</v>
      </c>
      <c r="Q254" s="5">
        <v>46018.39502314815</v>
      </c>
      <c r="R254" t="str">
        <f t="shared" si="30"/>
        <v>Valid Date</v>
      </c>
      <c r="S254" t="s">
        <v>1050</v>
      </c>
      <c r="T254" s="5">
        <v>46024.706273148149</v>
      </c>
      <c r="U254">
        <v>6</v>
      </c>
      <c r="V254" t="str">
        <f t="shared" si="31"/>
        <v>OK</v>
      </c>
      <c r="W254" t="s">
        <v>25</v>
      </c>
      <c r="Y254" t="s">
        <v>30</v>
      </c>
    </row>
    <row r="255" spans="1:25" x14ac:dyDescent="0.25">
      <c r="A255" t="s">
        <v>1051</v>
      </c>
      <c r="B255" t="str">
        <f t="shared" si="25"/>
        <v>Mohamed Juma Ahmad</v>
      </c>
      <c r="C255">
        <v>126525</v>
      </c>
      <c r="D255" t="str">
        <f t="shared" si="24"/>
        <v>Unique</v>
      </c>
      <c r="E255" t="s">
        <v>18</v>
      </c>
      <c r="F255" s="3">
        <f t="shared" si="26"/>
        <v>1</v>
      </c>
      <c r="G255" t="s">
        <v>19</v>
      </c>
      <c r="H255" t="str">
        <f t="shared" si="27"/>
        <v>Valid</v>
      </c>
      <c r="I255" t="s">
        <v>33</v>
      </c>
      <c r="J255" t="str">
        <f t="shared" si="28"/>
        <v>Kigoma Ujiji Mc</v>
      </c>
      <c r="K255" t="s">
        <v>109</v>
      </c>
      <c r="L255" t="str" cm="1">
        <f t="array" ref="L255">_xlfn.IFS(
ISNUMBER(SEARCH("ICU",K255)), "ICU",
ISNUMBER(SEARCH("NEONATAL",K255)), PROPER("NEONATAL"),
ISNUMBER(SEARCH("LABOUR",K255)), PROPER("LABOUR"),
ISNUMBER(SEARCH("PAEDIATRIC",K255)), PROPER("PAEDIATRIC"),
ISNUMBER(SEARCH("FEMALE SURGICAL",K255)), PROPER("FEMALE SURG, ORTHO &amp; GYN"),
ISNUMBER(SEARCH("PSYCHIATRIST",K255)), PROPER("PSYCHIATRIST"),
ISNUMBER(SEARCH("GRADE 1",K255)), PROPER("GRADE 1"),
ISNUMBER(SEARCH("MALE SURGICAL",K255)), PROPER("MALE SURG &amp; ORTHOPEDIC"),
ISNUMBER(SEARCH("MALE MEDICAL",K255)), PROPER("MALE MEDICAL"),
ISNUMBER(SEARCH("GRADE 2",K255)), PROPER("GRADE 2"),
ISNUMBER(SEARCH("FEMALE WARD",K255)), PROPER("FEMALE MEDICAL"),
TRUE, "Unmapped: " &amp; K255)</f>
        <v>Paediatric</v>
      </c>
      <c r="M255" t="s">
        <v>22</v>
      </c>
      <c r="O255" t="s">
        <v>1052</v>
      </c>
      <c r="P255" t="str">
        <f t="shared" si="29"/>
        <v>Text Error</v>
      </c>
      <c r="Q255" s="5">
        <v>46018.601273148146</v>
      </c>
      <c r="R255" t="str">
        <f t="shared" si="30"/>
        <v>Valid Date</v>
      </c>
      <c r="S255" t="s">
        <v>1053</v>
      </c>
      <c r="T255" s="5">
        <v>46024.760821759257</v>
      </c>
      <c r="U255">
        <v>6</v>
      </c>
      <c r="V255" t="str">
        <f t="shared" si="31"/>
        <v>OK</v>
      </c>
      <c r="W255" t="s">
        <v>25</v>
      </c>
      <c r="Y255" t="s">
        <v>30</v>
      </c>
    </row>
    <row r="256" spans="1:25" x14ac:dyDescent="0.25">
      <c r="A256" t="s">
        <v>1054</v>
      </c>
      <c r="B256" t="str">
        <f t="shared" si="25"/>
        <v>2 Baby Of Ester Bosco Kiza</v>
      </c>
      <c r="C256">
        <v>126560</v>
      </c>
      <c r="D256" t="str">
        <f t="shared" si="24"/>
        <v>Unique</v>
      </c>
      <c r="E256" t="s">
        <v>622</v>
      </c>
      <c r="F256" s="3" t="str">
        <f t="shared" si="26"/>
        <v>2/12</v>
      </c>
      <c r="G256" t="s">
        <v>32</v>
      </c>
      <c r="H256" t="str">
        <f t="shared" si="27"/>
        <v>Valid</v>
      </c>
      <c r="I256" t="s">
        <v>33</v>
      </c>
      <c r="J256" t="str">
        <f t="shared" si="28"/>
        <v>Kigoma Ujiji Mc</v>
      </c>
      <c r="K256" t="s">
        <v>21</v>
      </c>
      <c r="L256" t="str" cm="1">
        <f t="array" ref="L256">_xlfn.IFS(
ISNUMBER(SEARCH("ICU",K256)), "ICU",
ISNUMBER(SEARCH("NEONATAL",K256)), PROPER("NEONATAL"),
ISNUMBER(SEARCH("LABOUR",K256)), PROPER("LABOUR"),
ISNUMBER(SEARCH("PAEDIATRIC",K256)), PROPER("PAEDIATRIC"),
ISNUMBER(SEARCH("FEMALE SURGICAL",K256)), PROPER("FEMALE SURG, ORTHO &amp; GYN"),
ISNUMBER(SEARCH("PSYCHIATRIST",K256)), PROPER("PSYCHIATRIST"),
ISNUMBER(SEARCH("GRADE 1",K256)), PROPER("GRADE 1"),
ISNUMBER(SEARCH("MALE SURGICAL",K256)), PROPER("MALE SURG &amp; ORTHOPEDIC"),
ISNUMBER(SEARCH("MALE MEDICAL",K256)), PROPER("MALE MEDICAL"),
ISNUMBER(SEARCH("GRADE 2",K256)), PROPER("GRADE 2"),
ISNUMBER(SEARCH("FEMALE WARD",K256)), PROPER("FEMALE MEDICAL"),
TRUE, "Unmapped: " &amp; K256)</f>
        <v>Neonatal</v>
      </c>
      <c r="M256" t="s">
        <v>22</v>
      </c>
      <c r="O256" t="s">
        <v>1055</v>
      </c>
      <c r="P256" t="str">
        <f t="shared" si="29"/>
        <v>Text Error</v>
      </c>
      <c r="Q256" s="5">
        <v>46019.00068287037</v>
      </c>
      <c r="R256" t="str">
        <f t="shared" si="30"/>
        <v>Valid Date</v>
      </c>
      <c r="S256" t="s">
        <v>1056</v>
      </c>
      <c r="T256" s="5">
        <v>46025.805324074077</v>
      </c>
      <c r="U256">
        <v>6</v>
      </c>
      <c r="V256" t="str">
        <f t="shared" si="31"/>
        <v>OK</v>
      </c>
      <c r="W256" t="s">
        <v>112</v>
      </c>
      <c r="Y256" t="s">
        <v>30</v>
      </c>
    </row>
    <row r="257" spans="1:25" x14ac:dyDescent="0.25">
      <c r="A257" t="s">
        <v>1057</v>
      </c>
      <c r="B257" t="str">
        <f t="shared" si="25"/>
        <v>1 Baby Of Ester Bosco Kiza</v>
      </c>
      <c r="C257">
        <v>126559</v>
      </c>
      <c r="D257" t="str">
        <f t="shared" si="24"/>
        <v>Unique</v>
      </c>
      <c r="E257" t="s">
        <v>622</v>
      </c>
      <c r="F257" s="3" t="str">
        <f t="shared" si="26"/>
        <v>2/12</v>
      </c>
      <c r="G257" t="s">
        <v>19</v>
      </c>
      <c r="H257" t="str">
        <f t="shared" si="27"/>
        <v>Valid</v>
      </c>
      <c r="I257" t="s">
        <v>33</v>
      </c>
      <c r="J257" t="str">
        <f t="shared" si="28"/>
        <v>Kigoma Ujiji Mc</v>
      </c>
      <c r="K257" t="s">
        <v>21</v>
      </c>
      <c r="L257" t="str" cm="1">
        <f t="array" ref="L257">_xlfn.IFS(
ISNUMBER(SEARCH("ICU",K257)), "ICU",
ISNUMBER(SEARCH("NEONATAL",K257)), PROPER("NEONATAL"),
ISNUMBER(SEARCH("LABOUR",K257)), PROPER("LABOUR"),
ISNUMBER(SEARCH("PAEDIATRIC",K257)), PROPER("PAEDIATRIC"),
ISNUMBER(SEARCH("FEMALE SURGICAL",K257)), PROPER("FEMALE SURG, ORTHO &amp; GYN"),
ISNUMBER(SEARCH("PSYCHIATRIST",K257)), PROPER("PSYCHIATRIST"),
ISNUMBER(SEARCH("GRADE 1",K257)), PROPER("GRADE 1"),
ISNUMBER(SEARCH("MALE SURGICAL",K257)), PROPER("MALE SURG &amp; ORTHOPEDIC"),
ISNUMBER(SEARCH("MALE MEDICAL",K257)), PROPER("MALE MEDICAL"),
ISNUMBER(SEARCH("GRADE 2",K257)), PROPER("GRADE 2"),
ISNUMBER(SEARCH("FEMALE WARD",K257)), PROPER("FEMALE MEDICAL"),
TRUE, "Unmapped: " &amp; K257)</f>
        <v>Neonatal</v>
      </c>
      <c r="M257" t="s">
        <v>22</v>
      </c>
      <c r="O257" t="s">
        <v>1058</v>
      </c>
      <c r="P257" t="str">
        <f t="shared" si="29"/>
        <v>Text Error</v>
      </c>
      <c r="Q257" s="5">
        <v>46019.007025462961</v>
      </c>
      <c r="R257" t="str">
        <f t="shared" si="30"/>
        <v>Valid Date</v>
      </c>
      <c r="S257" t="s">
        <v>1059</v>
      </c>
      <c r="T257" s="5">
        <v>46025.803773148145</v>
      </c>
      <c r="U257">
        <v>6</v>
      </c>
      <c r="V257" t="str">
        <f t="shared" si="31"/>
        <v>OK</v>
      </c>
      <c r="W257" t="s">
        <v>112</v>
      </c>
      <c r="Y257" t="s">
        <v>30</v>
      </c>
    </row>
    <row r="258" spans="1:25" x14ac:dyDescent="0.25">
      <c r="A258" t="s">
        <v>1060</v>
      </c>
      <c r="B258" t="str">
        <f t="shared" si="25"/>
        <v>Jumanne Athuman Kileko</v>
      </c>
      <c r="C258">
        <v>115475</v>
      </c>
      <c r="D258" t="str">
        <f t="shared" ref="D258:D321" si="32">IF(COUNTIF($C$2:$C$905,C258)&gt;1,"Duplicate","Unique")</f>
        <v>Unique</v>
      </c>
      <c r="E258" t="s">
        <v>1061</v>
      </c>
      <c r="F258" s="3">
        <f t="shared" si="26"/>
        <v>66</v>
      </c>
      <c r="G258" t="s">
        <v>19</v>
      </c>
      <c r="H258" t="str">
        <f t="shared" si="27"/>
        <v>Valid</v>
      </c>
      <c r="I258" t="s">
        <v>20</v>
      </c>
      <c r="J258" t="str">
        <f t="shared" si="28"/>
        <v>Uvinza</v>
      </c>
      <c r="K258" t="s">
        <v>428</v>
      </c>
      <c r="L258" t="str" cm="1">
        <f t="array" ref="L258">_xlfn.IFS(
ISNUMBER(SEARCH("ICU",K258)), "ICU",
ISNUMBER(SEARCH("NEONATAL",K258)), PROPER("NEONATAL"),
ISNUMBER(SEARCH("LABOUR",K258)), PROPER("LABOUR"),
ISNUMBER(SEARCH("PAEDIATRIC",K258)), PROPER("PAEDIATRIC"),
ISNUMBER(SEARCH("FEMALE SURGICAL",K258)), PROPER("FEMALE SURG, ORTHO &amp; GYN"),
ISNUMBER(SEARCH("PSYCHIATRIST",K258)), PROPER("PSYCHIATRIST"),
ISNUMBER(SEARCH("GRADE 1",K258)), PROPER("GRADE 1"),
ISNUMBER(SEARCH("MALE SURGICAL",K258)), PROPER("MALE SURG &amp; ORTHOPEDIC"),
ISNUMBER(SEARCH("MALE MEDICAL",K258)), PROPER("MALE MEDICAL"),
ISNUMBER(SEARCH("GRADE 2",K258)), PROPER("GRADE 2"),
ISNUMBER(SEARCH("FEMALE WARD",K258)), PROPER("FEMALE MEDICAL"),
TRUE, "Unmapped: " &amp; K258)</f>
        <v>Male Surg &amp; Orthopedic</v>
      </c>
      <c r="M258" t="s">
        <v>1062</v>
      </c>
      <c r="O258" t="s">
        <v>1063</v>
      </c>
      <c r="P258" t="str">
        <f t="shared" si="29"/>
        <v>Text Error</v>
      </c>
      <c r="Q258" s="5">
        <v>46019.906435185185</v>
      </c>
      <c r="R258" t="str">
        <f t="shared" si="30"/>
        <v>Valid Date</v>
      </c>
      <c r="S258" t="s">
        <v>1064</v>
      </c>
      <c r="T258" s="5">
        <v>46026.677291666667</v>
      </c>
      <c r="U258">
        <v>6</v>
      </c>
      <c r="V258" t="str">
        <f t="shared" si="31"/>
        <v>OK</v>
      </c>
      <c r="W258" t="s">
        <v>25</v>
      </c>
      <c r="Y258" t="s">
        <v>30</v>
      </c>
    </row>
    <row r="259" spans="1:25" x14ac:dyDescent="0.25">
      <c r="A259" t="s">
        <v>1065</v>
      </c>
      <c r="B259" t="str">
        <f t="shared" ref="B259:B322" si="33">IF(LEN(TRIM(A259))-LEN(SUBSTITUTE(TRIM(A259)," ",""))&gt;=1,TRIM(A259),"⚠ Only 1 name: "&amp;TRIM(A259))</f>
        <v>Tabagale Ezekiel Kabuga</v>
      </c>
      <c r="C259">
        <v>126605</v>
      </c>
      <c r="D259" t="str">
        <f t="shared" si="32"/>
        <v>Unique</v>
      </c>
      <c r="E259" t="s">
        <v>147</v>
      </c>
      <c r="F259" s="3">
        <f t="shared" ref="F259:F322" si="34">IF(ISNUMBER(SEARCH("month",E259)), LEFT(E259,FIND(" ",E259)-1)&amp;"/12", VALUE(LEFT(E259,FIND(" ",E259)-1)))</f>
        <v>30</v>
      </c>
      <c r="G259" t="s">
        <v>19</v>
      </c>
      <c r="H259" t="str">
        <f t="shared" ref="H259:H322" si="35">IF(OR(TRIM(G259)="Male", TRIM(G259)="Female"), "Valid", "Inconsistent")</f>
        <v>Valid</v>
      </c>
      <c r="I259" t="s">
        <v>260</v>
      </c>
      <c r="J259" t="str">
        <f t="shared" ref="J259:J322" si="36">SUBSTITUTE(SUBSTITUTE(TRIM(CLEAN(I259)),"Manisipaa ya kigoma ujiji","Kigoma Ujiji Mc"),"Buhingwe","Buhigwe")</f>
        <v>Kasulu</v>
      </c>
      <c r="K259" t="s">
        <v>428</v>
      </c>
      <c r="L259" t="str" cm="1">
        <f t="array" ref="L259">_xlfn.IFS(
ISNUMBER(SEARCH("ICU",K259)), "ICU",
ISNUMBER(SEARCH("NEONATAL",K259)), PROPER("NEONATAL"),
ISNUMBER(SEARCH("LABOUR",K259)), PROPER("LABOUR"),
ISNUMBER(SEARCH("PAEDIATRIC",K259)), PROPER("PAEDIATRIC"),
ISNUMBER(SEARCH("FEMALE SURGICAL",K259)), PROPER("FEMALE SURG, ORTHO &amp; GYN"),
ISNUMBER(SEARCH("PSYCHIATRIST",K259)), PROPER("PSYCHIATRIST"),
ISNUMBER(SEARCH("GRADE 1",K259)), PROPER("GRADE 1"),
ISNUMBER(SEARCH("MALE SURGICAL",K259)), PROPER("MALE SURG &amp; ORTHOPEDIC"),
ISNUMBER(SEARCH("MALE MEDICAL",K259)), PROPER("MALE MEDICAL"),
ISNUMBER(SEARCH("GRADE 2",K259)), PROPER("GRADE 2"),
ISNUMBER(SEARCH("FEMALE WARD",K259)), PROPER("FEMALE MEDICAL"),
TRUE, "Unmapped: " &amp; K259)</f>
        <v>Male Surg &amp; Orthopedic</v>
      </c>
      <c r="M259" t="s">
        <v>22</v>
      </c>
      <c r="O259" t="s">
        <v>1066</v>
      </c>
      <c r="P259" t="str">
        <f t="shared" ref="P259:P322" si="37">IF(ISNUMBER(O259), "Valid Date", "Text Error")</f>
        <v>Text Error</v>
      </c>
      <c r="Q259" s="5">
        <v>46019.946793981479</v>
      </c>
      <c r="R259" t="str">
        <f t="shared" ref="R259:R322" si="38">IF(ISNUMBER(Q259), "Valid Date", "Text Error")</f>
        <v>Valid Date</v>
      </c>
      <c r="S259" t="s">
        <v>1067</v>
      </c>
      <c r="T259" s="5">
        <v>46026.390057870369</v>
      </c>
      <c r="U259">
        <v>6</v>
      </c>
      <c r="V259" t="str">
        <f t="shared" ref="V259:V322" si="39">IF(NOT(ISNUMBER(U259)), "Text Error", IF(U259&lt;0, "Negative", "OK"))</f>
        <v>OK</v>
      </c>
      <c r="W259" t="s">
        <v>25</v>
      </c>
      <c r="Y259" t="s">
        <v>30</v>
      </c>
    </row>
    <row r="260" spans="1:25" x14ac:dyDescent="0.25">
      <c r="A260" t="s">
        <v>1069</v>
      </c>
      <c r="B260" t="str">
        <f t="shared" si="33"/>
        <v>Sifa Maxi Landus</v>
      </c>
      <c r="C260">
        <v>126649</v>
      </c>
      <c r="D260" t="str">
        <f t="shared" si="32"/>
        <v>Unique</v>
      </c>
      <c r="E260" t="s">
        <v>646</v>
      </c>
      <c r="F260" s="3">
        <f t="shared" si="34"/>
        <v>6</v>
      </c>
      <c r="G260" t="s">
        <v>32</v>
      </c>
      <c r="H260" t="str">
        <f t="shared" si="35"/>
        <v>Valid</v>
      </c>
      <c r="I260" t="s">
        <v>20</v>
      </c>
      <c r="J260" t="str">
        <f t="shared" si="36"/>
        <v>Uvinza</v>
      </c>
      <c r="K260" t="s">
        <v>109</v>
      </c>
      <c r="L260" t="str" cm="1">
        <f t="array" ref="L260">_xlfn.IFS(
ISNUMBER(SEARCH("ICU",K260)), "ICU",
ISNUMBER(SEARCH("NEONATAL",K260)), PROPER("NEONATAL"),
ISNUMBER(SEARCH("LABOUR",K260)), PROPER("LABOUR"),
ISNUMBER(SEARCH("PAEDIATRIC",K260)), PROPER("PAEDIATRIC"),
ISNUMBER(SEARCH("FEMALE SURGICAL",K260)), PROPER("FEMALE SURG, ORTHO &amp; GYN"),
ISNUMBER(SEARCH("PSYCHIATRIST",K260)), PROPER("PSYCHIATRIST"),
ISNUMBER(SEARCH("GRADE 1",K260)), PROPER("GRADE 1"),
ISNUMBER(SEARCH("MALE SURGICAL",K260)), PROPER("MALE SURG &amp; ORTHOPEDIC"),
ISNUMBER(SEARCH("MALE MEDICAL",K260)), PROPER("MALE MEDICAL"),
ISNUMBER(SEARCH("GRADE 2",K260)), PROPER("GRADE 2"),
ISNUMBER(SEARCH("FEMALE WARD",K260)), PROPER("FEMALE MEDICAL"),
TRUE, "Unmapped: " &amp; K260)</f>
        <v>Paediatric</v>
      </c>
      <c r="M260" t="s">
        <v>22</v>
      </c>
      <c r="O260" t="s">
        <v>1070</v>
      </c>
      <c r="P260" t="str">
        <f t="shared" si="37"/>
        <v>Text Error</v>
      </c>
      <c r="Q260" s="5">
        <v>46020.574050925927</v>
      </c>
      <c r="R260" t="str">
        <f t="shared" si="38"/>
        <v>Valid Date</v>
      </c>
      <c r="S260" t="s">
        <v>1071</v>
      </c>
      <c r="T260" s="5">
        <v>46027.570590277777</v>
      </c>
      <c r="U260">
        <v>6</v>
      </c>
      <c r="V260" t="str">
        <f t="shared" si="39"/>
        <v>OK</v>
      </c>
      <c r="W260" t="s">
        <v>25</v>
      </c>
      <c r="Y260" t="s">
        <v>30</v>
      </c>
    </row>
    <row r="261" spans="1:25" x14ac:dyDescent="0.25">
      <c r="A261" t="s">
        <v>1072</v>
      </c>
      <c r="B261" t="str">
        <f t="shared" si="33"/>
        <v>Issa Hussein Maulid</v>
      </c>
      <c r="C261">
        <v>126865</v>
      </c>
      <c r="D261" t="str">
        <f t="shared" si="32"/>
        <v>Unique</v>
      </c>
      <c r="E261" t="s">
        <v>622</v>
      </c>
      <c r="F261" s="3" t="str">
        <f t="shared" si="34"/>
        <v>2/12</v>
      </c>
      <c r="G261" t="s">
        <v>19</v>
      </c>
      <c r="H261" t="str">
        <f t="shared" si="35"/>
        <v>Valid</v>
      </c>
      <c r="I261" t="s">
        <v>20</v>
      </c>
      <c r="J261" t="str">
        <f t="shared" si="36"/>
        <v>Uvinza</v>
      </c>
      <c r="K261" t="s">
        <v>21</v>
      </c>
      <c r="L261" t="str" cm="1">
        <f t="array" ref="L261">_xlfn.IFS(
ISNUMBER(SEARCH("ICU",K261)), "ICU",
ISNUMBER(SEARCH("NEONATAL",K261)), PROPER("NEONATAL"),
ISNUMBER(SEARCH("LABOUR",K261)), PROPER("LABOUR"),
ISNUMBER(SEARCH("PAEDIATRIC",K261)), PROPER("PAEDIATRIC"),
ISNUMBER(SEARCH("FEMALE SURGICAL",K261)), PROPER("FEMALE SURG, ORTHO &amp; GYN"),
ISNUMBER(SEARCH("PSYCHIATRIST",K261)), PROPER("PSYCHIATRIST"),
ISNUMBER(SEARCH("GRADE 1",K261)), PROPER("GRADE 1"),
ISNUMBER(SEARCH("MALE SURGICAL",K261)), PROPER("MALE SURG &amp; ORTHOPEDIC"),
ISNUMBER(SEARCH("MALE MEDICAL",K261)), PROPER("MALE MEDICAL"),
ISNUMBER(SEARCH("GRADE 2",K261)), PROPER("GRADE 2"),
ISNUMBER(SEARCH("FEMALE WARD",K261)), PROPER("FEMALE MEDICAL"),
TRUE, "Unmapped: " &amp; K261)</f>
        <v>Neonatal</v>
      </c>
      <c r="M261" t="s">
        <v>22</v>
      </c>
      <c r="O261" t="s">
        <v>1073</v>
      </c>
      <c r="P261" t="str">
        <f t="shared" si="37"/>
        <v>Text Error</v>
      </c>
      <c r="Q261" s="5">
        <v>46021.95921296296</v>
      </c>
      <c r="R261" t="str">
        <f t="shared" si="38"/>
        <v>Valid Date</v>
      </c>
      <c r="S261" t="s">
        <v>1074</v>
      </c>
      <c r="T261" s="5">
        <v>46028.624606481484</v>
      </c>
      <c r="U261">
        <v>6</v>
      </c>
      <c r="V261" t="str">
        <f t="shared" si="39"/>
        <v>OK</v>
      </c>
      <c r="W261" t="s">
        <v>25</v>
      </c>
      <c r="Y261" t="s">
        <v>30</v>
      </c>
    </row>
    <row r="262" spans="1:25" x14ac:dyDescent="0.25">
      <c r="A262" t="s">
        <v>1075</v>
      </c>
      <c r="B262" t="str">
        <f t="shared" si="33"/>
        <v>Asinati Nasoro Kwenula</v>
      </c>
      <c r="C262">
        <v>125298</v>
      </c>
      <c r="D262" t="str">
        <f t="shared" si="32"/>
        <v>Unique</v>
      </c>
      <c r="E262" t="s">
        <v>138</v>
      </c>
      <c r="F262" s="3">
        <f t="shared" si="34"/>
        <v>18</v>
      </c>
      <c r="G262" t="s">
        <v>32</v>
      </c>
      <c r="H262" t="str">
        <f t="shared" si="35"/>
        <v>Valid</v>
      </c>
      <c r="I262" t="s">
        <v>33</v>
      </c>
      <c r="J262" t="str">
        <f t="shared" si="36"/>
        <v>Kigoma Ujiji Mc</v>
      </c>
      <c r="K262" t="s">
        <v>123</v>
      </c>
      <c r="L262" t="str" cm="1">
        <f t="array" ref="L262">_xlfn.IFS(
ISNUMBER(SEARCH("ICU",K262)), "ICU",
ISNUMBER(SEARCH("NEONATAL",K262)), PROPER("NEONATAL"),
ISNUMBER(SEARCH("LABOUR",K262)), PROPER("LABOUR"),
ISNUMBER(SEARCH("PAEDIATRIC",K262)), PROPER("PAEDIATRIC"),
ISNUMBER(SEARCH("FEMALE SURGICAL",K262)), PROPER("FEMALE SURG, ORTHO &amp; GYN"),
ISNUMBER(SEARCH("PSYCHIATRIST",K262)), PROPER("PSYCHIATRIST"),
ISNUMBER(SEARCH("GRADE 1",K262)), PROPER("GRADE 1"),
ISNUMBER(SEARCH("MALE SURGICAL",K262)), PROPER("MALE SURG &amp; ORTHOPEDIC"),
ISNUMBER(SEARCH("MALE MEDICAL",K262)), PROPER("MALE MEDICAL"),
ISNUMBER(SEARCH("GRADE 2",K262)), PROPER("GRADE 2"),
ISNUMBER(SEARCH("FEMALE WARD",K262)), PROPER("FEMALE MEDICAL"),
TRUE, "Unmapped: " &amp; K262)</f>
        <v>Female Surg, Ortho &amp; Gyn</v>
      </c>
      <c r="M262" t="s">
        <v>22</v>
      </c>
      <c r="O262" t="s">
        <v>1076</v>
      </c>
      <c r="P262" t="str">
        <f t="shared" si="37"/>
        <v>Text Error</v>
      </c>
      <c r="Q262" s="5">
        <v>46022.130300925928</v>
      </c>
      <c r="R262" t="str">
        <f t="shared" si="38"/>
        <v>Valid Date</v>
      </c>
      <c r="S262" t="s">
        <v>1077</v>
      </c>
      <c r="T262" s="5">
        <v>46028.72587962963</v>
      </c>
      <c r="U262">
        <v>6</v>
      </c>
      <c r="V262" t="str">
        <f t="shared" si="39"/>
        <v>OK</v>
      </c>
      <c r="W262" t="s">
        <v>25</v>
      </c>
      <c r="Y262" t="s">
        <v>30</v>
      </c>
    </row>
    <row r="263" spans="1:25" x14ac:dyDescent="0.25">
      <c r="A263" t="s">
        <v>1078</v>
      </c>
      <c r="B263" t="str">
        <f t="shared" si="33"/>
        <v>Babyoffatuma Makwa Selemani</v>
      </c>
      <c r="C263">
        <v>126868</v>
      </c>
      <c r="D263" t="str">
        <f t="shared" si="32"/>
        <v>Unique</v>
      </c>
      <c r="E263" t="s">
        <v>622</v>
      </c>
      <c r="F263" s="3" t="str">
        <f t="shared" si="34"/>
        <v>2/12</v>
      </c>
      <c r="G263" t="s">
        <v>32</v>
      </c>
      <c r="H263" t="str">
        <f t="shared" si="35"/>
        <v>Valid</v>
      </c>
      <c r="I263" t="s">
        <v>33</v>
      </c>
      <c r="J263" t="str">
        <f t="shared" si="36"/>
        <v>Kigoma Ujiji Mc</v>
      </c>
      <c r="K263" t="s">
        <v>21</v>
      </c>
      <c r="L263" t="str" cm="1">
        <f t="array" ref="L263">_xlfn.IFS(
ISNUMBER(SEARCH("ICU",K263)), "ICU",
ISNUMBER(SEARCH("NEONATAL",K263)), PROPER("NEONATAL"),
ISNUMBER(SEARCH("LABOUR",K263)), PROPER("LABOUR"),
ISNUMBER(SEARCH("PAEDIATRIC",K263)), PROPER("PAEDIATRIC"),
ISNUMBER(SEARCH("FEMALE SURGICAL",K263)), PROPER("FEMALE SURG, ORTHO &amp; GYN"),
ISNUMBER(SEARCH("PSYCHIATRIST",K263)), PROPER("PSYCHIATRIST"),
ISNUMBER(SEARCH("GRADE 1",K263)), PROPER("GRADE 1"),
ISNUMBER(SEARCH("MALE SURGICAL",K263)), PROPER("MALE SURG &amp; ORTHOPEDIC"),
ISNUMBER(SEARCH("MALE MEDICAL",K263)), PROPER("MALE MEDICAL"),
ISNUMBER(SEARCH("GRADE 2",K263)), PROPER("GRADE 2"),
ISNUMBER(SEARCH("FEMALE WARD",K263)), PROPER("FEMALE MEDICAL"),
TRUE, "Unmapped: " &amp; K263)</f>
        <v>Neonatal</v>
      </c>
      <c r="M263" t="s">
        <v>22</v>
      </c>
      <c r="O263" t="s">
        <v>1079</v>
      </c>
      <c r="P263" t="str">
        <f t="shared" si="37"/>
        <v>Text Error</v>
      </c>
      <c r="Q263" s="5">
        <v>46022.301481481481</v>
      </c>
      <c r="R263" t="str">
        <f t="shared" si="38"/>
        <v>Valid Date</v>
      </c>
      <c r="S263" t="s">
        <v>1080</v>
      </c>
      <c r="T263" s="5">
        <v>46028.643506944441</v>
      </c>
      <c r="U263">
        <v>6</v>
      </c>
      <c r="V263" t="str">
        <f t="shared" si="39"/>
        <v>OK</v>
      </c>
      <c r="W263" t="s">
        <v>25</v>
      </c>
      <c r="Y263" t="s">
        <v>30</v>
      </c>
    </row>
    <row r="264" spans="1:25" x14ac:dyDescent="0.25">
      <c r="A264" t="s">
        <v>1081</v>
      </c>
      <c r="B264" t="str">
        <f t="shared" si="33"/>
        <v>Boaneji Vitus Morice</v>
      </c>
      <c r="C264">
        <v>127070</v>
      </c>
      <c r="D264" t="str">
        <f t="shared" si="32"/>
        <v>Unique</v>
      </c>
      <c r="E264" t="s">
        <v>454</v>
      </c>
      <c r="F264" s="3">
        <f t="shared" si="34"/>
        <v>3</v>
      </c>
      <c r="G264" t="s">
        <v>19</v>
      </c>
      <c r="H264" t="str">
        <f t="shared" si="35"/>
        <v>Valid</v>
      </c>
      <c r="I264" t="s">
        <v>62</v>
      </c>
      <c r="J264" t="str">
        <f t="shared" si="36"/>
        <v>Kigoma Vijijini</v>
      </c>
      <c r="K264" t="s">
        <v>109</v>
      </c>
      <c r="L264" t="str" cm="1">
        <f t="array" ref="L264">_xlfn.IFS(
ISNUMBER(SEARCH("ICU",K264)), "ICU",
ISNUMBER(SEARCH("NEONATAL",K264)), PROPER("NEONATAL"),
ISNUMBER(SEARCH("LABOUR",K264)), PROPER("LABOUR"),
ISNUMBER(SEARCH("PAEDIATRIC",K264)), PROPER("PAEDIATRIC"),
ISNUMBER(SEARCH("FEMALE SURGICAL",K264)), PROPER("FEMALE SURG, ORTHO &amp; GYN"),
ISNUMBER(SEARCH("PSYCHIATRIST",K264)), PROPER("PSYCHIATRIST"),
ISNUMBER(SEARCH("GRADE 1",K264)), PROPER("GRADE 1"),
ISNUMBER(SEARCH("MALE SURGICAL",K264)), PROPER("MALE SURG &amp; ORTHOPEDIC"),
ISNUMBER(SEARCH("MALE MEDICAL",K264)), PROPER("MALE MEDICAL"),
ISNUMBER(SEARCH("GRADE 2",K264)), PROPER("GRADE 2"),
ISNUMBER(SEARCH("FEMALE WARD",K264)), PROPER("FEMALE MEDICAL"),
TRUE, "Unmapped: " &amp; K264)</f>
        <v>Paediatric</v>
      </c>
      <c r="M264" t="s">
        <v>22</v>
      </c>
      <c r="O264" t="s">
        <v>1082</v>
      </c>
      <c r="P264" t="str">
        <f t="shared" si="37"/>
        <v>Text Error</v>
      </c>
      <c r="Q264" s="5">
        <v>46024.610648148147</v>
      </c>
      <c r="R264" t="str">
        <f t="shared" si="38"/>
        <v>Valid Date</v>
      </c>
      <c r="S264" t="s">
        <v>1083</v>
      </c>
      <c r="T264" s="5">
        <v>46031.554224537038</v>
      </c>
      <c r="U264">
        <v>6</v>
      </c>
      <c r="V264" t="str">
        <f t="shared" si="39"/>
        <v>OK</v>
      </c>
      <c r="W264" t="s">
        <v>25</v>
      </c>
      <c r="Y264" t="s">
        <v>30</v>
      </c>
    </row>
    <row r="265" spans="1:25" x14ac:dyDescent="0.25">
      <c r="A265" t="s">
        <v>1084</v>
      </c>
      <c r="B265" t="str">
        <f t="shared" si="33"/>
        <v>Jeniroza Haruna Kasunzu</v>
      </c>
      <c r="C265">
        <v>127095</v>
      </c>
      <c r="D265" t="str">
        <f t="shared" si="32"/>
        <v>Unique</v>
      </c>
      <c r="E265" t="s">
        <v>541</v>
      </c>
      <c r="F265" s="3">
        <f t="shared" si="34"/>
        <v>42</v>
      </c>
      <c r="G265" t="s">
        <v>32</v>
      </c>
      <c r="H265" t="str">
        <f t="shared" si="35"/>
        <v>Valid</v>
      </c>
      <c r="I265" t="s">
        <v>260</v>
      </c>
      <c r="J265" t="str">
        <f t="shared" si="36"/>
        <v>Kasulu</v>
      </c>
      <c r="K265" t="s">
        <v>123</v>
      </c>
      <c r="L265" t="str" cm="1">
        <f t="array" ref="L265">_xlfn.IFS(
ISNUMBER(SEARCH("ICU",K265)), "ICU",
ISNUMBER(SEARCH("NEONATAL",K265)), PROPER("NEONATAL"),
ISNUMBER(SEARCH("LABOUR",K265)), PROPER("LABOUR"),
ISNUMBER(SEARCH("PAEDIATRIC",K265)), PROPER("PAEDIATRIC"),
ISNUMBER(SEARCH("FEMALE SURGICAL",K265)), PROPER("FEMALE SURG, ORTHO &amp; GYN"),
ISNUMBER(SEARCH("PSYCHIATRIST",K265)), PROPER("PSYCHIATRIST"),
ISNUMBER(SEARCH("GRADE 1",K265)), PROPER("GRADE 1"),
ISNUMBER(SEARCH("MALE SURGICAL",K265)), PROPER("MALE SURG &amp; ORTHOPEDIC"),
ISNUMBER(SEARCH("MALE MEDICAL",K265)), PROPER("MALE MEDICAL"),
ISNUMBER(SEARCH("GRADE 2",K265)), PROPER("GRADE 2"),
ISNUMBER(SEARCH("FEMALE WARD",K265)), PROPER("FEMALE MEDICAL"),
TRUE, "Unmapped: " &amp; K265)</f>
        <v>Female Surg, Ortho &amp; Gyn</v>
      </c>
      <c r="M265" t="s">
        <v>22</v>
      </c>
      <c r="O265" t="s">
        <v>1085</v>
      </c>
      <c r="P265" t="str">
        <f t="shared" si="37"/>
        <v>Text Error</v>
      </c>
      <c r="Q265" s="5">
        <v>46024.854224537034</v>
      </c>
      <c r="R265" t="str">
        <f t="shared" si="38"/>
        <v>Valid Date</v>
      </c>
      <c r="S265" t="s">
        <v>1086</v>
      </c>
      <c r="T265" s="5">
        <v>46031.738900462966</v>
      </c>
      <c r="U265">
        <v>6</v>
      </c>
      <c r="V265" t="str">
        <f t="shared" si="39"/>
        <v>OK</v>
      </c>
      <c r="W265" t="s">
        <v>25</v>
      </c>
      <c r="Y265" t="s">
        <v>30</v>
      </c>
    </row>
    <row r="266" spans="1:25" x14ac:dyDescent="0.25">
      <c r="A266" t="s">
        <v>1087</v>
      </c>
      <c r="B266" t="str">
        <f t="shared" si="33"/>
        <v>Maria Gaston Ntibashima</v>
      </c>
      <c r="C266">
        <v>127171</v>
      </c>
      <c r="D266" t="str">
        <f t="shared" si="32"/>
        <v>Unique</v>
      </c>
      <c r="E266" t="s">
        <v>361</v>
      </c>
      <c r="F266" s="3">
        <f t="shared" si="34"/>
        <v>27</v>
      </c>
      <c r="G266" t="s">
        <v>32</v>
      </c>
      <c r="H266" t="str">
        <f t="shared" si="35"/>
        <v>Valid</v>
      </c>
      <c r="I266" t="s">
        <v>260</v>
      </c>
      <c r="J266" t="str">
        <f t="shared" si="36"/>
        <v>Kasulu</v>
      </c>
      <c r="K266" t="s">
        <v>40</v>
      </c>
      <c r="L266" t="str" cm="1">
        <f t="array" ref="L266">_xlfn.IFS(
ISNUMBER(SEARCH("ICU",K266)), "ICU",
ISNUMBER(SEARCH("NEONATAL",K266)), PROPER("NEONATAL"),
ISNUMBER(SEARCH("LABOUR",K266)), PROPER("LABOUR"),
ISNUMBER(SEARCH("PAEDIATRIC",K266)), PROPER("PAEDIATRIC"),
ISNUMBER(SEARCH("FEMALE SURGICAL",K266)), PROPER("FEMALE SURG, ORTHO &amp; GYN"),
ISNUMBER(SEARCH("PSYCHIATRIST",K266)), PROPER("PSYCHIATRIST"),
ISNUMBER(SEARCH("GRADE 1",K266)), PROPER("GRADE 1"),
ISNUMBER(SEARCH("MALE SURGICAL",K266)), PROPER("MALE SURG &amp; ORTHOPEDIC"),
ISNUMBER(SEARCH("MALE MEDICAL",K266)), PROPER("MALE MEDICAL"),
ISNUMBER(SEARCH("GRADE 2",K266)), PROPER("GRADE 2"),
ISNUMBER(SEARCH("FEMALE WARD",K266)), PROPER("FEMALE MEDICAL"),
TRUE, "Unmapped: " &amp; K266)</f>
        <v>Labour</v>
      </c>
      <c r="M266" t="s">
        <v>22</v>
      </c>
      <c r="O266" t="s">
        <v>1088</v>
      </c>
      <c r="P266" t="str">
        <f t="shared" si="37"/>
        <v>Text Error</v>
      </c>
      <c r="Q266" s="5">
        <v>46025.620358796295</v>
      </c>
      <c r="R266" t="str">
        <f t="shared" si="38"/>
        <v>Valid Date</v>
      </c>
      <c r="S266" t="s">
        <v>1089</v>
      </c>
      <c r="T266" s="5">
        <v>46031.75917824074</v>
      </c>
      <c r="U266">
        <v>6</v>
      </c>
      <c r="V266" t="str">
        <f t="shared" si="39"/>
        <v>OK</v>
      </c>
      <c r="W266" t="s">
        <v>25</v>
      </c>
      <c r="Y266" t="s">
        <v>30</v>
      </c>
    </row>
    <row r="267" spans="1:25" x14ac:dyDescent="0.25">
      <c r="A267" t="s">
        <v>1090</v>
      </c>
      <c r="B267" t="str">
        <f t="shared" si="33"/>
        <v>Amisa Moshi Panja</v>
      </c>
      <c r="C267">
        <v>127192</v>
      </c>
      <c r="D267" t="str">
        <f t="shared" si="32"/>
        <v>Unique</v>
      </c>
      <c r="E267" t="s">
        <v>142</v>
      </c>
      <c r="F267" s="3">
        <f t="shared" si="34"/>
        <v>20</v>
      </c>
      <c r="G267" t="s">
        <v>32</v>
      </c>
      <c r="H267" t="str">
        <f t="shared" si="35"/>
        <v>Valid</v>
      </c>
      <c r="I267" t="s">
        <v>62</v>
      </c>
      <c r="J267" t="str">
        <f t="shared" si="36"/>
        <v>Kigoma Vijijini</v>
      </c>
      <c r="K267" t="s">
        <v>40</v>
      </c>
      <c r="L267" t="str" cm="1">
        <f t="array" ref="L267">_xlfn.IFS(
ISNUMBER(SEARCH("ICU",K267)), "ICU",
ISNUMBER(SEARCH("NEONATAL",K267)), PROPER("NEONATAL"),
ISNUMBER(SEARCH("LABOUR",K267)), PROPER("LABOUR"),
ISNUMBER(SEARCH("PAEDIATRIC",K267)), PROPER("PAEDIATRIC"),
ISNUMBER(SEARCH("FEMALE SURGICAL",K267)), PROPER("FEMALE SURG, ORTHO &amp; GYN"),
ISNUMBER(SEARCH("PSYCHIATRIST",K267)), PROPER("PSYCHIATRIST"),
ISNUMBER(SEARCH("GRADE 1",K267)), PROPER("GRADE 1"),
ISNUMBER(SEARCH("MALE SURGICAL",K267)), PROPER("MALE SURG &amp; ORTHOPEDIC"),
ISNUMBER(SEARCH("MALE MEDICAL",K267)), PROPER("MALE MEDICAL"),
ISNUMBER(SEARCH("GRADE 2",K267)), PROPER("GRADE 2"),
ISNUMBER(SEARCH("FEMALE WARD",K267)), PROPER("FEMALE MEDICAL"),
TRUE, "Unmapped: " &amp; K267)</f>
        <v>Labour</v>
      </c>
      <c r="M267" t="s">
        <v>22</v>
      </c>
      <c r="O267" t="s">
        <v>1091</v>
      </c>
      <c r="P267" t="str">
        <f t="shared" si="37"/>
        <v>Text Error</v>
      </c>
      <c r="Q267" s="5">
        <v>46025.911041666666</v>
      </c>
      <c r="R267" t="str">
        <f t="shared" si="38"/>
        <v>Valid Date</v>
      </c>
      <c r="S267" t="s">
        <v>1092</v>
      </c>
      <c r="T267" s="5">
        <v>46032.687048611115</v>
      </c>
      <c r="U267">
        <v>6</v>
      </c>
      <c r="V267" t="str">
        <f t="shared" si="39"/>
        <v>OK</v>
      </c>
      <c r="W267" t="s">
        <v>25</v>
      </c>
      <c r="Y267" t="s">
        <v>30</v>
      </c>
    </row>
    <row r="268" spans="1:25" x14ac:dyDescent="0.25">
      <c r="A268" t="s">
        <v>1093</v>
      </c>
      <c r="B268" t="str">
        <f t="shared" si="33"/>
        <v>Babyof Amisa Moshi Panja</v>
      </c>
      <c r="C268">
        <v>127196</v>
      </c>
      <c r="D268" t="str">
        <f t="shared" si="32"/>
        <v>Unique</v>
      </c>
      <c r="E268" t="s">
        <v>622</v>
      </c>
      <c r="F268" s="3" t="str">
        <f t="shared" si="34"/>
        <v>2/12</v>
      </c>
      <c r="G268" t="s">
        <v>19</v>
      </c>
      <c r="H268" t="str">
        <f t="shared" si="35"/>
        <v>Valid</v>
      </c>
      <c r="I268" t="s">
        <v>62</v>
      </c>
      <c r="J268" t="str">
        <f t="shared" si="36"/>
        <v>Kigoma Vijijini</v>
      </c>
      <c r="K268" t="s">
        <v>21</v>
      </c>
      <c r="L268" t="str" cm="1">
        <f t="array" ref="L268">_xlfn.IFS(
ISNUMBER(SEARCH("ICU",K268)), "ICU",
ISNUMBER(SEARCH("NEONATAL",K268)), PROPER("NEONATAL"),
ISNUMBER(SEARCH("LABOUR",K268)), PROPER("LABOUR"),
ISNUMBER(SEARCH("PAEDIATRIC",K268)), PROPER("PAEDIATRIC"),
ISNUMBER(SEARCH("FEMALE SURGICAL",K268)), PROPER("FEMALE SURG, ORTHO &amp; GYN"),
ISNUMBER(SEARCH("PSYCHIATRIST",K268)), PROPER("PSYCHIATRIST"),
ISNUMBER(SEARCH("GRADE 1",K268)), PROPER("GRADE 1"),
ISNUMBER(SEARCH("MALE SURGICAL",K268)), PROPER("MALE SURG &amp; ORTHOPEDIC"),
ISNUMBER(SEARCH("MALE MEDICAL",K268)), PROPER("MALE MEDICAL"),
ISNUMBER(SEARCH("GRADE 2",K268)), PROPER("GRADE 2"),
ISNUMBER(SEARCH("FEMALE WARD",K268)), PROPER("FEMALE MEDICAL"),
TRUE, "Unmapped: " &amp; K268)</f>
        <v>Neonatal</v>
      </c>
      <c r="M268" t="s">
        <v>22</v>
      </c>
      <c r="O268" t="s">
        <v>1094</v>
      </c>
      <c r="P268" t="str">
        <f t="shared" si="37"/>
        <v>Text Error</v>
      </c>
      <c r="Q268" s="5">
        <v>46026.623240740744</v>
      </c>
      <c r="R268" t="str">
        <f t="shared" si="38"/>
        <v>Valid Date</v>
      </c>
      <c r="S268" t="s">
        <v>1095</v>
      </c>
      <c r="T268" s="5">
        <v>46032.675717592596</v>
      </c>
      <c r="U268">
        <v>6</v>
      </c>
      <c r="V268" t="str">
        <f t="shared" si="39"/>
        <v>OK</v>
      </c>
      <c r="W268" t="s">
        <v>25</v>
      </c>
      <c r="Y268" t="s">
        <v>30</v>
      </c>
    </row>
    <row r="269" spans="1:25" x14ac:dyDescent="0.25">
      <c r="A269" t="s">
        <v>1096</v>
      </c>
      <c r="B269" t="str">
        <f t="shared" si="33"/>
        <v>Precious Boniface Mponya</v>
      </c>
      <c r="C269">
        <v>127400</v>
      </c>
      <c r="D269" t="str">
        <f t="shared" si="32"/>
        <v>Unique</v>
      </c>
      <c r="E269" t="s">
        <v>622</v>
      </c>
      <c r="F269" s="3" t="str">
        <f t="shared" si="34"/>
        <v>2/12</v>
      </c>
      <c r="G269" t="s">
        <v>32</v>
      </c>
      <c r="H269" t="str">
        <f t="shared" si="35"/>
        <v>Valid</v>
      </c>
      <c r="I269" t="s">
        <v>33</v>
      </c>
      <c r="J269" t="str">
        <f t="shared" si="36"/>
        <v>Kigoma Ujiji Mc</v>
      </c>
      <c r="K269" t="s">
        <v>21</v>
      </c>
      <c r="L269" t="str" cm="1">
        <f t="array" ref="L269">_xlfn.IFS(
ISNUMBER(SEARCH("ICU",K269)), "ICU",
ISNUMBER(SEARCH("NEONATAL",K269)), PROPER("NEONATAL"),
ISNUMBER(SEARCH("LABOUR",K269)), PROPER("LABOUR"),
ISNUMBER(SEARCH("PAEDIATRIC",K269)), PROPER("PAEDIATRIC"),
ISNUMBER(SEARCH("FEMALE SURGICAL",K269)), PROPER("FEMALE SURG, ORTHO &amp; GYN"),
ISNUMBER(SEARCH("PSYCHIATRIST",K269)), PROPER("PSYCHIATRIST"),
ISNUMBER(SEARCH("GRADE 1",K269)), PROPER("GRADE 1"),
ISNUMBER(SEARCH("MALE SURGICAL",K269)), PROPER("MALE SURG &amp; ORTHOPEDIC"),
ISNUMBER(SEARCH("MALE MEDICAL",K269)), PROPER("MALE MEDICAL"),
ISNUMBER(SEARCH("GRADE 2",K269)), PROPER("GRADE 2"),
ISNUMBER(SEARCH("FEMALE WARD",K269)), PROPER("FEMALE MEDICAL"),
TRUE, "Unmapped: " &amp; K269)</f>
        <v>Neonatal</v>
      </c>
      <c r="M269" t="s">
        <v>22</v>
      </c>
      <c r="O269" t="s">
        <v>1097</v>
      </c>
      <c r="P269" t="str">
        <f t="shared" si="37"/>
        <v>Text Error</v>
      </c>
      <c r="Q269" s="5">
        <v>46027.721956018519</v>
      </c>
      <c r="R269" t="str">
        <f t="shared" si="38"/>
        <v>Valid Date</v>
      </c>
      <c r="S269" t="s">
        <v>1098</v>
      </c>
      <c r="T269" s="5">
        <v>46034.594560185185</v>
      </c>
      <c r="U269">
        <v>6</v>
      </c>
      <c r="V269" t="str">
        <f t="shared" si="39"/>
        <v>OK</v>
      </c>
      <c r="W269" t="s">
        <v>25</v>
      </c>
      <c r="Y269" t="s">
        <v>30</v>
      </c>
    </row>
    <row r="270" spans="1:25" x14ac:dyDescent="0.25">
      <c r="A270" t="s">
        <v>1099</v>
      </c>
      <c r="B270" t="str">
        <f t="shared" si="33"/>
        <v>Zuhura Antony Kanyiki</v>
      </c>
      <c r="C270">
        <v>127373</v>
      </c>
      <c r="D270" t="str">
        <f t="shared" si="32"/>
        <v>Unique</v>
      </c>
      <c r="E270" t="s">
        <v>1100</v>
      </c>
      <c r="F270" s="3">
        <f t="shared" si="34"/>
        <v>80</v>
      </c>
      <c r="G270" t="s">
        <v>32</v>
      </c>
      <c r="H270" t="str">
        <f t="shared" si="35"/>
        <v>Valid</v>
      </c>
      <c r="I270" t="s">
        <v>33</v>
      </c>
      <c r="J270" t="str">
        <f t="shared" si="36"/>
        <v>Kigoma Ujiji Mc</v>
      </c>
      <c r="K270" t="s">
        <v>123</v>
      </c>
      <c r="L270" t="str" cm="1">
        <f t="array" ref="L270">_xlfn.IFS(
ISNUMBER(SEARCH("ICU",K270)), "ICU",
ISNUMBER(SEARCH("NEONATAL",K270)), PROPER("NEONATAL"),
ISNUMBER(SEARCH("LABOUR",K270)), PROPER("LABOUR"),
ISNUMBER(SEARCH("PAEDIATRIC",K270)), PROPER("PAEDIATRIC"),
ISNUMBER(SEARCH("FEMALE SURGICAL",K270)), PROPER("FEMALE SURG, ORTHO &amp; GYN"),
ISNUMBER(SEARCH("PSYCHIATRIST",K270)), PROPER("PSYCHIATRIST"),
ISNUMBER(SEARCH("GRADE 1",K270)), PROPER("GRADE 1"),
ISNUMBER(SEARCH("MALE SURGICAL",K270)), PROPER("MALE SURG &amp; ORTHOPEDIC"),
ISNUMBER(SEARCH("MALE MEDICAL",K270)), PROPER("MALE MEDICAL"),
ISNUMBER(SEARCH("GRADE 2",K270)), PROPER("GRADE 2"),
ISNUMBER(SEARCH("FEMALE WARD",K270)), PROPER("FEMALE MEDICAL"),
TRUE, "Unmapped: " &amp; K270)</f>
        <v>Female Surg, Ortho &amp; Gyn</v>
      </c>
      <c r="M270" t="s">
        <v>22</v>
      </c>
      <c r="O270" t="s">
        <v>1101</v>
      </c>
      <c r="P270" t="str">
        <f t="shared" si="37"/>
        <v>Text Error</v>
      </c>
      <c r="Q270" s="5">
        <v>46027.797812500001</v>
      </c>
      <c r="R270" t="str">
        <f t="shared" si="38"/>
        <v>Valid Date</v>
      </c>
      <c r="S270" t="s">
        <v>1102</v>
      </c>
      <c r="T270" s="5">
        <v>46034.460046296299</v>
      </c>
      <c r="U270">
        <v>6</v>
      </c>
      <c r="V270" t="str">
        <f t="shared" si="39"/>
        <v>OK</v>
      </c>
      <c r="W270" t="s">
        <v>112</v>
      </c>
      <c r="Y270" t="s">
        <v>30</v>
      </c>
    </row>
    <row r="271" spans="1:25" x14ac:dyDescent="0.25">
      <c r="A271" t="s">
        <v>1104</v>
      </c>
      <c r="B271" t="str">
        <f t="shared" si="33"/>
        <v>Nadhili Omary Nadhili</v>
      </c>
      <c r="C271">
        <v>127559</v>
      </c>
      <c r="D271" t="str">
        <f t="shared" si="32"/>
        <v>Unique</v>
      </c>
      <c r="E271" t="s">
        <v>634</v>
      </c>
      <c r="F271" s="3" t="str">
        <f t="shared" si="34"/>
        <v>3/12</v>
      </c>
      <c r="G271" t="s">
        <v>19</v>
      </c>
      <c r="H271" t="str">
        <f t="shared" si="35"/>
        <v>Valid</v>
      </c>
      <c r="I271" t="s">
        <v>62</v>
      </c>
      <c r="J271" t="str">
        <f t="shared" si="36"/>
        <v>Kigoma Vijijini</v>
      </c>
      <c r="K271" t="s">
        <v>109</v>
      </c>
      <c r="L271" t="str" cm="1">
        <f t="array" ref="L271">_xlfn.IFS(
ISNUMBER(SEARCH("ICU",K271)), "ICU",
ISNUMBER(SEARCH("NEONATAL",K271)), PROPER("NEONATAL"),
ISNUMBER(SEARCH("LABOUR",K271)), PROPER("LABOUR"),
ISNUMBER(SEARCH("PAEDIATRIC",K271)), PROPER("PAEDIATRIC"),
ISNUMBER(SEARCH("FEMALE SURGICAL",K271)), PROPER("FEMALE SURG, ORTHO &amp; GYN"),
ISNUMBER(SEARCH("PSYCHIATRIST",K271)), PROPER("PSYCHIATRIST"),
ISNUMBER(SEARCH("GRADE 1",K271)), PROPER("GRADE 1"),
ISNUMBER(SEARCH("MALE SURGICAL",K271)), PROPER("MALE SURG &amp; ORTHOPEDIC"),
ISNUMBER(SEARCH("MALE MEDICAL",K271)), PROPER("MALE MEDICAL"),
ISNUMBER(SEARCH("GRADE 2",K271)), PROPER("GRADE 2"),
ISNUMBER(SEARCH("FEMALE WARD",K271)), PROPER("FEMALE MEDICAL"),
TRUE, "Unmapped: " &amp; K271)</f>
        <v>Paediatric</v>
      </c>
      <c r="M271" t="s">
        <v>22</v>
      </c>
      <c r="O271" t="s">
        <v>1105</v>
      </c>
      <c r="P271" t="str">
        <f t="shared" si="37"/>
        <v>Text Error</v>
      </c>
      <c r="Q271" s="5">
        <v>46028.925844907404</v>
      </c>
      <c r="R271" t="str">
        <f t="shared" si="38"/>
        <v>Valid Date</v>
      </c>
      <c r="S271" t="s">
        <v>1106</v>
      </c>
      <c r="T271" s="5">
        <v>46035.642708333333</v>
      </c>
      <c r="U271">
        <v>6</v>
      </c>
      <c r="V271" t="str">
        <f t="shared" si="39"/>
        <v>OK</v>
      </c>
      <c r="W271" t="s">
        <v>25</v>
      </c>
      <c r="Y271" t="s">
        <v>30</v>
      </c>
    </row>
    <row r="272" spans="1:25" x14ac:dyDescent="0.25">
      <c r="A272" t="s">
        <v>1107</v>
      </c>
      <c r="B272" t="str">
        <f t="shared" si="33"/>
        <v>Neema Kizenga Shabani</v>
      </c>
      <c r="C272">
        <v>127571</v>
      </c>
      <c r="D272" t="str">
        <f t="shared" si="32"/>
        <v>Unique</v>
      </c>
      <c r="E272" t="s">
        <v>296</v>
      </c>
      <c r="F272" s="3">
        <f t="shared" si="34"/>
        <v>26</v>
      </c>
      <c r="G272" t="s">
        <v>32</v>
      </c>
      <c r="H272" t="str">
        <f t="shared" si="35"/>
        <v>Valid</v>
      </c>
      <c r="I272" t="s">
        <v>33</v>
      </c>
      <c r="J272" t="str">
        <f t="shared" si="36"/>
        <v>Kigoma Ujiji Mc</v>
      </c>
      <c r="K272" t="s">
        <v>40</v>
      </c>
      <c r="L272" t="str" cm="1">
        <f t="array" ref="L272">_xlfn.IFS(
ISNUMBER(SEARCH("ICU",K272)), "ICU",
ISNUMBER(SEARCH("NEONATAL",K272)), PROPER("NEONATAL"),
ISNUMBER(SEARCH("LABOUR",K272)), PROPER("LABOUR"),
ISNUMBER(SEARCH("PAEDIATRIC",K272)), PROPER("PAEDIATRIC"),
ISNUMBER(SEARCH("FEMALE SURGICAL",K272)), PROPER("FEMALE SURG, ORTHO &amp; GYN"),
ISNUMBER(SEARCH("PSYCHIATRIST",K272)), PROPER("PSYCHIATRIST"),
ISNUMBER(SEARCH("GRADE 1",K272)), PROPER("GRADE 1"),
ISNUMBER(SEARCH("MALE SURGICAL",K272)), PROPER("MALE SURG &amp; ORTHOPEDIC"),
ISNUMBER(SEARCH("MALE MEDICAL",K272)), PROPER("MALE MEDICAL"),
ISNUMBER(SEARCH("GRADE 2",K272)), PROPER("GRADE 2"),
ISNUMBER(SEARCH("FEMALE WARD",K272)), PROPER("FEMALE MEDICAL"),
TRUE, "Unmapped: " &amp; K272)</f>
        <v>Labour</v>
      </c>
      <c r="M272" t="s">
        <v>22</v>
      </c>
      <c r="O272" t="s">
        <v>1108</v>
      </c>
      <c r="P272" t="str">
        <f t="shared" si="37"/>
        <v>Text Error</v>
      </c>
      <c r="Q272" s="5">
        <v>46029.312222222223</v>
      </c>
      <c r="R272" t="str">
        <f t="shared" si="38"/>
        <v>Valid Date</v>
      </c>
      <c r="S272" t="s">
        <v>1109</v>
      </c>
      <c r="T272" s="5">
        <v>46035.385150462964</v>
      </c>
      <c r="U272">
        <v>6</v>
      </c>
      <c r="V272" t="str">
        <f t="shared" si="39"/>
        <v>OK</v>
      </c>
      <c r="W272" t="s">
        <v>25</v>
      </c>
      <c r="Y272" t="s">
        <v>30</v>
      </c>
    </row>
    <row r="273" spans="1:25" x14ac:dyDescent="0.25">
      <c r="A273" t="s">
        <v>1033</v>
      </c>
      <c r="B273" t="str">
        <f t="shared" si="33"/>
        <v>Viviane Samwel Kayango</v>
      </c>
      <c r="C273">
        <v>104177</v>
      </c>
      <c r="D273" t="str">
        <f t="shared" si="32"/>
        <v>Duplicate</v>
      </c>
      <c r="E273" t="s">
        <v>74</v>
      </c>
      <c r="F273" s="3">
        <f t="shared" si="34"/>
        <v>35</v>
      </c>
      <c r="G273" t="s">
        <v>32</v>
      </c>
      <c r="H273" t="str">
        <f t="shared" si="35"/>
        <v>Valid</v>
      </c>
      <c r="I273" t="s">
        <v>33</v>
      </c>
      <c r="J273" t="str">
        <f t="shared" si="36"/>
        <v>Kigoma Ujiji Mc</v>
      </c>
      <c r="K273" t="s">
        <v>40</v>
      </c>
      <c r="L273" t="str" cm="1">
        <f t="array" ref="L273">_xlfn.IFS(
ISNUMBER(SEARCH("ICU",K273)), "ICU",
ISNUMBER(SEARCH("NEONATAL",K273)), PROPER("NEONATAL"),
ISNUMBER(SEARCH("LABOUR",K273)), PROPER("LABOUR"),
ISNUMBER(SEARCH("PAEDIATRIC",K273)), PROPER("PAEDIATRIC"),
ISNUMBER(SEARCH("FEMALE SURGICAL",K273)), PROPER("FEMALE SURG, ORTHO &amp; GYN"),
ISNUMBER(SEARCH("PSYCHIATRIST",K273)), PROPER("PSYCHIATRIST"),
ISNUMBER(SEARCH("GRADE 1",K273)), PROPER("GRADE 1"),
ISNUMBER(SEARCH("MALE SURGICAL",K273)), PROPER("MALE SURG &amp; ORTHOPEDIC"),
ISNUMBER(SEARCH("MALE MEDICAL",K273)), PROPER("MALE MEDICAL"),
ISNUMBER(SEARCH("GRADE 2",K273)), PROPER("GRADE 2"),
ISNUMBER(SEARCH("FEMALE WARD",K273)), PROPER("FEMALE MEDICAL"),
TRUE, "Unmapped: " &amp; K273)</f>
        <v>Labour</v>
      </c>
      <c r="M273" t="s">
        <v>292</v>
      </c>
      <c r="O273" t="s">
        <v>1110</v>
      </c>
      <c r="P273" t="str">
        <f t="shared" si="37"/>
        <v>Text Error</v>
      </c>
      <c r="Q273" s="5">
        <v>46031.613194444442</v>
      </c>
      <c r="R273" t="str">
        <f t="shared" si="38"/>
        <v>Valid Date</v>
      </c>
      <c r="S273" t="s">
        <v>1111</v>
      </c>
      <c r="T273" s="5">
        <v>46038.551886574074</v>
      </c>
      <c r="U273">
        <v>6</v>
      </c>
      <c r="V273" t="str">
        <f t="shared" si="39"/>
        <v>OK</v>
      </c>
      <c r="W273" t="s">
        <v>25</v>
      </c>
      <c r="Y273" t="s">
        <v>30</v>
      </c>
    </row>
    <row r="274" spans="1:25" x14ac:dyDescent="0.25">
      <c r="A274" t="s">
        <v>1113</v>
      </c>
      <c r="B274" t="str">
        <f t="shared" si="33"/>
        <v>Zabibu Muhamed Hamimu</v>
      </c>
      <c r="C274">
        <v>127866</v>
      </c>
      <c r="D274" t="str">
        <f t="shared" si="32"/>
        <v>Unique</v>
      </c>
      <c r="E274" t="s">
        <v>18</v>
      </c>
      <c r="F274" s="3">
        <f t="shared" si="34"/>
        <v>1</v>
      </c>
      <c r="G274" t="s">
        <v>32</v>
      </c>
      <c r="H274" t="str">
        <f t="shared" si="35"/>
        <v>Valid</v>
      </c>
      <c r="I274" t="s">
        <v>62</v>
      </c>
      <c r="J274" t="str">
        <f t="shared" si="36"/>
        <v>Kigoma Vijijini</v>
      </c>
      <c r="K274" t="s">
        <v>109</v>
      </c>
      <c r="L274" t="str" cm="1">
        <f t="array" ref="L274">_xlfn.IFS(
ISNUMBER(SEARCH("ICU",K274)), "ICU",
ISNUMBER(SEARCH("NEONATAL",K274)), PROPER("NEONATAL"),
ISNUMBER(SEARCH("LABOUR",K274)), PROPER("LABOUR"),
ISNUMBER(SEARCH("PAEDIATRIC",K274)), PROPER("PAEDIATRIC"),
ISNUMBER(SEARCH("FEMALE SURGICAL",K274)), PROPER("FEMALE SURG, ORTHO &amp; GYN"),
ISNUMBER(SEARCH("PSYCHIATRIST",K274)), PROPER("PSYCHIATRIST"),
ISNUMBER(SEARCH("GRADE 1",K274)), PROPER("GRADE 1"),
ISNUMBER(SEARCH("MALE SURGICAL",K274)), PROPER("MALE SURG &amp; ORTHOPEDIC"),
ISNUMBER(SEARCH("MALE MEDICAL",K274)), PROPER("MALE MEDICAL"),
ISNUMBER(SEARCH("GRADE 2",K274)), PROPER("GRADE 2"),
ISNUMBER(SEARCH("FEMALE WARD",K274)), PROPER("FEMALE MEDICAL"),
TRUE, "Unmapped: " &amp; K274)</f>
        <v>Paediatric</v>
      </c>
      <c r="M274" t="s">
        <v>22</v>
      </c>
      <c r="O274" t="s">
        <v>1114</v>
      </c>
      <c r="P274" t="str">
        <f t="shared" si="37"/>
        <v>Text Error</v>
      </c>
      <c r="Q274" s="5">
        <v>46031.669317129628</v>
      </c>
      <c r="R274" t="str">
        <f t="shared" si="38"/>
        <v>Valid Date</v>
      </c>
      <c r="S274" t="s">
        <v>1115</v>
      </c>
      <c r="T274" s="5">
        <v>46037.764872685184</v>
      </c>
      <c r="U274">
        <v>6</v>
      </c>
      <c r="V274" t="str">
        <f t="shared" si="39"/>
        <v>OK</v>
      </c>
      <c r="W274" t="s">
        <v>25</v>
      </c>
      <c r="Y274" t="s">
        <v>30</v>
      </c>
    </row>
    <row r="275" spans="1:25" x14ac:dyDescent="0.25">
      <c r="A275" t="s">
        <v>1116</v>
      </c>
      <c r="B275" t="str">
        <f t="shared" si="33"/>
        <v>Shedrack Azaeli Shalikubanda</v>
      </c>
      <c r="C275">
        <v>128025</v>
      </c>
      <c r="D275" t="str">
        <f t="shared" si="32"/>
        <v>Unique</v>
      </c>
      <c r="E275" t="s">
        <v>151</v>
      </c>
      <c r="F275" s="3">
        <f t="shared" si="34"/>
        <v>22</v>
      </c>
      <c r="G275" t="s">
        <v>19</v>
      </c>
      <c r="H275" t="str">
        <f t="shared" si="35"/>
        <v>Valid</v>
      </c>
      <c r="I275" t="s">
        <v>33</v>
      </c>
      <c r="J275" t="str">
        <f t="shared" si="36"/>
        <v>Kigoma Ujiji Mc</v>
      </c>
      <c r="K275" t="s">
        <v>428</v>
      </c>
      <c r="L275" t="str" cm="1">
        <f t="array" ref="L275">_xlfn.IFS(
ISNUMBER(SEARCH("ICU",K275)), "ICU",
ISNUMBER(SEARCH("NEONATAL",K275)), PROPER("NEONATAL"),
ISNUMBER(SEARCH("LABOUR",K275)), PROPER("LABOUR"),
ISNUMBER(SEARCH("PAEDIATRIC",K275)), PROPER("PAEDIATRIC"),
ISNUMBER(SEARCH("FEMALE SURGICAL",K275)), PROPER("FEMALE SURG, ORTHO &amp; GYN"),
ISNUMBER(SEARCH("PSYCHIATRIST",K275)), PROPER("PSYCHIATRIST"),
ISNUMBER(SEARCH("GRADE 1",K275)), PROPER("GRADE 1"),
ISNUMBER(SEARCH("MALE SURGICAL",K275)), PROPER("MALE SURG &amp; ORTHOPEDIC"),
ISNUMBER(SEARCH("MALE MEDICAL",K275)), PROPER("MALE MEDICAL"),
ISNUMBER(SEARCH("GRADE 2",K275)), PROPER("GRADE 2"),
ISNUMBER(SEARCH("FEMALE WARD",K275)), PROPER("FEMALE MEDICAL"),
TRUE, "Unmapped: " &amp; K275)</f>
        <v>Male Surg &amp; Orthopedic</v>
      </c>
      <c r="M275" t="s">
        <v>22</v>
      </c>
      <c r="O275" t="s">
        <v>1117</v>
      </c>
      <c r="P275" t="str">
        <f t="shared" si="37"/>
        <v>Text Error</v>
      </c>
      <c r="Q275" s="5">
        <v>46033.180787037039</v>
      </c>
      <c r="R275" t="str">
        <f t="shared" si="38"/>
        <v>Valid Date</v>
      </c>
      <c r="S275" t="s">
        <v>1118</v>
      </c>
      <c r="T275" s="5">
        <v>46039.705069444448</v>
      </c>
      <c r="U275">
        <v>6</v>
      </c>
      <c r="V275" t="str">
        <f t="shared" si="39"/>
        <v>OK</v>
      </c>
      <c r="W275" t="s">
        <v>25</v>
      </c>
      <c r="Y275" t="s">
        <v>30</v>
      </c>
    </row>
    <row r="276" spans="1:25" x14ac:dyDescent="0.25">
      <c r="A276" t="s">
        <v>1119</v>
      </c>
      <c r="B276" t="str">
        <f t="shared" si="33"/>
        <v>Rehema Juma Hayange</v>
      </c>
      <c r="C276">
        <v>128053</v>
      </c>
      <c r="D276" t="str">
        <f t="shared" si="32"/>
        <v>Unique</v>
      </c>
      <c r="E276" t="s">
        <v>374</v>
      </c>
      <c r="F276" s="3">
        <f t="shared" si="34"/>
        <v>37</v>
      </c>
      <c r="G276" t="s">
        <v>32</v>
      </c>
      <c r="H276" t="str">
        <f t="shared" si="35"/>
        <v>Valid</v>
      </c>
      <c r="I276" t="s">
        <v>20</v>
      </c>
      <c r="J276" t="str">
        <f t="shared" si="36"/>
        <v>Uvinza</v>
      </c>
      <c r="K276" t="s">
        <v>40</v>
      </c>
      <c r="L276" t="str" cm="1">
        <f t="array" ref="L276">_xlfn.IFS(
ISNUMBER(SEARCH("ICU",K276)), "ICU",
ISNUMBER(SEARCH("NEONATAL",K276)), PROPER("NEONATAL"),
ISNUMBER(SEARCH("LABOUR",K276)), PROPER("LABOUR"),
ISNUMBER(SEARCH("PAEDIATRIC",K276)), PROPER("PAEDIATRIC"),
ISNUMBER(SEARCH("FEMALE SURGICAL",K276)), PROPER("FEMALE SURG, ORTHO &amp; GYN"),
ISNUMBER(SEARCH("PSYCHIATRIST",K276)), PROPER("PSYCHIATRIST"),
ISNUMBER(SEARCH("GRADE 1",K276)), PROPER("GRADE 1"),
ISNUMBER(SEARCH("MALE SURGICAL",K276)), PROPER("MALE SURG &amp; ORTHOPEDIC"),
ISNUMBER(SEARCH("MALE MEDICAL",K276)), PROPER("MALE MEDICAL"),
ISNUMBER(SEARCH("GRADE 2",K276)), PROPER("GRADE 2"),
ISNUMBER(SEARCH("FEMALE WARD",K276)), PROPER("FEMALE MEDICAL"),
TRUE, "Unmapped: " &amp; K276)</f>
        <v>Labour</v>
      </c>
      <c r="M276" t="s">
        <v>22</v>
      </c>
      <c r="O276" t="s">
        <v>1120</v>
      </c>
      <c r="P276" t="str">
        <f t="shared" si="37"/>
        <v>Text Error</v>
      </c>
      <c r="Q276" s="5">
        <v>46034.600856481484</v>
      </c>
      <c r="R276" t="str">
        <f t="shared" si="38"/>
        <v>Valid Date</v>
      </c>
      <c r="S276" t="s">
        <v>1121</v>
      </c>
      <c r="T276" s="5">
        <v>46040.667025462964</v>
      </c>
      <c r="U276">
        <v>6</v>
      </c>
      <c r="V276" t="str">
        <f t="shared" si="39"/>
        <v>OK</v>
      </c>
      <c r="W276" t="s">
        <v>25</v>
      </c>
      <c r="Y276" t="s">
        <v>30</v>
      </c>
    </row>
    <row r="277" spans="1:25" x14ac:dyDescent="0.25">
      <c r="A277" t="s">
        <v>1122</v>
      </c>
      <c r="B277" t="str">
        <f t="shared" si="33"/>
        <v>Ezekiel Juve Fransisi</v>
      </c>
      <c r="C277">
        <v>128168</v>
      </c>
      <c r="D277" t="str">
        <f t="shared" si="32"/>
        <v>Unique</v>
      </c>
      <c r="E277" t="s">
        <v>74</v>
      </c>
      <c r="F277" s="3">
        <f t="shared" si="34"/>
        <v>35</v>
      </c>
      <c r="G277" t="s">
        <v>19</v>
      </c>
      <c r="H277" t="str">
        <f t="shared" si="35"/>
        <v>Valid</v>
      </c>
      <c r="I277" t="s">
        <v>33</v>
      </c>
      <c r="J277" t="str">
        <f t="shared" si="36"/>
        <v>Kigoma Ujiji Mc</v>
      </c>
      <c r="K277" t="s">
        <v>202</v>
      </c>
      <c r="L277" t="str" cm="1">
        <f t="array" ref="L277">_xlfn.IFS(
ISNUMBER(SEARCH("ICU",K277)), "ICU",
ISNUMBER(SEARCH("NEONATAL",K277)), PROPER("NEONATAL"),
ISNUMBER(SEARCH("LABOUR",K277)), PROPER("LABOUR"),
ISNUMBER(SEARCH("PAEDIATRIC",K277)), PROPER("PAEDIATRIC"),
ISNUMBER(SEARCH("FEMALE SURGICAL",K277)), PROPER("FEMALE SURG, ORTHO &amp; GYN"),
ISNUMBER(SEARCH("PSYCHIATRIST",K277)), PROPER("PSYCHIATRIST"),
ISNUMBER(SEARCH("GRADE 1",K277)), PROPER("GRADE 1"),
ISNUMBER(SEARCH("MALE SURGICAL",K277)), PROPER("MALE SURG &amp; ORTHOPEDIC"),
ISNUMBER(SEARCH("MALE MEDICAL",K277)), PROPER("MALE MEDICAL"),
ISNUMBER(SEARCH("GRADE 2",K277)), PROPER("GRADE 2"),
ISNUMBER(SEARCH("FEMALE WARD",K277)), PROPER("FEMALE MEDICAL"),
TRUE, "Unmapped: " &amp; K277)</f>
        <v>Psychiatrist</v>
      </c>
      <c r="M277" t="s">
        <v>22</v>
      </c>
      <c r="O277" t="s">
        <v>1123</v>
      </c>
      <c r="P277" t="str">
        <f t="shared" si="37"/>
        <v>Text Error</v>
      </c>
      <c r="Q277" s="5">
        <v>46034.851597222223</v>
      </c>
      <c r="R277" t="str">
        <f t="shared" si="38"/>
        <v>Valid Date</v>
      </c>
      <c r="S277" t="s">
        <v>1124</v>
      </c>
      <c r="T277" s="5">
        <v>46041.453831018516</v>
      </c>
      <c r="U277">
        <v>6</v>
      </c>
      <c r="V277" t="str">
        <f t="shared" si="39"/>
        <v>OK</v>
      </c>
      <c r="W277" t="s">
        <v>25</v>
      </c>
      <c r="Y277" t="s">
        <v>30</v>
      </c>
    </row>
    <row r="278" spans="1:25" x14ac:dyDescent="0.25">
      <c r="A278" t="s">
        <v>1125</v>
      </c>
      <c r="B278" t="str">
        <f t="shared" si="33"/>
        <v>Zabibu Juma Mongwe</v>
      </c>
      <c r="C278">
        <v>128189</v>
      </c>
      <c r="D278" t="str">
        <f t="shared" si="32"/>
        <v>Unique</v>
      </c>
      <c r="E278" t="s">
        <v>215</v>
      </c>
      <c r="F278" s="3">
        <f t="shared" si="34"/>
        <v>25</v>
      </c>
      <c r="G278" t="s">
        <v>32</v>
      </c>
      <c r="H278" t="str">
        <f t="shared" si="35"/>
        <v>Valid</v>
      </c>
      <c r="I278" t="s">
        <v>33</v>
      </c>
      <c r="J278" t="str">
        <f t="shared" si="36"/>
        <v>Kigoma Ujiji Mc</v>
      </c>
      <c r="K278" t="s">
        <v>40</v>
      </c>
      <c r="L278" t="str" cm="1">
        <f t="array" ref="L278">_xlfn.IFS(
ISNUMBER(SEARCH("ICU",K278)), "ICU",
ISNUMBER(SEARCH("NEONATAL",K278)), PROPER("NEONATAL"),
ISNUMBER(SEARCH("LABOUR",K278)), PROPER("LABOUR"),
ISNUMBER(SEARCH("PAEDIATRIC",K278)), PROPER("PAEDIATRIC"),
ISNUMBER(SEARCH("FEMALE SURGICAL",K278)), PROPER("FEMALE SURG, ORTHO &amp; GYN"),
ISNUMBER(SEARCH("PSYCHIATRIST",K278)), PROPER("PSYCHIATRIST"),
ISNUMBER(SEARCH("GRADE 1",K278)), PROPER("GRADE 1"),
ISNUMBER(SEARCH("MALE SURGICAL",K278)), PROPER("MALE SURG &amp; ORTHOPEDIC"),
ISNUMBER(SEARCH("MALE MEDICAL",K278)), PROPER("MALE MEDICAL"),
ISNUMBER(SEARCH("GRADE 2",K278)), PROPER("GRADE 2"),
ISNUMBER(SEARCH("FEMALE WARD",K278)), PROPER("FEMALE MEDICAL"),
TRUE, "Unmapped: " &amp; K278)</f>
        <v>Labour</v>
      </c>
      <c r="M278" t="s">
        <v>22</v>
      </c>
      <c r="O278" t="s">
        <v>1126</v>
      </c>
      <c r="P278" t="str">
        <f t="shared" si="37"/>
        <v>Text Error</v>
      </c>
      <c r="Q278" s="5">
        <v>46035.429791666669</v>
      </c>
      <c r="R278" t="str">
        <f t="shared" si="38"/>
        <v>Valid Date</v>
      </c>
      <c r="S278" t="s">
        <v>1127</v>
      </c>
      <c r="T278" s="5">
        <v>46041.608865740738</v>
      </c>
      <c r="U278">
        <v>6</v>
      </c>
      <c r="V278" t="str">
        <f t="shared" si="39"/>
        <v>OK</v>
      </c>
      <c r="W278" t="s">
        <v>25</v>
      </c>
      <c r="Y278" t="s">
        <v>30</v>
      </c>
    </row>
    <row r="279" spans="1:25" x14ac:dyDescent="0.25">
      <c r="A279" t="s">
        <v>1129</v>
      </c>
      <c r="B279" t="str">
        <f t="shared" si="33"/>
        <v>Fatuma Kashindi Ramadhan</v>
      </c>
      <c r="C279">
        <v>128298</v>
      </c>
      <c r="D279" t="str">
        <f t="shared" si="32"/>
        <v>Unique</v>
      </c>
      <c r="E279" t="s">
        <v>142</v>
      </c>
      <c r="F279" s="3">
        <f t="shared" si="34"/>
        <v>20</v>
      </c>
      <c r="G279" t="s">
        <v>32</v>
      </c>
      <c r="H279" t="str">
        <f t="shared" si="35"/>
        <v>Valid</v>
      </c>
      <c r="I279" t="s">
        <v>33</v>
      </c>
      <c r="J279" t="str">
        <f t="shared" si="36"/>
        <v>Kigoma Ujiji Mc</v>
      </c>
      <c r="K279" t="s">
        <v>700</v>
      </c>
      <c r="L279" t="str" cm="1">
        <f t="array" ref="L279">_xlfn.IFS(
ISNUMBER(SEARCH("ICU",K279)), "ICU",
ISNUMBER(SEARCH("NEONATAL",K279)), PROPER("NEONATAL"),
ISNUMBER(SEARCH("LABOUR",K279)), PROPER("LABOUR"),
ISNUMBER(SEARCH("PAEDIATRIC",K279)), PROPER("PAEDIATRIC"),
ISNUMBER(SEARCH("FEMALE SURGICAL",K279)), PROPER("FEMALE SURG, ORTHO &amp; GYN"),
ISNUMBER(SEARCH("PSYCHIATRIST",K279)), PROPER("PSYCHIATRIST"),
ISNUMBER(SEARCH("GRADE 1",K279)), PROPER("GRADE 1"),
ISNUMBER(SEARCH("MALE SURGICAL",K279)), PROPER("MALE SURG &amp; ORTHOPEDIC"),
ISNUMBER(SEARCH("MALE MEDICAL",K279)), PROPER("MALE MEDICAL"),
ISNUMBER(SEARCH("GRADE 2",K279)), PROPER("GRADE 2"),
ISNUMBER(SEARCH("FEMALE WARD",K279)), PROPER("FEMALE MEDICAL"),
TRUE, "Unmapped: " &amp; K279)</f>
        <v>Female Medical</v>
      </c>
      <c r="M279" t="s">
        <v>22</v>
      </c>
      <c r="O279" t="s">
        <v>1130</v>
      </c>
      <c r="P279" t="str">
        <f t="shared" si="37"/>
        <v>Text Error</v>
      </c>
      <c r="Q279" s="5">
        <v>46035.719826388886</v>
      </c>
      <c r="R279" t="str">
        <f t="shared" si="38"/>
        <v>Valid Date</v>
      </c>
      <c r="S279" t="s">
        <v>1131</v>
      </c>
      <c r="T279" s="5">
        <v>46042.66679398148</v>
      </c>
      <c r="U279">
        <v>6</v>
      </c>
      <c r="V279" t="str">
        <f t="shared" si="39"/>
        <v>OK</v>
      </c>
      <c r="W279" t="s">
        <v>25</v>
      </c>
      <c r="Y279" t="s">
        <v>30</v>
      </c>
    </row>
    <row r="280" spans="1:25" x14ac:dyDescent="0.25">
      <c r="A280" t="s">
        <v>1133</v>
      </c>
      <c r="B280" t="str">
        <f t="shared" si="33"/>
        <v>Fatuma Itti Nashoni</v>
      </c>
      <c r="C280">
        <v>59696</v>
      </c>
      <c r="D280" t="str">
        <f t="shared" si="32"/>
        <v>Unique</v>
      </c>
      <c r="E280" t="s">
        <v>188</v>
      </c>
      <c r="F280" s="3">
        <f t="shared" si="34"/>
        <v>28</v>
      </c>
      <c r="G280" t="s">
        <v>32</v>
      </c>
      <c r="H280" t="str">
        <f t="shared" si="35"/>
        <v>Valid</v>
      </c>
      <c r="I280" t="s">
        <v>33</v>
      </c>
      <c r="J280" t="str">
        <f t="shared" si="36"/>
        <v>Kigoma Ujiji Mc</v>
      </c>
      <c r="K280" t="s">
        <v>40</v>
      </c>
      <c r="L280" t="str" cm="1">
        <f t="array" ref="L280">_xlfn.IFS(
ISNUMBER(SEARCH("ICU",K280)), "ICU",
ISNUMBER(SEARCH("NEONATAL",K280)), PROPER("NEONATAL"),
ISNUMBER(SEARCH("LABOUR",K280)), PROPER("LABOUR"),
ISNUMBER(SEARCH("PAEDIATRIC",K280)), PROPER("PAEDIATRIC"),
ISNUMBER(SEARCH("FEMALE SURGICAL",K280)), PROPER("FEMALE SURG, ORTHO &amp; GYN"),
ISNUMBER(SEARCH("PSYCHIATRIST",K280)), PROPER("PSYCHIATRIST"),
ISNUMBER(SEARCH("GRADE 1",K280)), PROPER("GRADE 1"),
ISNUMBER(SEARCH("MALE SURGICAL",K280)), PROPER("MALE SURG &amp; ORTHOPEDIC"),
ISNUMBER(SEARCH("MALE MEDICAL",K280)), PROPER("MALE MEDICAL"),
ISNUMBER(SEARCH("GRADE 2",K280)), PROPER("GRADE 2"),
ISNUMBER(SEARCH("FEMALE WARD",K280)), PROPER("FEMALE MEDICAL"),
TRUE, "Unmapped: " &amp; K280)</f>
        <v>Labour</v>
      </c>
      <c r="M280" t="s">
        <v>22</v>
      </c>
      <c r="O280" t="s">
        <v>1134</v>
      </c>
      <c r="P280" t="str">
        <f t="shared" si="37"/>
        <v>Text Error</v>
      </c>
      <c r="Q280" s="5">
        <v>46037.421296296299</v>
      </c>
      <c r="R280" t="str">
        <f t="shared" si="38"/>
        <v>Valid Date</v>
      </c>
      <c r="S280" t="s">
        <v>1135</v>
      </c>
      <c r="T280" s="5">
        <v>46043.591145833336</v>
      </c>
      <c r="U280">
        <v>6</v>
      </c>
      <c r="V280" t="str">
        <f t="shared" si="39"/>
        <v>OK</v>
      </c>
      <c r="W280" t="s">
        <v>25</v>
      </c>
      <c r="Y280" t="s">
        <v>30</v>
      </c>
    </row>
    <row r="281" spans="1:25" x14ac:dyDescent="0.25">
      <c r="A281" t="s">
        <v>1137</v>
      </c>
      <c r="B281" t="str">
        <f t="shared" si="33"/>
        <v>Janeth Michael Magombe</v>
      </c>
      <c r="C281">
        <v>91531</v>
      </c>
      <c r="D281" t="str">
        <f t="shared" si="32"/>
        <v>Unique</v>
      </c>
      <c r="E281" t="s">
        <v>1138</v>
      </c>
      <c r="F281" s="3">
        <f t="shared" si="34"/>
        <v>49</v>
      </c>
      <c r="G281" t="s">
        <v>32</v>
      </c>
      <c r="H281" t="str">
        <f t="shared" si="35"/>
        <v>Valid</v>
      </c>
      <c r="I281" t="s">
        <v>33</v>
      </c>
      <c r="J281" t="str">
        <f t="shared" si="36"/>
        <v>Kigoma Ujiji Mc</v>
      </c>
      <c r="K281" t="s">
        <v>685</v>
      </c>
      <c r="L281" t="str" cm="1">
        <f t="array" ref="L281">_xlfn.IFS(
ISNUMBER(SEARCH("ICU",K281)), "ICU",
ISNUMBER(SEARCH("NEONATAL",K281)), PROPER("NEONATAL"),
ISNUMBER(SEARCH("LABOUR",K281)), PROPER("LABOUR"),
ISNUMBER(SEARCH("PAEDIATRIC",K281)), PROPER("PAEDIATRIC"),
ISNUMBER(SEARCH("FEMALE SURGICAL",K281)), PROPER("FEMALE SURG, ORTHO &amp; GYN"),
ISNUMBER(SEARCH("PSYCHIATRIST",K281)), PROPER("PSYCHIATRIST"),
ISNUMBER(SEARCH("GRADE 1",K281)), PROPER("GRADE 1"),
ISNUMBER(SEARCH("MALE SURGICAL",K281)), PROPER("MALE SURG &amp; ORTHOPEDIC"),
ISNUMBER(SEARCH("MALE MEDICAL",K281)), PROPER("MALE MEDICAL"),
ISNUMBER(SEARCH("GRADE 2",K281)), PROPER("GRADE 2"),
ISNUMBER(SEARCH("FEMALE WARD",K281)), PROPER("FEMALE MEDICAL"),
TRUE, "Unmapped: " &amp; K281)</f>
        <v>Grade 2</v>
      </c>
      <c r="M281" t="s">
        <v>22</v>
      </c>
      <c r="O281" t="s">
        <v>1139</v>
      </c>
      <c r="P281" t="str">
        <f t="shared" si="37"/>
        <v>Text Error</v>
      </c>
      <c r="Q281" s="5">
        <v>46037.549444444441</v>
      </c>
      <c r="R281" t="str">
        <f t="shared" si="38"/>
        <v>Valid Date</v>
      </c>
      <c r="S281" t="s">
        <v>1140</v>
      </c>
      <c r="T281" s="5">
        <v>46043.686585648145</v>
      </c>
      <c r="U281">
        <v>6</v>
      </c>
      <c r="V281" t="str">
        <f t="shared" si="39"/>
        <v>OK</v>
      </c>
      <c r="W281" t="s">
        <v>25</v>
      </c>
      <c r="Y281" t="s">
        <v>30</v>
      </c>
    </row>
    <row r="282" spans="1:25" x14ac:dyDescent="0.25">
      <c r="A282" t="s">
        <v>1142</v>
      </c>
      <c r="B282" t="str">
        <f t="shared" si="33"/>
        <v>Salma Hussein Mazanzara</v>
      </c>
      <c r="C282">
        <v>104772</v>
      </c>
      <c r="D282" t="str">
        <f t="shared" si="32"/>
        <v>Unique</v>
      </c>
      <c r="E282" t="s">
        <v>1138</v>
      </c>
      <c r="F282" s="3">
        <f t="shared" si="34"/>
        <v>49</v>
      </c>
      <c r="G282" t="s">
        <v>32</v>
      </c>
      <c r="H282" t="str">
        <f t="shared" si="35"/>
        <v>Valid</v>
      </c>
      <c r="I282" t="s">
        <v>62</v>
      </c>
      <c r="J282" t="str">
        <f t="shared" si="36"/>
        <v>Kigoma Vijijini</v>
      </c>
      <c r="K282" t="s">
        <v>123</v>
      </c>
      <c r="L282" t="str" cm="1">
        <f t="array" ref="L282">_xlfn.IFS(
ISNUMBER(SEARCH("ICU",K282)), "ICU",
ISNUMBER(SEARCH("NEONATAL",K282)), PROPER("NEONATAL"),
ISNUMBER(SEARCH("LABOUR",K282)), PROPER("LABOUR"),
ISNUMBER(SEARCH("PAEDIATRIC",K282)), PROPER("PAEDIATRIC"),
ISNUMBER(SEARCH("FEMALE SURGICAL",K282)), PROPER("FEMALE SURG, ORTHO &amp; GYN"),
ISNUMBER(SEARCH("PSYCHIATRIST",K282)), PROPER("PSYCHIATRIST"),
ISNUMBER(SEARCH("GRADE 1",K282)), PROPER("GRADE 1"),
ISNUMBER(SEARCH("MALE SURGICAL",K282)), PROPER("MALE SURG &amp; ORTHOPEDIC"),
ISNUMBER(SEARCH("MALE MEDICAL",K282)), PROPER("MALE MEDICAL"),
ISNUMBER(SEARCH("GRADE 2",K282)), PROPER("GRADE 2"),
ISNUMBER(SEARCH("FEMALE WARD",K282)), PROPER("FEMALE MEDICAL"),
TRUE, "Unmapped: " &amp; K282)</f>
        <v>Female Surg, Ortho &amp; Gyn</v>
      </c>
      <c r="M282" t="s">
        <v>22</v>
      </c>
      <c r="O282" t="s">
        <v>1143</v>
      </c>
      <c r="P282" t="str">
        <f t="shared" si="37"/>
        <v>Text Error</v>
      </c>
      <c r="Q282" s="5">
        <v>46037.958993055552</v>
      </c>
      <c r="R282" t="str">
        <f t="shared" si="38"/>
        <v>Valid Date</v>
      </c>
      <c r="S282" t="s">
        <v>1144</v>
      </c>
      <c r="T282" s="5">
        <v>46044.640104166669</v>
      </c>
      <c r="U282">
        <v>6</v>
      </c>
      <c r="V282" t="str">
        <f t="shared" si="39"/>
        <v>OK</v>
      </c>
      <c r="W282" t="s">
        <v>25</v>
      </c>
      <c r="Y282" t="s">
        <v>30</v>
      </c>
    </row>
    <row r="283" spans="1:25" x14ac:dyDescent="0.25">
      <c r="A283" t="s">
        <v>1145</v>
      </c>
      <c r="B283" t="str">
        <f t="shared" si="33"/>
        <v>Kulwa Amosi Malaka</v>
      </c>
      <c r="C283">
        <v>128566</v>
      </c>
      <c r="D283" t="str">
        <f t="shared" si="32"/>
        <v>Unique</v>
      </c>
      <c r="E283" t="s">
        <v>646</v>
      </c>
      <c r="F283" s="3">
        <f t="shared" si="34"/>
        <v>6</v>
      </c>
      <c r="G283" t="s">
        <v>32</v>
      </c>
      <c r="H283" t="str">
        <f t="shared" si="35"/>
        <v>Valid</v>
      </c>
      <c r="I283" t="s">
        <v>130</v>
      </c>
      <c r="J283" t="str">
        <f t="shared" si="36"/>
        <v>Buhigwe</v>
      </c>
      <c r="K283" t="s">
        <v>109</v>
      </c>
      <c r="L283" t="str" cm="1">
        <f t="array" ref="L283">_xlfn.IFS(
ISNUMBER(SEARCH("ICU",K283)), "ICU",
ISNUMBER(SEARCH("NEONATAL",K283)), PROPER("NEONATAL"),
ISNUMBER(SEARCH("LABOUR",K283)), PROPER("LABOUR"),
ISNUMBER(SEARCH("PAEDIATRIC",K283)), PROPER("PAEDIATRIC"),
ISNUMBER(SEARCH("FEMALE SURGICAL",K283)), PROPER("FEMALE SURG, ORTHO &amp; GYN"),
ISNUMBER(SEARCH("PSYCHIATRIST",K283)), PROPER("PSYCHIATRIST"),
ISNUMBER(SEARCH("GRADE 1",K283)), PROPER("GRADE 1"),
ISNUMBER(SEARCH("MALE SURGICAL",K283)), PROPER("MALE SURG &amp; ORTHOPEDIC"),
ISNUMBER(SEARCH("MALE MEDICAL",K283)), PROPER("MALE MEDICAL"),
ISNUMBER(SEARCH("GRADE 2",K283)), PROPER("GRADE 2"),
ISNUMBER(SEARCH("FEMALE WARD",K283)), PROPER("FEMALE MEDICAL"),
TRUE, "Unmapped: " &amp; K283)</f>
        <v>Paediatric</v>
      </c>
      <c r="M283" t="s">
        <v>22</v>
      </c>
      <c r="O283" t="s">
        <v>1146</v>
      </c>
      <c r="P283" t="str">
        <f t="shared" si="37"/>
        <v>Text Error</v>
      </c>
      <c r="Q283" s="5">
        <v>46038.00199074074</v>
      </c>
      <c r="R283" t="str">
        <f t="shared" si="38"/>
        <v>Valid Date</v>
      </c>
      <c r="S283" t="s">
        <v>1147</v>
      </c>
      <c r="T283" s="5">
        <v>46044.605162037034</v>
      </c>
      <c r="U283">
        <v>6</v>
      </c>
      <c r="V283" t="str">
        <f t="shared" si="39"/>
        <v>OK</v>
      </c>
      <c r="W283" t="s">
        <v>112</v>
      </c>
      <c r="Y283" t="s">
        <v>30</v>
      </c>
    </row>
    <row r="284" spans="1:25" x14ac:dyDescent="0.25">
      <c r="A284" t="s">
        <v>1148</v>
      </c>
      <c r="B284" t="str">
        <f t="shared" si="33"/>
        <v>Zainabu Said Juma</v>
      </c>
      <c r="C284">
        <v>128749</v>
      </c>
      <c r="D284" t="str">
        <f t="shared" si="32"/>
        <v>Unique</v>
      </c>
      <c r="E284" t="s">
        <v>80</v>
      </c>
      <c r="F284" s="3">
        <f t="shared" si="34"/>
        <v>24</v>
      </c>
      <c r="G284" t="s">
        <v>32</v>
      </c>
      <c r="H284" t="str">
        <f t="shared" si="35"/>
        <v>Valid</v>
      </c>
      <c r="I284" t="s">
        <v>33</v>
      </c>
      <c r="J284" t="str">
        <f t="shared" si="36"/>
        <v>Kigoma Ujiji Mc</v>
      </c>
      <c r="K284" t="s">
        <v>40</v>
      </c>
      <c r="L284" t="str" cm="1">
        <f t="array" ref="L284">_xlfn.IFS(
ISNUMBER(SEARCH("ICU",K284)), "ICU",
ISNUMBER(SEARCH("NEONATAL",K284)), PROPER("NEONATAL"),
ISNUMBER(SEARCH("LABOUR",K284)), PROPER("LABOUR"),
ISNUMBER(SEARCH("PAEDIATRIC",K284)), PROPER("PAEDIATRIC"),
ISNUMBER(SEARCH("FEMALE SURGICAL",K284)), PROPER("FEMALE SURG, ORTHO &amp; GYN"),
ISNUMBER(SEARCH("PSYCHIATRIST",K284)), PROPER("PSYCHIATRIST"),
ISNUMBER(SEARCH("GRADE 1",K284)), PROPER("GRADE 1"),
ISNUMBER(SEARCH("MALE SURGICAL",K284)), PROPER("MALE SURG &amp; ORTHOPEDIC"),
ISNUMBER(SEARCH("MALE MEDICAL",K284)), PROPER("MALE MEDICAL"),
ISNUMBER(SEARCH("GRADE 2",K284)), PROPER("GRADE 2"),
ISNUMBER(SEARCH("FEMALE WARD",K284)), PROPER("FEMALE MEDICAL"),
TRUE, "Unmapped: " &amp; K284)</f>
        <v>Labour</v>
      </c>
      <c r="M284" t="s">
        <v>22</v>
      </c>
      <c r="O284" t="s">
        <v>1149</v>
      </c>
      <c r="P284" t="str">
        <f t="shared" si="37"/>
        <v>Text Error</v>
      </c>
      <c r="Q284" s="5">
        <v>46040.502534722225</v>
      </c>
      <c r="R284" t="str">
        <f t="shared" si="38"/>
        <v>Valid Date</v>
      </c>
      <c r="S284" t="s">
        <v>1150</v>
      </c>
      <c r="T284" s="5">
        <v>46046.750138888892</v>
      </c>
      <c r="U284">
        <v>6</v>
      </c>
      <c r="V284" t="str">
        <f t="shared" si="39"/>
        <v>OK</v>
      </c>
      <c r="W284" t="s">
        <v>25</v>
      </c>
      <c r="Y284" t="s">
        <v>30</v>
      </c>
    </row>
    <row r="285" spans="1:25" x14ac:dyDescent="0.25">
      <c r="A285" t="s">
        <v>1151</v>
      </c>
      <c r="B285" t="str">
        <f t="shared" si="33"/>
        <v>Julias George Batega</v>
      </c>
      <c r="C285">
        <v>129088</v>
      </c>
      <c r="D285" t="str">
        <f t="shared" si="32"/>
        <v>Unique</v>
      </c>
      <c r="E285" t="s">
        <v>922</v>
      </c>
      <c r="F285" s="3">
        <f t="shared" si="34"/>
        <v>65</v>
      </c>
      <c r="G285" t="s">
        <v>19</v>
      </c>
      <c r="H285" t="str">
        <f t="shared" si="35"/>
        <v>Valid</v>
      </c>
      <c r="I285" t="s">
        <v>33</v>
      </c>
      <c r="J285" t="str">
        <f t="shared" si="36"/>
        <v>Kigoma Ujiji Mc</v>
      </c>
      <c r="K285" t="s">
        <v>685</v>
      </c>
      <c r="L285" t="str" cm="1">
        <f t="array" ref="L285">_xlfn.IFS(
ISNUMBER(SEARCH("ICU",K285)), "ICU",
ISNUMBER(SEARCH("NEONATAL",K285)), PROPER("NEONATAL"),
ISNUMBER(SEARCH("LABOUR",K285)), PROPER("LABOUR"),
ISNUMBER(SEARCH("PAEDIATRIC",K285)), PROPER("PAEDIATRIC"),
ISNUMBER(SEARCH("FEMALE SURGICAL",K285)), PROPER("FEMALE SURG, ORTHO &amp; GYN"),
ISNUMBER(SEARCH("PSYCHIATRIST",K285)), PROPER("PSYCHIATRIST"),
ISNUMBER(SEARCH("GRADE 1",K285)), PROPER("GRADE 1"),
ISNUMBER(SEARCH("MALE SURGICAL",K285)), PROPER("MALE SURG &amp; ORTHOPEDIC"),
ISNUMBER(SEARCH("MALE MEDICAL",K285)), PROPER("MALE MEDICAL"),
ISNUMBER(SEARCH("GRADE 2",K285)), PROPER("GRADE 2"),
ISNUMBER(SEARCH("FEMALE WARD",K285)), PROPER("FEMALE MEDICAL"),
TRUE, "Unmapped: " &amp; K285)</f>
        <v>Grade 2</v>
      </c>
      <c r="M285" t="s">
        <v>22</v>
      </c>
      <c r="O285" t="s">
        <v>1152</v>
      </c>
      <c r="P285" t="str">
        <f t="shared" si="37"/>
        <v>Text Error</v>
      </c>
      <c r="Q285" s="5">
        <v>46043.027708333335</v>
      </c>
      <c r="R285" t="str">
        <f t="shared" si="38"/>
        <v>Valid Date</v>
      </c>
      <c r="S285" t="s">
        <v>1153</v>
      </c>
      <c r="T285" s="5">
        <v>46049.423078703701</v>
      </c>
      <c r="U285">
        <v>6</v>
      </c>
      <c r="V285" t="str">
        <f t="shared" si="39"/>
        <v>OK</v>
      </c>
      <c r="W285" t="s">
        <v>397</v>
      </c>
      <c r="Y285" t="s">
        <v>30</v>
      </c>
    </row>
    <row r="286" spans="1:25" x14ac:dyDescent="0.25">
      <c r="A286" t="s">
        <v>1154</v>
      </c>
      <c r="B286" t="str">
        <f t="shared" si="33"/>
        <v>Khalfan Mohamed Khalfan</v>
      </c>
      <c r="C286">
        <v>103008</v>
      </c>
      <c r="D286" t="str">
        <f t="shared" si="32"/>
        <v>Unique</v>
      </c>
      <c r="E286" t="s">
        <v>18</v>
      </c>
      <c r="F286" s="3">
        <f t="shared" si="34"/>
        <v>1</v>
      </c>
      <c r="G286" t="s">
        <v>19</v>
      </c>
      <c r="H286" t="str">
        <f t="shared" si="35"/>
        <v>Valid</v>
      </c>
      <c r="I286" t="s">
        <v>33</v>
      </c>
      <c r="J286" t="str">
        <f t="shared" si="36"/>
        <v>Kigoma Ujiji Mc</v>
      </c>
      <c r="K286" t="s">
        <v>109</v>
      </c>
      <c r="L286" t="str" cm="1">
        <f t="array" ref="L286">_xlfn.IFS(
ISNUMBER(SEARCH("ICU",K286)), "ICU",
ISNUMBER(SEARCH("NEONATAL",K286)), PROPER("NEONATAL"),
ISNUMBER(SEARCH("LABOUR",K286)), PROPER("LABOUR"),
ISNUMBER(SEARCH("PAEDIATRIC",K286)), PROPER("PAEDIATRIC"),
ISNUMBER(SEARCH("FEMALE SURGICAL",K286)), PROPER("FEMALE SURG, ORTHO &amp; GYN"),
ISNUMBER(SEARCH("PSYCHIATRIST",K286)), PROPER("PSYCHIATRIST"),
ISNUMBER(SEARCH("GRADE 1",K286)), PROPER("GRADE 1"),
ISNUMBER(SEARCH("MALE SURGICAL",K286)), PROPER("MALE SURG &amp; ORTHOPEDIC"),
ISNUMBER(SEARCH("MALE MEDICAL",K286)), PROPER("MALE MEDICAL"),
ISNUMBER(SEARCH("GRADE 2",K286)), PROPER("GRADE 2"),
ISNUMBER(SEARCH("FEMALE WARD",K286)), PROPER("FEMALE MEDICAL"),
TRUE, "Unmapped: " &amp; K286)</f>
        <v>Paediatric</v>
      </c>
      <c r="M286" t="s">
        <v>22</v>
      </c>
      <c r="O286" t="s">
        <v>1155</v>
      </c>
      <c r="P286" t="str">
        <f t="shared" si="37"/>
        <v>Text Error</v>
      </c>
      <c r="Q286" s="5">
        <v>46043.477881944447</v>
      </c>
      <c r="R286" t="str">
        <f t="shared" si="38"/>
        <v>Valid Date</v>
      </c>
      <c r="S286" t="s">
        <v>1156</v>
      </c>
      <c r="T286" s="5">
        <v>46050.390381944446</v>
      </c>
      <c r="U286">
        <v>6</v>
      </c>
      <c r="V286" t="str">
        <f t="shared" si="39"/>
        <v>OK</v>
      </c>
      <c r="W286" t="s">
        <v>25</v>
      </c>
      <c r="Y286" t="s">
        <v>30</v>
      </c>
    </row>
    <row r="287" spans="1:25" x14ac:dyDescent="0.25">
      <c r="A287" t="s">
        <v>1157</v>
      </c>
      <c r="B287" t="str">
        <f t="shared" si="33"/>
        <v>Merasiana Amosi Maliatabu</v>
      </c>
      <c r="C287">
        <v>129187</v>
      </c>
      <c r="D287" t="str">
        <f t="shared" si="32"/>
        <v>Unique</v>
      </c>
      <c r="E287" t="s">
        <v>758</v>
      </c>
      <c r="F287" s="3">
        <f t="shared" si="34"/>
        <v>19</v>
      </c>
      <c r="G287" t="s">
        <v>32</v>
      </c>
      <c r="H287" t="str">
        <f t="shared" si="35"/>
        <v>Valid</v>
      </c>
      <c r="I287" t="s">
        <v>260</v>
      </c>
      <c r="J287" t="str">
        <f t="shared" si="36"/>
        <v>Kasulu</v>
      </c>
      <c r="K287" t="s">
        <v>40</v>
      </c>
      <c r="L287" t="str" cm="1">
        <f t="array" ref="L287">_xlfn.IFS(
ISNUMBER(SEARCH("ICU",K287)), "ICU",
ISNUMBER(SEARCH("NEONATAL",K287)), PROPER("NEONATAL"),
ISNUMBER(SEARCH("LABOUR",K287)), PROPER("LABOUR"),
ISNUMBER(SEARCH("PAEDIATRIC",K287)), PROPER("PAEDIATRIC"),
ISNUMBER(SEARCH("FEMALE SURGICAL",K287)), PROPER("FEMALE SURG, ORTHO &amp; GYN"),
ISNUMBER(SEARCH("PSYCHIATRIST",K287)), PROPER("PSYCHIATRIST"),
ISNUMBER(SEARCH("GRADE 1",K287)), PROPER("GRADE 1"),
ISNUMBER(SEARCH("MALE SURGICAL",K287)), PROPER("MALE SURG &amp; ORTHOPEDIC"),
ISNUMBER(SEARCH("MALE MEDICAL",K287)), PROPER("MALE MEDICAL"),
ISNUMBER(SEARCH("GRADE 2",K287)), PROPER("GRADE 2"),
ISNUMBER(SEARCH("FEMALE WARD",K287)), PROPER("FEMALE MEDICAL"),
TRUE, "Unmapped: " &amp; K287)</f>
        <v>Labour</v>
      </c>
      <c r="M287" t="s">
        <v>22</v>
      </c>
      <c r="O287" t="s">
        <v>1158</v>
      </c>
      <c r="P287" t="str">
        <f t="shared" si="37"/>
        <v>Text Error</v>
      </c>
      <c r="Q287" s="5">
        <v>46044.303495370368</v>
      </c>
      <c r="R287" t="str">
        <f t="shared" si="38"/>
        <v>Valid Date</v>
      </c>
      <c r="S287" t="s">
        <v>1159</v>
      </c>
      <c r="T287" s="5">
        <v>46050.678553240738</v>
      </c>
      <c r="U287">
        <v>6</v>
      </c>
      <c r="V287" t="str">
        <f t="shared" si="39"/>
        <v>OK</v>
      </c>
      <c r="W287" t="s">
        <v>25</v>
      </c>
      <c r="Y287" t="s">
        <v>30</v>
      </c>
    </row>
    <row r="288" spans="1:25" x14ac:dyDescent="0.25">
      <c r="A288" t="s">
        <v>1161</v>
      </c>
      <c r="B288" t="str">
        <f t="shared" si="33"/>
        <v>Dina Joseph Mtungilwa</v>
      </c>
      <c r="C288">
        <v>129301</v>
      </c>
      <c r="D288" t="str">
        <f t="shared" si="32"/>
        <v>Unique</v>
      </c>
      <c r="E288" t="s">
        <v>361</v>
      </c>
      <c r="F288" s="3">
        <f t="shared" si="34"/>
        <v>27</v>
      </c>
      <c r="G288" t="s">
        <v>32</v>
      </c>
      <c r="H288" t="str">
        <f t="shared" si="35"/>
        <v>Valid</v>
      </c>
      <c r="I288" t="s">
        <v>33</v>
      </c>
      <c r="J288" t="str">
        <f t="shared" si="36"/>
        <v>Kigoma Ujiji Mc</v>
      </c>
      <c r="K288" t="s">
        <v>40</v>
      </c>
      <c r="L288" t="str" cm="1">
        <f t="array" ref="L288">_xlfn.IFS(
ISNUMBER(SEARCH("ICU",K288)), "ICU",
ISNUMBER(SEARCH("NEONATAL",K288)), PROPER("NEONATAL"),
ISNUMBER(SEARCH("LABOUR",K288)), PROPER("LABOUR"),
ISNUMBER(SEARCH("PAEDIATRIC",K288)), PROPER("PAEDIATRIC"),
ISNUMBER(SEARCH("FEMALE SURGICAL",K288)), PROPER("FEMALE SURG, ORTHO &amp; GYN"),
ISNUMBER(SEARCH("PSYCHIATRIST",K288)), PROPER("PSYCHIATRIST"),
ISNUMBER(SEARCH("GRADE 1",K288)), PROPER("GRADE 1"),
ISNUMBER(SEARCH("MALE SURGICAL",K288)), PROPER("MALE SURG &amp; ORTHOPEDIC"),
ISNUMBER(SEARCH("MALE MEDICAL",K288)), PROPER("MALE MEDICAL"),
ISNUMBER(SEARCH("GRADE 2",K288)), PROPER("GRADE 2"),
ISNUMBER(SEARCH("FEMALE WARD",K288)), PROPER("FEMALE MEDICAL"),
TRUE, "Unmapped: " &amp; K288)</f>
        <v>Labour</v>
      </c>
      <c r="M288" t="s">
        <v>22</v>
      </c>
      <c r="O288" t="s">
        <v>1162</v>
      </c>
      <c r="P288" t="str">
        <f t="shared" si="37"/>
        <v>Text Error</v>
      </c>
      <c r="Q288" s="5">
        <v>46044.961875000001</v>
      </c>
      <c r="R288" t="str">
        <f t="shared" si="38"/>
        <v>Valid Date</v>
      </c>
      <c r="S288" t="s">
        <v>1163</v>
      </c>
      <c r="T288" s="5">
        <v>46051.603680555556</v>
      </c>
      <c r="U288">
        <v>6</v>
      </c>
      <c r="V288" t="str">
        <f t="shared" si="39"/>
        <v>OK</v>
      </c>
      <c r="W288" t="s">
        <v>25</v>
      </c>
      <c r="Y288" t="s">
        <v>30</v>
      </c>
    </row>
    <row r="289" spans="1:25" x14ac:dyDescent="0.25">
      <c r="A289" t="s">
        <v>1164</v>
      </c>
      <c r="B289" t="str">
        <f t="shared" si="33"/>
        <v>Mwavita Kapalata Erasto</v>
      </c>
      <c r="C289">
        <v>129429</v>
      </c>
      <c r="D289" t="str">
        <f t="shared" si="32"/>
        <v>Unique</v>
      </c>
      <c r="E289" t="s">
        <v>147</v>
      </c>
      <c r="F289" s="3">
        <f t="shared" si="34"/>
        <v>30</v>
      </c>
      <c r="G289" t="s">
        <v>32</v>
      </c>
      <c r="H289" t="str">
        <f t="shared" si="35"/>
        <v>Valid</v>
      </c>
      <c r="I289" t="s">
        <v>62</v>
      </c>
      <c r="J289" t="str">
        <f t="shared" si="36"/>
        <v>Kigoma Vijijini</v>
      </c>
      <c r="K289" t="s">
        <v>40</v>
      </c>
      <c r="L289" t="str" cm="1">
        <f t="array" ref="L289">_xlfn.IFS(
ISNUMBER(SEARCH("ICU",K289)), "ICU",
ISNUMBER(SEARCH("NEONATAL",K289)), PROPER("NEONATAL"),
ISNUMBER(SEARCH("LABOUR",K289)), PROPER("LABOUR"),
ISNUMBER(SEARCH("PAEDIATRIC",K289)), PROPER("PAEDIATRIC"),
ISNUMBER(SEARCH("FEMALE SURGICAL",K289)), PROPER("FEMALE SURG, ORTHO &amp; GYN"),
ISNUMBER(SEARCH("PSYCHIATRIST",K289)), PROPER("PSYCHIATRIST"),
ISNUMBER(SEARCH("GRADE 1",K289)), PROPER("GRADE 1"),
ISNUMBER(SEARCH("MALE SURGICAL",K289)), PROPER("MALE SURG &amp; ORTHOPEDIC"),
ISNUMBER(SEARCH("MALE MEDICAL",K289)), PROPER("MALE MEDICAL"),
ISNUMBER(SEARCH("GRADE 2",K289)), PROPER("GRADE 2"),
ISNUMBER(SEARCH("FEMALE WARD",K289)), PROPER("FEMALE MEDICAL"),
TRUE, "Unmapped: " &amp; K289)</f>
        <v>Labour</v>
      </c>
      <c r="M289" t="s">
        <v>22</v>
      </c>
      <c r="O289" t="s">
        <v>1165</v>
      </c>
      <c r="P289" t="str">
        <f t="shared" si="37"/>
        <v>Text Error</v>
      </c>
      <c r="Q289" s="5">
        <v>46045.770983796298</v>
      </c>
      <c r="R289" t="str">
        <f t="shared" si="38"/>
        <v>Valid Date</v>
      </c>
      <c r="S289" t="s">
        <v>1166</v>
      </c>
      <c r="T289" s="5">
        <v>46052.726956018516</v>
      </c>
      <c r="U289">
        <v>6</v>
      </c>
      <c r="V289" t="str">
        <f t="shared" si="39"/>
        <v>OK</v>
      </c>
      <c r="W289" t="s">
        <v>25</v>
      </c>
      <c r="Y289" t="s">
        <v>30</v>
      </c>
    </row>
    <row r="290" spans="1:25" x14ac:dyDescent="0.25">
      <c r="A290" t="s">
        <v>1167</v>
      </c>
      <c r="B290" t="str">
        <f t="shared" si="33"/>
        <v>Khussein Zubeli Kabea</v>
      </c>
      <c r="C290">
        <v>129390</v>
      </c>
      <c r="D290" t="str">
        <f t="shared" si="32"/>
        <v>Unique</v>
      </c>
      <c r="E290" t="s">
        <v>74</v>
      </c>
      <c r="F290" s="3">
        <f t="shared" si="34"/>
        <v>35</v>
      </c>
      <c r="G290" t="s">
        <v>19</v>
      </c>
      <c r="H290" t="str">
        <f t="shared" si="35"/>
        <v>Valid</v>
      </c>
      <c r="I290" t="s">
        <v>33</v>
      </c>
      <c r="J290" t="str">
        <f t="shared" si="36"/>
        <v>Kigoma Ujiji Mc</v>
      </c>
      <c r="K290" t="s">
        <v>428</v>
      </c>
      <c r="L290" t="str" cm="1">
        <f t="array" ref="L290">_xlfn.IFS(
ISNUMBER(SEARCH("ICU",K290)), "ICU",
ISNUMBER(SEARCH("NEONATAL",K290)), PROPER("NEONATAL"),
ISNUMBER(SEARCH("LABOUR",K290)), PROPER("LABOUR"),
ISNUMBER(SEARCH("PAEDIATRIC",K290)), PROPER("PAEDIATRIC"),
ISNUMBER(SEARCH("FEMALE SURGICAL",K290)), PROPER("FEMALE SURG, ORTHO &amp; GYN"),
ISNUMBER(SEARCH("PSYCHIATRIST",K290)), PROPER("PSYCHIATRIST"),
ISNUMBER(SEARCH("GRADE 1",K290)), PROPER("GRADE 1"),
ISNUMBER(SEARCH("MALE SURGICAL",K290)), PROPER("MALE SURG &amp; ORTHOPEDIC"),
ISNUMBER(SEARCH("MALE MEDICAL",K290)), PROPER("MALE MEDICAL"),
ISNUMBER(SEARCH("GRADE 2",K290)), PROPER("GRADE 2"),
ISNUMBER(SEARCH("FEMALE WARD",K290)), PROPER("FEMALE MEDICAL"),
TRUE, "Unmapped: " &amp; K290)</f>
        <v>Male Surg &amp; Orthopedic</v>
      </c>
      <c r="M290" t="s">
        <v>22</v>
      </c>
      <c r="O290" t="s">
        <v>1168</v>
      </c>
      <c r="P290" t="str">
        <f t="shared" si="37"/>
        <v>Text Error</v>
      </c>
      <c r="Q290" s="5">
        <v>46045.927060185182</v>
      </c>
      <c r="R290" t="str">
        <f t="shared" si="38"/>
        <v>Valid Date</v>
      </c>
      <c r="S290" t="s">
        <v>1169</v>
      </c>
      <c r="T290" s="5">
        <v>46052.621030092596</v>
      </c>
      <c r="U290">
        <v>6</v>
      </c>
      <c r="V290" t="str">
        <f t="shared" si="39"/>
        <v>OK</v>
      </c>
      <c r="W290" t="s">
        <v>112</v>
      </c>
      <c r="Y290" t="s">
        <v>30</v>
      </c>
    </row>
    <row r="291" spans="1:25" x14ac:dyDescent="0.25">
      <c r="A291" t="s">
        <v>1171</v>
      </c>
      <c r="B291" t="str">
        <f t="shared" si="33"/>
        <v>Baby Of Mwavita Kapalata Erasto</v>
      </c>
      <c r="C291">
        <v>129447</v>
      </c>
      <c r="D291" t="str">
        <f t="shared" si="32"/>
        <v>Unique</v>
      </c>
      <c r="E291" t="s">
        <v>1172</v>
      </c>
      <c r="F291" s="3" t="str">
        <f t="shared" si="34"/>
        <v>1/12</v>
      </c>
      <c r="G291" t="s">
        <v>19</v>
      </c>
      <c r="H291" t="str">
        <f t="shared" si="35"/>
        <v>Valid</v>
      </c>
      <c r="I291" t="s">
        <v>62</v>
      </c>
      <c r="J291" t="str">
        <f t="shared" si="36"/>
        <v>Kigoma Vijijini</v>
      </c>
      <c r="K291" t="s">
        <v>21</v>
      </c>
      <c r="L291" t="str" cm="1">
        <f t="array" ref="L291">_xlfn.IFS(
ISNUMBER(SEARCH("ICU",K291)), "ICU",
ISNUMBER(SEARCH("NEONATAL",K291)), PROPER("NEONATAL"),
ISNUMBER(SEARCH("LABOUR",K291)), PROPER("LABOUR"),
ISNUMBER(SEARCH("PAEDIATRIC",K291)), PROPER("PAEDIATRIC"),
ISNUMBER(SEARCH("FEMALE SURGICAL",K291)), PROPER("FEMALE SURG, ORTHO &amp; GYN"),
ISNUMBER(SEARCH("PSYCHIATRIST",K291)), PROPER("PSYCHIATRIST"),
ISNUMBER(SEARCH("GRADE 1",K291)), PROPER("GRADE 1"),
ISNUMBER(SEARCH("MALE SURGICAL",K291)), PROPER("MALE SURG &amp; ORTHOPEDIC"),
ISNUMBER(SEARCH("MALE MEDICAL",K291)), PROPER("MALE MEDICAL"),
ISNUMBER(SEARCH("GRADE 2",K291)), PROPER("GRADE 2"),
ISNUMBER(SEARCH("FEMALE WARD",K291)), PROPER("FEMALE MEDICAL"),
TRUE, "Unmapped: " &amp; K291)</f>
        <v>Neonatal</v>
      </c>
      <c r="M291" t="s">
        <v>22</v>
      </c>
      <c r="O291" t="s">
        <v>1173</v>
      </c>
      <c r="P291" t="str">
        <f t="shared" si="37"/>
        <v>Text Error</v>
      </c>
      <c r="Q291" s="5">
        <v>46046.341724537036</v>
      </c>
      <c r="R291" t="str">
        <f t="shared" si="38"/>
        <v>Valid Date</v>
      </c>
      <c r="S291" t="s">
        <v>1174</v>
      </c>
      <c r="T291" s="5">
        <v>46052.727280092593</v>
      </c>
      <c r="U291">
        <v>6</v>
      </c>
      <c r="V291" t="str">
        <f t="shared" si="39"/>
        <v>OK</v>
      </c>
      <c r="W291" t="s">
        <v>25</v>
      </c>
      <c r="Y291" t="s">
        <v>30</v>
      </c>
    </row>
    <row r="292" spans="1:25" x14ac:dyDescent="0.25">
      <c r="A292" t="s">
        <v>791</v>
      </c>
      <c r="B292" t="str">
        <f t="shared" si="33"/>
        <v>Asia Juma Kagoma</v>
      </c>
      <c r="C292">
        <v>127206</v>
      </c>
      <c r="D292" t="str">
        <f t="shared" si="32"/>
        <v>Duplicate</v>
      </c>
      <c r="E292" t="s">
        <v>142</v>
      </c>
      <c r="F292" s="3">
        <f t="shared" si="34"/>
        <v>20</v>
      </c>
      <c r="G292" t="s">
        <v>32</v>
      </c>
      <c r="H292" t="str">
        <f t="shared" si="35"/>
        <v>Valid</v>
      </c>
      <c r="I292" t="s">
        <v>33</v>
      </c>
      <c r="J292" t="str">
        <f t="shared" si="36"/>
        <v>Kigoma Ujiji Mc</v>
      </c>
      <c r="K292" t="s">
        <v>40</v>
      </c>
      <c r="L292" t="str" cm="1">
        <f t="array" ref="L292">_xlfn.IFS(
ISNUMBER(SEARCH("ICU",K292)), "ICU",
ISNUMBER(SEARCH("NEONATAL",K292)), PROPER("NEONATAL"),
ISNUMBER(SEARCH("LABOUR",K292)), PROPER("LABOUR"),
ISNUMBER(SEARCH("PAEDIATRIC",K292)), PROPER("PAEDIATRIC"),
ISNUMBER(SEARCH("FEMALE SURGICAL",K292)), PROPER("FEMALE SURG, ORTHO &amp; GYN"),
ISNUMBER(SEARCH("PSYCHIATRIST",K292)), PROPER("PSYCHIATRIST"),
ISNUMBER(SEARCH("GRADE 1",K292)), PROPER("GRADE 1"),
ISNUMBER(SEARCH("MALE SURGICAL",K292)), PROPER("MALE SURG &amp; ORTHOPEDIC"),
ISNUMBER(SEARCH("MALE MEDICAL",K292)), PROPER("MALE MEDICAL"),
ISNUMBER(SEARCH("GRADE 2",K292)), PROPER("GRADE 2"),
ISNUMBER(SEARCH("FEMALE WARD",K292)), PROPER("FEMALE MEDICAL"),
TRUE, "Unmapped: " &amp; K292)</f>
        <v>Labour</v>
      </c>
      <c r="M292" t="s">
        <v>22</v>
      </c>
      <c r="O292" t="s">
        <v>1175</v>
      </c>
      <c r="P292" t="str">
        <f t="shared" si="37"/>
        <v>Text Error</v>
      </c>
      <c r="Q292" s="5">
        <v>46046.869629629633</v>
      </c>
      <c r="R292" t="str">
        <f t="shared" si="38"/>
        <v>Valid Date</v>
      </c>
      <c r="S292" t="s">
        <v>1176</v>
      </c>
      <c r="T292" s="5">
        <v>46053.73096064815</v>
      </c>
      <c r="U292">
        <v>6</v>
      </c>
      <c r="V292" t="str">
        <f t="shared" si="39"/>
        <v>OK</v>
      </c>
      <c r="W292" t="s">
        <v>25</v>
      </c>
      <c r="Y292" t="s">
        <v>30</v>
      </c>
    </row>
    <row r="293" spans="1:25" x14ac:dyDescent="0.25">
      <c r="A293" t="s">
        <v>1177</v>
      </c>
      <c r="B293" t="str">
        <f t="shared" si="33"/>
        <v>Feruzi Mukua Feruzi</v>
      </c>
      <c r="C293">
        <v>126590</v>
      </c>
      <c r="D293" t="str">
        <f t="shared" si="32"/>
        <v>Unique</v>
      </c>
      <c r="E293" t="s">
        <v>634</v>
      </c>
      <c r="F293" s="3" t="str">
        <f t="shared" si="34"/>
        <v>3/12</v>
      </c>
      <c r="G293" t="s">
        <v>19</v>
      </c>
      <c r="H293" t="str">
        <f t="shared" si="35"/>
        <v>Valid</v>
      </c>
      <c r="I293" t="s">
        <v>33</v>
      </c>
      <c r="J293" t="str">
        <f t="shared" si="36"/>
        <v>Kigoma Ujiji Mc</v>
      </c>
      <c r="K293" t="s">
        <v>21</v>
      </c>
      <c r="L293" t="str" cm="1">
        <f t="array" ref="L293">_xlfn.IFS(
ISNUMBER(SEARCH("ICU",K293)), "ICU",
ISNUMBER(SEARCH("NEONATAL",K293)), PROPER("NEONATAL"),
ISNUMBER(SEARCH("LABOUR",K293)), PROPER("LABOUR"),
ISNUMBER(SEARCH("PAEDIATRIC",K293)), PROPER("PAEDIATRIC"),
ISNUMBER(SEARCH("FEMALE SURGICAL",K293)), PROPER("FEMALE SURG, ORTHO &amp; GYN"),
ISNUMBER(SEARCH("PSYCHIATRIST",K293)), PROPER("PSYCHIATRIST"),
ISNUMBER(SEARCH("GRADE 1",K293)), PROPER("GRADE 1"),
ISNUMBER(SEARCH("MALE SURGICAL",K293)), PROPER("MALE SURG &amp; ORTHOPEDIC"),
ISNUMBER(SEARCH("MALE MEDICAL",K293)), PROPER("MALE MEDICAL"),
ISNUMBER(SEARCH("GRADE 2",K293)), PROPER("GRADE 2"),
ISNUMBER(SEARCH("FEMALE WARD",K293)), PROPER("FEMALE MEDICAL"),
TRUE, "Unmapped: " &amp; K293)</f>
        <v>Neonatal</v>
      </c>
      <c r="M293" t="s">
        <v>22</v>
      </c>
      <c r="O293" t="s">
        <v>1178</v>
      </c>
      <c r="P293" t="str">
        <f t="shared" si="37"/>
        <v>Text Error</v>
      </c>
      <c r="Q293" s="5">
        <v>46019.660451388889</v>
      </c>
      <c r="R293" t="str">
        <f t="shared" si="38"/>
        <v>Valid Date</v>
      </c>
      <c r="S293" t="s">
        <v>1179</v>
      </c>
      <c r="T293" s="5">
        <v>46024.668194444443</v>
      </c>
      <c r="U293">
        <v>5</v>
      </c>
      <c r="V293" t="str">
        <f t="shared" si="39"/>
        <v>OK</v>
      </c>
      <c r="W293" t="s">
        <v>25</v>
      </c>
      <c r="Y293" t="s">
        <v>30</v>
      </c>
    </row>
    <row r="294" spans="1:25" x14ac:dyDescent="0.25">
      <c r="A294" t="s">
        <v>1180</v>
      </c>
      <c r="B294" t="str">
        <f t="shared" si="33"/>
        <v>Khadija O Mayanga</v>
      </c>
      <c r="C294">
        <v>126791</v>
      </c>
      <c r="D294" t="str">
        <f t="shared" si="32"/>
        <v>Unique</v>
      </c>
      <c r="E294" t="s">
        <v>39</v>
      </c>
      <c r="F294" s="3">
        <f t="shared" si="34"/>
        <v>33</v>
      </c>
      <c r="G294" t="s">
        <v>32</v>
      </c>
      <c r="H294" t="str">
        <f t="shared" si="35"/>
        <v>Valid</v>
      </c>
      <c r="I294" t="s">
        <v>33</v>
      </c>
      <c r="J294" t="str">
        <f t="shared" si="36"/>
        <v>Kigoma Ujiji Mc</v>
      </c>
      <c r="K294" t="s">
        <v>40</v>
      </c>
      <c r="L294" t="str" cm="1">
        <f t="array" ref="L294">_xlfn.IFS(
ISNUMBER(SEARCH("ICU",K294)), "ICU",
ISNUMBER(SEARCH("NEONATAL",K294)), PROPER("NEONATAL"),
ISNUMBER(SEARCH("LABOUR",K294)), PROPER("LABOUR"),
ISNUMBER(SEARCH("PAEDIATRIC",K294)), PROPER("PAEDIATRIC"),
ISNUMBER(SEARCH("FEMALE SURGICAL",K294)), PROPER("FEMALE SURG, ORTHO &amp; GYN"),
ISNUMBER(SEARCH("PSYCHIATRIST",K294)), PROPER("PSYCHIATRIST"),
ISNUMBER(SEARCH("GRADE 1",K294)), PROPER("GRADE 1"),
ISNUMBER(SEARCH("MALE SURGICAL",K294)), PROPER("MALE SURG &amp; ORTHOPEDIC"),
ISNUMBER(SEARCH("MALE MEDICAL",K294)), PROPER("MALE MEDICAL"),
ISNUMBER(SEARCH("GRADE 2",K294)), PROPER("GRADE 2"),
ISNUMBER(SEARCH("FEMALE WARD",K294)), PROPER("FEMALE MEDICAL"),
TRUE, "Unmapped: " &amp; K294)</f>
        <v>Labour</v>
      </c>
      <c r="M294" t="s">
        <v>394</v>
      </c>
      <c r="O294" t="s">
        <v>1181</v>
      </c>
      <c r="P294" t="str">
        <f t="shared" si="37"/>
        <v>Text Error</v>
      </c>
      <c r="Q294" s="5">
        <v>46021.472696759258</v>
      </c>
      <c r="R294" t="str">
        <f t="shared" si="38"/>
        <v>Valid Date</v>
      </c>
      <c r="S294" t="s">
        <v>1182</v>
      </c>
      <c r="T294" s="5">
        <v>46026.560682870368</v>
      </c>
      <c r="U294">
        <v>5</v>
      </c>
      <c r="V294" t="str">
        <f t="shared" si="39"/>
        <v>OK</v>
      </c>
      <c r="W294" t="s">
        <v>25</v>
      </c>
      <c r="Y294" t="s">
        <v>30</v>
      </c>
    </row>
    <row r="295" spans="1:25" x14ac:dyDescent="0.25">
      <c r="A295" t="s">
        <v>1183</v>
      </c>
      <c r="B295" t="str">
        <f t="shared" si="33"/>
        <v>Baby Of Johari Ramadhan Hussein</v>
      </c>
      <c r="C295">
        <v>126874</v>
      </c>
      <c r="D295" t="str">
        <f t="shared" si="32"/>
        <v>Unique</v>
      </c>
      <c r="E295" t="s">
        <v>622</v>
      </c>
      <c r="F295" s="3" t="str">
        <f t="shared" si="34"/>
        <v>2/12</v>
      </c>
      <c r="G295" t="s">
        <v>19</v>
      </c>
      <c r="H295" t="str">
        <f t="shared" si="35"/>
        <v>Valid</v>
      </c>
      <c r="I295" t="s">
        <v>33</v>
      </c>
      <c r="J295" t="str">
        <f t="shared" si="36"/>
        <v>Kigoma Ujiji Mc</v>
      </c>
      <c r="K295" t="s">
        <v>21</v>
      </c>
      <c r="L295" t="str" cm="1">
        <f t="array" ref="L295">_xlfn.IFS(
ISNUMBER(SEARCH("ICU",K295)), "ICU",
ISNUMBER(SEARCH("NEONATAL",K295)), PROPER("NEONATAL"),
ISNUMBER(SEARCH("LABOUR",K295)), PROPER("LABOUR"),
ISNUMBER(SEARCH("PAEDIATRIC",K295)), PROPER("PAEDIATRIC"),
ISNUMBER(SEARCH("FEMALE SURGICAL",K295)), PROPER("FEMALE SURG, ORTHO &amp; GYN"),
ISNUMBER(SEARCH("PSYCHIATRIST",K295)), PROPER("PSYCHIATRIST"),
ISNUMBER(SEARCH("GRADE 1",K295)), PROPER("GRADE 1"),
ISNUMBER(SEARCH("MALE SURGICAL",K295)), PROPER("MALE SURG &amp; ORTHOPEDIC"),
ISNUMBER(SEARCH("MALE MEDICAL",K295)), PROPER("MALE MEDICAL"),
ISNUMBER(SEARCH("GRADE 2",K295)), PROPER("GRADE 2"),
ISNUMBER(SEARCH("FEMALE WARD",K295)), PROPER("FEMALE MEDICAL"),
TRUE, "Unmapped: " &amp; K295)</f>
        <v>Neonatal</v>
      </c>
      <c r="M295" t="s">
        <v>22</v>
      </c>
      <c r="O295" t="s">
        <v>1184</v>
      </c>
      <c r="P295" t="str">
        <f t="shared" si="37"/>
        <v>Text Error</v>
      </c>
      <c r="Q295" s="5">
        <v>46022.533020833333</v>
      </c>
      <c r="R295" t="str">
        <f t="shared" si="38"/>
        <v>Valid Date</v>
      </c>
      <c r="S295" t="s">
        <v>1185</v>
      </c>
      <c r="T295" s="5">
        <v>46027.724016203705</v>
      </c>
      <c r="U295">
        <v>5</v>
      </c>
      <c r="V295" t="str">
        <f t="shared" si="39"/>
        <v>OK</v>
      </c>
      <c r="W295" t="s">
        <v>211</v>
      </c>
      <c r="Y295" t="s">
        <v>30</v>
      </c>
    </row>
    <row r="296" spans="1:25" x14ac:dyDescent="0.25">
      <c r="A296" t="s">
        <v>1186</v>
      </c>
      <c r="B296" t="str">
        <f t="shared" si="33"/>
        <v>Mwanaisha Omary Bonde</v>
      </c>
      <c r="C296">
        <v>126956</v>
      </c>
      <c r="D296" t="str">
        <f t="shared" si="32"/>
        <v>Unique</v>
      </c>
      <c r="E296" t="s">
        <v>816</v>
      </c>
      <c r="F296" s="3">
        <f t="shared" si="34"/>
        <v>63</v>
      </c>
      <c r="G296" t="s">
        <v>32</v>
      </c>
      <c r="H296" t="str">
        <f t="shared" si="35"/>
        <v>Valid</v>
      </c>
      <c r="I296" t="s">
        <v>20</v>
      </c>
      <c r="J296" t="str">
        <f t="shared" si="36"/>
        <v>Uvinza</v>
      </c>
      <c r="K296" t="s">
        <v>763</v>
      </c>
      <c r="L296" t="str" cm="1">
        <f t="array" ref="L296">_xlfn.IFS(
ISNUMBER(SEARCH("ICU",K296)), "ICU",
ISNUMBER(SEARCH("NEONATAL",K296)), PROPER("NEONATAL"),
ISNUMBER(SEARCH("LABOUR",K296)), PROPER("LABOUR"),
ISNUMBER(SEARCH("PAEDIATRIC",K296)), PROPER("PAEDIATRIC"),
ISNUMBER(SEARCH("FEMALE SURGICAL",K296)), PROPER("FEMALE SURG, ORTHO &amp; GYN"),
ISNUMBER(SEARCH("PSYCHIATRIST",K296)), PROPER("PSYCHIATRIST"),
ISNUMBER(SEARCH("GRADE 1",K296)), PROPER("GRADE 1"),
ISNUMBER(SEARCH("MALE SURGICAL",K296)), PROPER("MALE SURG &amp; ORTHOPEDIC"),
ISNUMBER(SEARCH("MALE MEDICAL",K296)), PROPER("MALE MEDICAL"),
ISNUMBER(SEARCH("GRADE 2",K296)), PROPER("GRADE 2"),
ISNUMBER(SEARCH("FEMALE WARD",K296)), PROPER("FEMALE MEDICAL"),
TRUE, "Unmapped: " &amp; K296)</f>
        <v>ICU</v>
      </c>
      <c r="M296" t="s">
        <v>22</v>
      </c>
      <c r="O296" t="s">
        <v>1187</v>
      </c>
      <c r="P296" t="str">
        <f t="shared" si="37"/>
        <v>Text Error</v>
      </c>
      <c r="Q296" s="5">
        <v>46022.711631944447</v>
      </c>
      <c r="R296" t="str">
        <f t="shared" si="38"/>
        <v>Valid Date</v>
      </c>
      <c r="S296" t="s">
        <v>1188</v>
      </c>
      <c r="T296" s="5">
        <v>46028.544016203705</v>
      </c>
      <c r="U296">
        <v>5</v>
      </c>
      <c r="V296" t="str">
        <f t="shared" si="39"/>
        <v>OK</v>
      </c>
      <c r="W296" t="s">
        <v>211</v>
      </c>
      <c r="Y296" t="s">
        <v>30</v>
      </c>
    </row>
    <row r="297" spans="1:25" x14ac:dyDescent="0.25">
      <c r="A297" t="s">
        <v>1190</v>
      </c>
      <c r="B297" t="str">
        <f t="shared" si="33"/>
        <v>Laulent John Hamiss</v>
      </c>
      <c r="C297">
        <v>126977</v>
      </c>
      <c r="D297" t="str">
        <f t="shared" si="32"/>
        <v>Unique</v>
      </c>
      <c r="E297" t="s">
        <v>54</v>
      </c>
      <c r="F297" s="3">
        <f t="shared" si="34"/>
        <v>21</v>
      </c>
      <c r="G297" t="s">
        <v>19</v>
      </c>
      <c r="H297" t="str">
        <f t="shared" si="35"/>
        <v>Valid</v>
      </c>
      <c r="I297" t="s">
        <v>33</v>
      </c>
      <c r="J297" t="str">
        <f t="shared" si="36"/>
        <v>Kigoma Ujiji Mc</v>
      </c>
      <c r="K297" t="s">
        <v>428</v>
      </c>
      <c r="L297" t="str" cm="1">
        <f t="array" ref="L297">_xlfn.IFS(
ISNUMBER(SEARCH("ICU",K297)), "ICU",
ISNUMBER(SEARCH("NEONATAL",K297)), PROPER("NEONATAL"),
ISNUMBER(SEARCH("LABOUR",K297)), PROPER("LABOUR"),
ISNUMBER(SEARCH("PAEDIATRIC",K297)), PROPER("PAEDIATRIC"),
ISNUMBER(SEARCH("FEMALE SURGICAL",K297)), PROPER("FEMALE SURG, ORTHO &amp; GYN"),
ISNUMBER(SEARCH("PSYCHIATRIST",K297)), PROPER("PSYCHIATRIST"),
ISNUMBER(SEARCH("GRADE 1",K297)), PROPER("GRADE 1"),
ISNUMBER(SEARCH("MALE SURGICAL",K297)), PROPER("MALE SURG &amp; ORTHOPEDIC"),
ISNUMBER(SEARCH("MALE MEDICAL",K297)), PROPER("MALE MEDICAL"),
ISNUMBER(SEARCH("GRADE 2",K297)), PROPER("GRADE 2"),
ISNUMBER(SEARCH("FEMALE WARD",K297)), PROPER("FEMALE MEDICAL"),
TRUE, "Unmapped: " &amp; K297)</f>
        <v>Male Surg &amp; Orthopedic</v>
      </c>
      <c r="M297" t="s">
        <v>22</v>
      </c>
      <c r="O297" t="s">
        <v>1191</v>
      </c>
      <c r="P297" t="str">
        <f t="shared" si="37"/>
        <v>Text Error</v>
      </c>
      <c r="Q297" s="5">
        <v>46023.209918981483</v>
      </c>
      <c r="R297" t="str">
        <f t="shared" si="38"/>
        <v>Valid Date</v>
      </c>
      <c r="S297" t="s">
        <v>1192</v>
      </c>
      <c r="T297" s="5">
        <v>46028.556481481479</v>
      </c>
      <c r="U297">
        <v>5</v>
      </c>
      <c r="V297" t="str">
        <f t="shared" si="39"/>
        <v>OK</v>
      </c>
      <c r="W297" t="s">
        <v>25</v>
      </c>
      <c r="Y297" t="s">
        <v>30</v>
      </c>
    </row>
    <row r="298" spans="1:25" x14ac:dyDescent="0.25">
      <c r="A298" t="s">
        <v>1193</v>
      </c>
      <c r="B298" t="str">
        <f t="shared" si="33"/>
        <v>Yudeth Elisha Mbata</v>
      </c>
      <c r="C298">
        <v>127035</v>
      </c>
      <c r="D298" t="str">
        <f t="shared" si="32"/>
        <v>Unique</v>
      </c>
      <c r="E298" t="s">
        <v>361</v>
      </c>
      <c r="F298" s="3">
        <f t="shared" si="34"/>
        <v>27</v>
      </c>
      <c r="G298" t="s">
        <v>32</v>
      </c>
      <c r="H298" t="str">
        <f t="shared" si="35"/>
        <v>Valid</v>
      </c>
      <c r="I298" t="s">
        <v>62</v>
      </c>
      <c r="J298" t="str">
        <f t="shared" si="36"/>
        <v>Kigoma Vijijini</v>
      </c>
      <c r="K298" t="s">
        <v>40</v>
      </c>
      <c r="L298" t="str" cm="1">
        <f t="array" ref="L298">_xlfn.IFS(
ISNUMBER(SEARCH("ICU",K298)), "ICU",
ISNUMBER(SEARCH("NEONATAL",K298)), PROPER("NEONATAL"),
ISNUMBER(SEARCH("LABOUR",K298)), PROPER("LABOUR"),
ISNUMBER(SEARCH("PAEDIATRIC",K298)), PROPER("PAEDIATRIC"),
ISNUMBER(SEARCH("FEMALE SURGICAL",K298)), PROPER("FEMALE SURG, ORTHO &amp; GYN"),
ISNUMBER(SEARCH("PSYCHIATRIST",K298)), PROPER("PSYCHIATRIST"),
ISNUMBER(SEARCH("GRADE 1",K298)), PROPER("GRADE 1"),
ISNUMBER(SEARCH("MALE SURGICAL",K298)), PROPER("MALE SURG &amp; ORTHOPEDIC"),
ISNUMBER(SEARCH("MALE MEDICAL",K298)), PROPER("MALE MEDICAL"),
ISNUMBER(SEARCH("GRADE 2",K298)), PROPER("GRADE 2"),
ISNUMBER(SEARCH("FEMALE WARD",K298)), PROPER("FEMALE MEDICAL"),
TRUE, "Unmapped: " &amp; K298)</f>
        <v>Labour</v>
      </c>
      <c r="M298" t="s">
        <v>22</v>
      </c>
      <c r="O298" t="s">
        <v>1194</v>
      </c>
      <c r="P298" t="str">
        <f t="shared" si="37"/>
        <v>Text Error</v>
      </c>
      <c r="Q298" s="5">
        <v>46024.381180555552</v>
      </c>
      <c r="R298" t="str">
        <f t="shared" si="38"/>
        <v>Valid Date</v>
      </c>
      <c r="S298" t="s">
        <v>1195</v>
      </c>
      <c r="T298" s="5">
        <v>46029.602546296293</v>
      </c>
      <c r="U298">
        <v>5</v>
      </c>
      <c r="V298" t="str">
        <f t="shared" si="39"/>
        <v>OK</v>
      </c>
      <c r="W298" t="s">
        <v>25</v>
      </c>
      <c r="Y298" t="s">
        <v>30</v>
      </c>
    </row>
    <row r="299" spans="1:25" x14ac:dyDescent="0.25">
      <c r="A299" t="s">
        <v>1196</v>
      </c>
      <c r="B299" t="str">
        <f t="shared" si="33"/>
        <v>Mahamudu Lusamwa Ngelula</v>
      </c>
      <c r="C299">
        <v>91632</v>
      </c>
      <c r="D299" t="str">
        <f t="shared" si="32"/>
        <v>Unique</v>
      </c>
      <c r="E299" t="s">
        <v>1197</v>
      </c>
      <c r="F299" s="3">
        <f t="shared" si="34"/>
        <v>81</v>
      </c>
      <c r="G299" t="s">
        <v>19</v>
      </c>
      <c r="H299" t="str">
        <f t="shared" si="35"/>
        <v>Valid</v>
      </c>
      <c r="I299" t="s">
        <v>20</v>
      </c>
      <c r="J299" t="str">
        <f t="shared" si="36"/>
        <v>Uvinza</v>
      </c>
      <c r="K299" t="s">
        <v>484</v>
      </c>
      <c r="L299" t="str" cm="1">
        <f t="array" ref="L299">_xlfn.IFS(
ISNUMBER(SEARCH("ICU",K299)), "ICU",
ISNUMBER(SEARCH("NEONATAL",K299)), PROPER("NEONATAL"),
ISNUMBER(SEARCH("LABOUR",K299)), PROPER("LABOUR"),
ISNUMBER(SEARCH("PAEDIATRIC",K299)), PROPER("PAEDIATRIC"),
ISNUMBER(SEARCH("FEMALE SURGICAL",K299)), PROPER("FEMALE SURG, ORTHO &amp; GYN"),
ISNUMBER(SEARCH("PSYCHIATRIST",K299)), PROPER("PSYCHIATRIST"),
ISNUMBER(SEARCH("GRADE 1",K299)), PROPER("GRADE 1"),
ISNUMBER(SEARCH("MALE SURGICAL",K299)), PROPER("MALE SURG &amp; ORTHOPEDIC"),
ISNUMBER(SEARCH("MALE MEDICAL",K299)), PROPER("MALE MEDICAL"),
ISNUMBER(SEARCH("GRADE 2",K299)), PROPER("GRADE 2"),
ISNUMBER(SEARCH("FEMALE WARD",K299)), PROPER("FEMALE MEDICAL"),
TRUE, "Unmapped: " &amp; K299)</f>
        <v>Male Medical</v>
      </c>
      <c r="M299" t="s">
        <v>22</v>
      </c>
      <c r="O299" t="s">
        <v>1198</v>
      </c>
      <c r="P299" t="str">
        <f t="shared" si="37"/>
        <v>Text Error</v>
      </c>
      <c r="Q299" s="5">
        <v>46024.949502314812</v>
      </c>
      <c r="R299" t="str">
        <f t="shared" si="38"/>
        <v>Valid Date</v>
      </c>
      <c r="S299" t="s">
        <v>1199</v>
      </c>
      <c r="T299" s="5">
        <v>46030.653055555558</v>
      </c>
      <c r="U299">
        <v>5</v>
      </c>
      <c r="V299" t="str">
        <f t="shared" si="39"/>
        <v>OK</v>
      </c>
      <c r="W299" t="s">
        <v>211</v>
      </c>
      <c r="Y299" t="s">
        <v>30</v>
      </c>
    </row>
    <row r="300" spans="1:25" x14ac:dyDescent="0.25">
      <c r="A300" t="s">
        <v>1200</v>
      </c>
      <c r="B300" t="str">
        <f t="shared" si="33"/>
        <v>Konsolata Yohana Kiyoya</v>
      </c>
      <c r="C300">
        <v>126767</v>
      </c>
      <c r="D300" t="str">
        <f t="shared" si="32"/>
        <v>Unique</v>
      </c>
      <c r="E300" t="s">
        <v>1100</v>
      </c>
      <c r="F300" s="3">
        <f t="shared" si="34"/>
        <v>80</v>
      </c>
      <c r="G300" t="s">
        <v>32</v>
      </c>
      <c r="H300" t="str">
        <f t="shared" si="35"/>
        <v>Valid</v>
      </c>
      <c r="I300" t="s">
        <v>62</v>
      </c>
      <c r="J300" t="str">
        <f t="shared" si="36"/>
        <v>Kigoma Vijijini</v>
      </c>
      <c r="K300" t="s">
        <v>700</v>
      </c>
      <c r="L300" t="str" cm="1">
        <f t="array" ref="L300">_xlfn.IFS(
ISNUMBER(SEARCH("ICU",K300)), "ICU",
ISNUMBER(SEARCH("NEONATAL",K300)), PROPER("NEONATAL"),
ISNUMBER(SEARCH("LABOUR",K300)), PROPER("LABOUR"),
ISNUMBER(SEARCH("PAEDIATRIC",K300)), PROPER("PAEDIATRIC"),
ISNUMBER(SEARCH("FEMALE SURGICAL",K300)), PROPER("FEMALE SURG, ORTHO &amp; GYN"),
ISNUMBER(SEARCH("PSYCHIATRIST",K300)), PROPER("PSYCHIATRIST"),
ISNUMBER(SEARCH("GRADE 1",K300)), PROPER("GRADE 1"),
ISNUMBER(SEARCH("MALE SURGICAL",K300)), PROPER("MALE SURG &amp; ORTHOPEDIC"),
ISNUMBER(SEARCH("MALE MEDICAL",K300)), PROPER("MALE MEDICAL"),
ISNUMBER(SEARCH("GRADE 2",K300)), PROPER("GRADE 2"),
ISNUMBER(SEARCH("FEMALE WARD",K300)), PROPER("FEMALE MEDICAL"),
TRUE, "Unmapped: " &amp; K300)</f>
        <v>Female Medical</v>
      </c>
      <c r="M300" t="s">
        <v>22</v>
      </c>
      <c r="O300" t="s">
        <v>1201</v>
      </c>
      <c r="P300" t="str">
        <f t="shared" si="37"/>
        <v>Text Error</v>
      </c>
      <c r="Q300" s="5">
        <v>46025.148912037039</v>
      </c>
      <c r="R300" t="str">
        <f t="shared" si="38"/>
        <v>Valid Date</v>
      </c>
      <c r="S300" t="s">
        <v>1202</v>
      </c>
      <c r="T300" s="5">
        <v>46030.757638888892</v>
      </c>
      <c r="U300">
        <v>5</v>
      </c>
      <c r="V300" t="str">
        <f t="shared" si="39"/>
        <v>OK</v>
      </c>
      <c r="W300" t="s">
        <v>25</v>
      </c>
      <c r="Y300" t="s">
        <v>30</v>
      </c>
    </row>
    <row r="301" spans="1:25" x14ac:dyDescent="0.25">
      <c r="A301" t="s">
        <v>1203</v>
      </c>
      <c r="B301" t="str">
        <f t="shared" si="33"/>
        <v>Zabibu Shabani Iddy</v>
      </c>
      <c r="C301">
        <v>127138</v>
      </c>
      <c r="D301" t="str">
        <f t="shared" si="32"/>
        <v>Unique</v>
      </c>
      <c r="E301" t="s">
        <v>903</v>
      </c>
      <c r="F301" s="3">
        <f t="shared" si="34"/>
        <v>12</v>
      </c>
      <c r="G301" t="s">
        <v>32</v>
      </c>
      <c r="H301" t="str">
        <f t="shared" si="35"/>
        <v>Valid</v>
      </c>
      <c r="I301" t="s">
        <v>33</v>
      </c>
      <c r="J301" t="str">
        <f t="shared" si="36"/>
        <v>Kigoma Ujiji Mc</v>
      </c>
      <c r="K301" t="s">
        <v>109</v>
      </c>
      <c r="L301" t="str" cm="1">
        <f t="array" ref="L301">_xlfn.IFS(
ISNUMBER(SEARCH("ICU",K301)), "ICU",
ISNUMBER(SEARCH("NEONATAL",K301)), PROPER("NEONATAL"),
ISNUMBER(SEARCH("LABOUR",K301)), PROPER("LABOUR"),
ISNUMBER(SEARCH("PAEDIATRIC",K301)), PROPER("PAEDIATRIC"),
ISNUMBER(SEARCH("FEMALE SURGICAL",K301)), PROPER("FEMALE SURG, ORTHO &amp; GYN"),
ISNUMBER(SEARCH("PSYCHIATRIST",K301)), PROPER("PSYCHIATRIST"),
ISNUMBER(SEARCH("GRADE 1",K301)), PROPER("GRADE 1"),
ISNUMBER(SEARCH("MALE SURGICAL",K301)), PROPER("MALE SURG &amp; ORTHOPEDIC"),
ISNUMBER(SEARCH("MALE MEDICAL",K301)), PROPER("MALE MEDICAL"),
ISNUMBER(SEARCH("GRADE 2",K301)), PROPER("GRADE 2"),
ISNUMBER(SEARCH("FEMALE WARD",K301)), PROPER("FEMALE MEDICAL"),
TRUE, "Unmapped: " &amp; K301)</f>
        <v>Paediatric</v>
      </c>
      <c r="M301" t="s">
        <v>22</v>
      </c>
      <c r="O301" t="s">
        <v>1204</v>
      </c>
      <c r="P301" t="str">
        <f t="shared" si="37"/>
        <v>Text Error</v>
      </c>
      <c r="Q301" s="5">
        <v>46025.280243055553</v>
      </c>
      <c r="R301" t="str">
        <f t="shared" si="38"/>
        <v>Valid Date</v>
      </c>
      <c r="S301" t="s">
        <v>1205</v>
      </c>
      <c r="T301" s="5">
        <v>46030.716006944444</v>
      </c>
      <c r="U301">
        <v>5</v>
      </c>
      <c r="V301" t="str">
        <f t="shared" si="39"/>
        <v>OK</v>
      </c>
      <c r="W301" t="s">
        <v>25</v>
      </c>
      <c r="Y301" t="s">
        <v>30</v>
      </c>
    </row>
    <row r="302" spans="1:25" x14ac:dyDescent="0.25">
      <c r="A302" t="s">
        <v>1206</v>
      </c>
      <c r="B302" t="str">
        <f t="shared" si="33"/>
        <v>Mikidadi Hassan Kifumbe</v>
      </c>
      <c r="C302">
        <v>127201</v>
      </c>
      <c r="D302" t="str">
        <f t="shared" si="32"/>
        <v>Unique</v>
      </c>
      <c r="E302" t="s">
        <v>884</v>
      </c>
      <c r="F302" s="3">
        <f t="shared" si="34"/>
        <v>70</v>
      </c>
      <c r="G302" t="s">
        <v>19</v>
      </c>
      <c r="H302" t="str">
        <f t="shared" si="35"/>
        <v>Valid</v>
      </c>
      <c r="I302" t="s">
        <v>62</v>
      </c>
      <c r="J302" t="str">
        <f t="shared" si="36"/>
        <v>Kigoma Vijijini</v>
      </c>
      <c r="K302" t="s">
        <v>763</v>
      </c>
      <c r="L302" t="str" cm="1">
        <f t="array" ref="L302">_xlfn.IFS(
ISNUMBER(SEARCH("ICU",K302)), "ICU",
ISNUMBER(SEARCH("NEONATAL",K302)), PROPER("NEONATAL"),
ISNUMBER(SEARCH("LABOUR",K302)), PROPER("LABOUR"),
ISNUMBER(SEARCH("PAEDIATRIC",K302)), PROPER("PAEDIATRIC"),
ISNUMBER(SEARCH("FEMALE SURGICAL",K302)), PROPER("FEMALE SURG, ORTHO &amp; GYN"),
ISNUMBER(SEARCH("PSYCHIATRIST",K302)), PROPER("PSYCHIATRIST"),
ISNUMBER(SEARCH("GRADE 1",K302)), PROPER("GRADE 1"),
ISNUMBER(SEARCH("MALE SURGICAL",K302)), PROPER("MALE SURG &amp; ORTHOPEDIC"),
ISNUMBER(SEARCH("MALE MEDICAL",K302)), PROPER("MALE MEDICAL"),
ISNUMBER(SEARCH("GRADE 2",K302)), PROPER("GRADE 2"),
ISNUMBER(SEARCH("FEMALE WARD",K302)), PROPER("FEMALE MEDICAL"),
TRUE, "Unmapped: " &amp; K302)</f>
        <v>ICU</v>
      </c>
      <c r="M302" t="s">
        <v>22</v>
      </c>
      <c r="O302" t="s">
        <v>1207</v>
      </c>
      <c r="P302" t="str">
        <f t="shared" si="37"/>
        <v>Text Error</v>
      </c>
      <c r="Q302" s="5">
        <v>46026.134988425925</v>
      </c>
      <c r="R302" t="str">
        <f t="shared" si="38"/>
        <v>Valid Date</v>
      </c>
      <c r="S302" t="s">
        <v>1208</v>
      </c>
      <c r="T302" s="5">
        <v>46031.664618055554</v>
      </c>
      <c r="U302">
        <v>5</v>
      </c>
      <c r="V302" t="str">
        <f t="shared" si="39"/>
        <v>OK</v>
      </c>
      <c r="W302" t="s">
        <v>211</v>
      </c>
      <c r="Y302" t="s">
        <v>30</v>
      </c>
    </row>
    <row r="303" spans="1:25" x14ac:dyDescent="0.25">
      <c r="A303" t="s">
        <v>1209</v>
      </c>
      <c r="B303" t="str">
        <f t="shared" si="33"/>
        <v>Mathayo Josephath Tubailo</v>
      </c>
      <c r="C303">
        <v>127248</v>
      </c>
      <c r="D303" t="str">
        <f t="shared" si="32"/>
        <v>Unique</v>
      </c>
      <c r="E303" t="s">
        <v>296</v>
      </c>
      <c r="F303" s="3">
        <f t="shared" si="34"/>
        <v>26</v>
      </c>
      <c r="G303" t="s">
        <v>19</v>
      </c>
      <c r="H303" t="str">
        <f t="shared" si="35"/>
        <v>Valid</v>
      </c>
      <c r="I303" t="s">
        <v>62</v>
      </c>
      <c r="J303" t="str">
        <f t="shared" si="36"/>
        <v>Kigoma Vijijini</v>
      </c>
      <c r="K303" t="s">
        <v>428</v>
      </c>
      <c r="L303" t="str" cm="1">
        <f t="array" ref="L303">_xlfn.IFS(
ISNUMBER(SEARCH("ICU",K303)), "ICU",
ISNUMBER(SEARCH("NEONATAL",K303)), PROPER("NEONATAL"),
ISNUMBER(SEARCH("LABOUR",K303)), PROPER("LABOUR"),
ISNUMBER(SEARCH("PAEDIATRIC",K303)), PROPER("PAEDIATRIC"),
ISNUMBER(SEARCH("FEMALE SURGICAL",K303)), PROPER("FEMALE SURG, ORTHO &amp; GYN"),
ISNUMBER(SEARCH("PSYCHIATRIST",K303)), PROPER("PSYCHIATRIST"),
ISNUMBER(SEARCH("GRADE 1",K303)), PROPER("GRADE 1"),
ISNUMBER(SEARCH("MALE SURGICAL",K303)), PROPER("MALE SURG &amp; ORTHOPEDIC"),
ISNUMBER(SEARCH("MALE MEDICAL",K303)), PROPER("MALE MEDICAL"),
ISNUMBER(SEARCH("GRADE 2",K303)), PROPER("GRADE 2"),
ISNUMBER(SEARCH("FEMALE WARD",K303)), PROPER("FEMALE MEDICAL"),
TRUE, "Unmapped: " &amp; K303)</f>
        <v>Male Surg &amp; Orthopedic</v>
      </c>
      <c r="M303" t="s">
        <v>22</v>
      </c>
      <c r="O303" t="s">
        <v>1210</v>
      </c>
      <c r="P303" t="str">
        <f t="shared" si="37"/>
        <v>Text Error</v>
      </c>
      <c r="Q303" s="5">
        <v>46026.990763888891</v>
      </c>
      <c r="R303" t="str">
        <f t="shared" si="38"/>
        <v>Valid Date</v>
      </c>
      <c r="S303" t="s">
        <v>1211</v>
      </c>
      <c r="T303" s="5">
        <v>46032.574641203704</v>
      </c>
      <c r="U303">
        <v>5</v>
      </c>
      <c r="V303" t="str">
        <f t="shared" si="39"/>
        <v>OK</v>
      </c>
      <c r="W303" t="s">
        <v>25</v>
      </c>
      <c r="Y303" t="s">
        <v>30</v>
      </c>
    </row>
    <row r="304" spans="1:25" x14ac:dyDescent="0.25">
      <c r="A304" t="s">
        <v>1212</v>
      </c>
      <c r="B304" t="str">
        <f t="shared" si="33"/>
        <v>Zacharia C Kimizye</v>
      </c>
      <c r="C304">
        <v>127532</v>
      </c>
      <c r="D304" t="str">
        <f t="shared" si="32"/>
        <v>Unique</v>
      </c>
      <c r="E304" t="s">
        <v>788</v>
      </c>
      <c r="F304" s="3">
        <f t="shared" si="34"/>
        <v>72</v>
      </c>
      <c r="G304" t="s">
        <v>19</v>
      </c>
      <c r="H304" t="str">
        <f t="shared" si="35"/>
        <v>Valid</v>
      </c>
      <c r="I304" t="s">
        <v>260</v>
      </c>
      <c r="J304" t="str">
        <f t="shared" si="36"/>
        <v>Kasulu</v>
      </c>
      <c r="K304" t="s">
        <v>685</v>
      </c>
      <c r="L304" t="str" cm="1">
        <f t="array" ref="L304">_xlfn.IFS(
ISNUMBER(SEARCH("ICU",K304)), "ICU",
ISNUMBER(SEARCH("NEONATAL",K304)), PROPER("NEONATAL"),
ISNUMBER(SEARCH("LABOUR",K304)), PROPER("LABOUR"),
ISNUMBER(SEARCH("PAEDIATRIC",K304)), PROPER("PAEDIATRIC"),
ISNUMBER(SEARCH("FEMALE SURGICAL",K304)), PROPER("FEMALE SURG, ORTHO &amp; GYN"),
ISNUMBER(SEARCH("PSYCHIATRIST",K304)), PROPER("PSYCHIATRIST"),
ISNUMBER(SEARCH("GRADE 1",K304)), PROPER("GRADE 1"),
ISNUMBER(SEARCH("MALE SURGICAL",K304)), PROPER("MALE SURG &amp; ORTHOPEDIC"),
ISNUMBER(SEARCH("MALE MEDICAL",K304)), PROPER("MALE MEDICAL"),
ISNUMBER(SEARCH("GRADE 2",K304)), PROPER("GRADE 2"),
ISNUMBER(SEARCH("FEMALE WARD",K304)), PROPER("FEMALE MEDICAL"),
TRUE, "Unmapped: " &amp; K304)</f>
        <v>Grade 2</v>
      </c>
      <c r="M304" t="s">
        <v>394</v>
      </c>
      <c r="O304" t="s">
        <v>1213</v>
      </c>
      <c r="P304" t="str">
        <f t="shared" si="37"/>
        <v>Text Error</v>
      </c>
      <c r="Q304" s="5">
        <v>46028.67869212963</v>
      </c>
      <c r="R304" t="str">
        <f t="shared" si="38"/>
        <v>Valid Date</v>
      </c>
      <c r="S304" t="s">
        <v>1214</v>
      </c>
      <c r="T304" s="5">
        <v>46034.601412037038</v>
      </c>
      <c r="U304">
        <v>5</v>
      </c>
      <c r="V304" t="str">
        <f t="shared" si="39"/>
        <v>OK</v>
      </c>
      <c r="W304" t="s">
        <v>25</v>
      </c>
      <c r="Y304" t="s">
        <v>30</v>
      </c>
    </row>
    <row r="305" spans="1:25" x14ac:dyDescent="0.25">
      <c r="A305" t="s">
        <v>1216</v>
      </c>
      <c r="B305" t="str">
        <f t="shared" si="33"/>
        <v>Dickison Robert Kayanda</v>
      </c>
      <c r="C305">
        <v>127503</v>
      </c>
      <c r="D305" t="str">
        <f t="shared" si="32"/>
        <v>Unique</v>
      </c>
      <c r="E305" t="s">
        <v>1217</v>
      </c>
      <c r="F305" s="3">
        <f t="shared" si="34"/>
        <v>9</v>
      </c>
      <c r="G305" t="s">
        <v>19</v>
      </c>
      <c r="H305" t="str">
        <f t="shared" si="35"/>
        <v>Valid</v>
      </c>
      <c r="I305" t="s">
        <v>260</v>
      </c>
      <c r="J305" t="str">
        <f t="shared" si="36"/>
        <v>Kasulu</v>
      </c>
      <c r="K305" t="s">
        <v>109</v>
      </c>
      <c r="L305" t="str" cm="1">
        <f t="array" ref="L305">_xlfn.IFS(
ISNUMBER(SEARCH("ICU",K305)), "ICU",
ISNUMBER(SEARCH("NEONATAL",K305)), PROPER("NEONATAL"),
ISNUMBER(SEARCH("LABOUR",K305)), PROPER("LABOUR"),
ISNUMBER(SEARCH("PAEDIATRIC",K305)), PROPER("PAEDIATRIC"),
ISNUMBER(SEARCH("FEMALE SURGICAL",K305)), PROPER("FEMALE SURG, ORTHO &amp; GYN"),
ISNUMBER(SEARCH("PSYCHIATRIST",K305)), PROPER("PSYCHIATRIST"),
ISNUMBER(SEARCH("GRADE 1",K305)), PROPER("GRADE 1"),
ISNUMBER(SEARCH("MALE SURGICAL",K305)), PROPER("MALE SURG &amp; ORTHOPEDIC"),
ISNUMBER(SEARCH("MALE MEDICAL",K305)), PROPER("MALE MEDICAL"),
ISNUMBER(SEARCH("GRADE 2",K305)), PROPER("GRADE 2"),
ISNUMBER(SEARCH("FEMALE WARD",K305)), PROPER("FEMALE MEDICAL"),
TRUE, "Unmapped: " &amp; K305)</f>
        <v>Paediatric</v>
      </c>
      <c r="M305" t="s">
        <v>22</v>
      </c>
      <c r="O305" t="s">
        <v>1218</v>
      </c>
      <c r="P305" t="str">
        <f t="shared" si="37"/>
        <v>Text Error</v>
      </c>
      <c r="Q305" s="5">
        <v>46028.77275462963</v>
      </c>
      <c r="R305" t="str">
        <f t="shared" si="38"/>
        <v>Valid Date</v>
      </c>
      <c r="S305" t="s">
        <v>1219</v>
      </c>
      <c r="T305" s="5">
        <v>46034.697650462964</v>
      </c>
      <c r="U305">
        <v>5</v>
      </c>
      <c r="V305" t="str">
        <f t="shared" si="39"/>
        <v>OK</v>
      </c>
      <c r="W305" t="s">
        <v>25</v>
      </c>
      <c r="Y305" t="s">
        <v>30</v>
      </c>
    </row>
    <row r="306" spans="1:25" x14ac:dyDescent="0.25">
      <c r="A306" t="s">
        <v>1220</v>
      </c>
      <c r="B306" t="str">
        <f t="shared" si="33"/>
        <v>Baby Ofpaskazia Basila Basila</v>
      </c>
      <c r="C306">
        <v>127553</v>
      </c>
      <c r="D306" t="str">
        <f t="shared" si="32"/>
        <v>Unique</v>
      </c>
      <c r="E306" t="s">
        <v>622</v>
      </c>
      <c r="F306" s="3" t="str">
        <f t="shared" si="34"/>
        <v>2/12</v>
      </c>
      <c r="G306" t="s">
        <v>19</v>
      </c>
      <c r="H306" t="str">
        <f t="shared" si="35"/>
        <v>Valid</v>
      </c>
      <c r="I306" t="s">
        <v>20</v>
      </c>
      <c r="J306" t="str">
        <f t="shared" si="36"/>
        <v>Uvinza</v>
      </c>
      <c r="K306" t="s">
        <v>21</v>
      </c>
      <c r="L306" t="str" cm="1">
        <f t="array" ref="L306">_xlfn.IFS(
ISNUMBER(SEARCH("ICU",K306)), "ICU",
ISNUMBER(SEARCH("NEONATAL",K306)), PROPER("NEONATAL"),
ISNUMBER(SEARCH("LABOUR",K306)), PROPER("LABOUR"),
ISNUMBER(SEARCH("PAEDIATRIC",K306)), PROPER("PAEDIATRIC"),
ISNUMBER(SEARCH("FEMALE SURGICAL",K306)), PROPER("FEMALE SURG, ORTHO &amp; GYN"),
ISNUMBER(SEARCH("PSYCHIATRIST",K306)), PROPER("PSYCHIATRIST"),
ISNUMBER(SEARCH("GRADE 1",K306)), PROPER("GRADE 1"),
ISNUMBER(SEARCH("MALE SURGICAL",K306)), PROPER("MALE SURG &amp; ORTHOPEDIC"),
ISNUMBER(SEARCH("MALE MEDICAL",K306)), PROPER("MALE MEDICAL"),
ISNUMBER(SEARCH("GRADE 2",K306)), PROPER("GRADE 2"),
ISNUMBER(SEARCH("FEMALE WARD",K306)), PROPER("FEMALE MEDICAL"),
TRUE, "Unmapped: " &amp; K306)</f>
        <v>Neonatal</v>
      </c>
      <c r="M306" t="s">
        <v>22</v>
      </c>
      <c r="O306" t="s">
        <v>1221</v>
      </c>
      <c r="P306" t="str">
        <f t="shared" si="37"/>
        <v>Text Error</v>
      </c>
      <c r="Q306" s="5">
        <v>46028.796076388891</v>
      </c>
      <c r="R306" t="str">
        <f t="shared" si="38"/>
        <v>Valid Date</v>
      </c>
      <c r="S306" t="s">
        <v>1222</v>
      </c>
      <c r="T306" s="5">
        <v>46034.495405092595</v>
      </c>
      <c r="U306">
        <v>5</v>
      </c>
      <c r="V306" t="str">
        <f t="shared" si="39"/>
        <v>OK</v>
      </c>
      <c r="W306" t="s">
        <v>211</v>
      </c>
      <c r="Y306" t="s">
        <v>30</v>
      </c>
    </row>
    <row r="307" spans="1:25" x14ac:dyDescent="0.25">
      <c r="A307" t="s">
        <v>1223</v>
      </c>
      <c r="B307" t="str">
        <f t="shared" si="33"/>
        <v>Tolia Y Mbuba</v>
      </c>
      <c r="C307">
        <v>127558</v>
      </c>
      <c r="D307" t="str">
        <f t="shared" si="32"/>
        <v>Unique</v>
      </c>
      <c r="E307" t="s">
        <v>281</v>
      </c>
      <c r="F307" s="3">
        <f t="shared" si="34"/>
        <v>36</v>
      </c>
      <c r="G307" t="s">
        <v>32</v>
      </c>
      <c r="H307" t="str">
        <f t="shared" si="35"/>
        <v>Valid</v>
      </c>
      <c r="I307" t="s">
        <v>62</v>
      </c>
      <c r="J307" t="str">
        <f t="shared" si="36"/>
        <v>Kigoma Vijijini</v>
      </c>
      <c r="K307" t="s">
        <v>700</v>
      </c>
      <c r="L307" t="str" cm="1">
        <f t="array" ref="L307">_xlfn.IFS(
ISNUMBER(SEARCH("ICU",K307)), "ICU",
ISNUMBER(SEARCH("NEONATAL",K307)), PROPER("NEONATAL"),
ISNUMBER(SEARCH("LABOUR",K307)), PROPER("LABOUR"),
ISNUMBER(SEARCH("PAEDIATRIC",K307)), PROPER("PAEDIATRIC"),
ISNUMBER(SEARCH("FEMALE SURGICAL",K307)), PROPER("FEMALE SURG, ORTHO &amp; GYN"),
ISNUMBER(SEARCH("PSYCHIATRIST",K307)), PROPER("PSYCHIATRIST"),
ISNUMBER(SEARCH("GRADE 1",K307)), PROPER("GRADE 1"),
ISNUMBER(SEARCH("MALE SURGICAL",K307)), PROPER("MALE SURG &amp; ORTHOPEDIC"),
ISNUMBER(SEARCH("MALE MEDICAL",K307)), PROPER("MALE MEDICAL"),
ISNUMBER(SEARCH("GRADE 2",K307)), PROPER("GRADE 2"),
ISNUMBER(SEARCH("FEMALE WARD",K307)), PROPER("FEMALE MEDICAL"),
TRUE, "Unmapped: " &amp; K307)</f>
        <v>Female Medical</v>
      </c>
      <c r="M307" t="s">
        <v>22</v>
      </c>
      <c r="O307" t="s">
        <v>1224</v>
      </c>
      <c r="P307" t="str">
        <f t="shared" si="37"/>
        <v>Text Error</v>
      </c>
      <c r="Q307" s="5">
        <v>46028.933171296296</v>
      </c>
      <c r="R307" t="str">
        <f t="shared" si="38"/>
        <v>Valid Date</v>
      </c>
      <c r="S307" t="s">
        <v>1225</v>
      </c>
      <c r="T307" s="5">
        <v>46034.511828703704</v>
      </c>
      <c r="U307">
        <v>5</v>
      </c>
      <c r="V307" t="str">
        <f t="shared" si="39"/>
        <v>OK</v>
      </c>
      <c r="W307" t="s">
        <v>25</v>
      </c>
      <c r="Y307" t="s">
        <v>30</v>
      </c>
    </row>
    <row r="308" spans="1:25" x14ac:dyDescent="0.25">
      <c r="A308" t="s">
        <v>1227</v>
      </c>
      <c r="B308" t="str">
        <f t="shared" si="33"/>
        <v>Carolina Marius Liuma</v>
      </c>
      <c r="C308">
        <v>127560</v>
      </c>
      <c r="D308" t="str">
        <f t="shared" si="32"/>
        <v>Unique</v>
      </c>
      <c r="E308" t="s">
        <v>622</v>
      </c>
      <c r="F308" s="3" t="str">
        <f t="shared" si="34"/>
        <v>2/12</v>
      </c>
      <c r="G308" t="s">
        <v>32</v>
      </c>
      <c r="H308" t="str">
        <f t="shared" si="35"/>
        <v>Valid</v>
      </c>
      <c r="I308" t="s">
        <v>33</v>
      </c>
      <c r="J308" t="str">
        <f t="shared" si="36"/>
        <v>Kigoma Ujiji Mc</v>
      </c>
      <c r="K308" t="s">
        <v>21</v>
      </c>
      <c r="L308" t="str" cm="1">
        <f t="array" ref="L308">_xlfn.IFS(
ISNUMBER(SEARCH("ICU",K308)), "ICU",
ISNUMBER(SEARCH("NEONATAL",K308)), PROPER("NEONATAL"),
ISNUMBER(SEARCH("LABOUR",K308)), PROPER("LABOUR"),
ISNUMBER(SEARCH("PAEDIATRIC",K308)), PROPER("PAEDIATRIC"),
ISNUMBER(SEARCH("FEMALE SURGICAL",K308)), PROPER("FEMALE SURG, ORTHO &amp; GYN"),
ISNUMBER(SEARCH("PSYCHIATRIST",K308)), PROPER("PSYCHIATRIST"),
ISNUMBER(SEARCH("GRADE 1",K308)), PROPER("GRADE 1"),
ISNUMBER(SEARCH("MALE SURGICAL",K308)), PROPER("MALE SURG &amp; ORTHOPEDIC"),
ISNUMBER(SEARCH("MALE MEDICAL",K308)), PROPER("MALE MEDICAL"),
ISNUMBER(SEARCH("GRADE 2",K308)), PROPER("GRADE 2"),
ISNUMBER(SEARCH("FEMALE WARD",K308)), PROPER("FEMALE MEDICAL"),
TRUE, "Unmapped: " &amp; K308)</f>
        <v>Neonatal</v>
      </c>
      <c r="M308" t="s">
        <v>22</v>
      </c>
      <c r="O308" t="s">
        <v>1228</v>
      </c>
      <c r="P308" t="str">
        <f t="shared" si="37"/>
        <v>Text Error</v>
      </c>
      <c r="Q308" s="5">
        <v>46028.948310185187</v>
      </c>
      <c r="R308" t="str">
        <f t="shared" si="38"/>
        <v>Valid Date</v>
      </c>
      <c r="S308" t="s">
        <v>1229</v>
      </c>
      <c r="T308" s="5">
        <v>46034.510231481479</v>
      </c>
      <c r="U308">
        <v>5</v>
      </c>
      <c r="V308" t="str">
        <f t="shared" si="39"/>
        <v>OK</v>
      </c>
      <c r="W308" t="s">
        <v>25</v>
      </c>
      <c r="Y308" t="s">
        <v>30</v>
      </c>
    </row>
    <row r="309" spans="1:25" x14ac:dyDescent="0.25">
      <c r="A309" t="s">
        <v>1230</v>
      </c>
      <c r="B309" t="str">
        <f t="shared" si="33"/>
        <v>Mnana Amani Mahamdu</v>
      </c>
      <c r="C309">
        <v>127561</v>
      </c>
      <c r="D309" t="str">
        <f t="shared" si="32"/>
        <v>Unique</v>
      </c>
      <c r="E309" t="s">
        <v>758</v>
      </c>
      <c r="F309" s="3">
        <f t="shared" si="34"/>
        <v>19</v>
      </c>
      <c r="G309" t="s">
        <v>19</v>
      </c>
      <c r="H309" t="str">
        <f t="shared" si="35"/>
        <v>Valid</v>
      </c>
      <c r="I309" t="s">
        <v>62</v>
      </c>
      <c r="J309" t="str">
        <f t="shared" si="36"/>
        <v>Kigoma Vijijini</v>
      </c>
      <c r="K309" t="s">
        <v>428</v>
      </c>
      <c r="L309" t="str" cm="1">
        <f t="array" ref="L309">_xlfn.IFS(
ISNUMBER(SEARCH("ICU",K309)), "ICU",
ISNUMBER(SEARCH("NEONATAL",K309)), PROPER("NEONATAL"),
ISNUMBER(SEARCH("LABOUR",K309)), PROPER("LABOUR"),
ISNUMBER(SEARCH("PAEDIATRIC",K309)), PROPER("PAEDIATRIC"),
ISNUMBER(SEARCH("FEMALE SURGICAL",K309)), PROPER("FEMALE SURG, ORTHO &amp; GYN"),
ISNUMBER(SEARCH("PSYCHIATRIST",K309)), PROPER("PSYCHIATRIST"),
ISNUMBER(SEARCH("GRADE 1",K309)), PROPER("GRADE 1"),
ISNUMBER(SEARCH("MALE SURGICAL",K309)), PROPER("MALE SURG &amp; ORTHOPEDIC"),
ISNUMBER(SEARCH("MALE MEDICAL",K309)), PROPER("MALE MEDICAL"),
ISNUMBER(SEARCH("GRADE 2",K309)), PROPER("GRADE 2"),
ISNUMBER(SEARCH("FEMALE WARD",K309)), PROPER("FEMALE MEDICAL"),
TRUE, "Unmapped: " &amp; K309)</f>
        <v>Male Surg &amp; Orthopedic</v>
      </c>
      <c r="M309" t="s">
        <v>22</v>
      </c>
      <c r="O309" t="s">
        <v>1231</v>
      </c>
      <c r="P309" t="str">
        <f t="shared" si="37"/>
        <v>Text Error</v>
      </c>
      <c r="Q309" s="5">
        <v>46029.019097222219</v>
      </c>
      <c r="R309" t="str">
        <f t="shared" si="38"/>
        <v>Valid Date</v>
      </c>
      <c r="S309" t="s">
        <v>1232</v>
      </c>
      <c r="T309" s="5">
        <v>46034.744375000002</v>
      </c>
      <c r="U309">
        <v>5</v>
      </c>
      <c r="V309" t="str">
        <f t="shared" si="39"/>
        <v>OK</v>
      </c>
      <c r="W309" t="s">
        <v>25</v>
      </c>
      <c r="Y309" t="s">
        <v>30</v>
      </c>
    </row>
    <row r="310" spans="1:25" x14ac:dyDescent="0.25">
      <c r="A310" t="s">
        <v>1233</v>
      </c>
      <c r="B310" t="str">
        <f t="shared" si="33"/>
        <v>Hamisi Moshi Sokelo</v>
      </c>
      <c r="C310">
        <v>127433</v>
      </c>
      <c r="D310" t="str">
        <f t="shared" si="32"/>
        <v>Unique</v>
      </c>
      <c r="E310" t="s">
        <v>646</v>
      </c>
      <c r="F310" s="3">
        <f t="shared" si="34"/>
        <v>6</v>
      </c>
      <c r="G310" t="s">
        <v>19</v>
      </c>
      <c r="H310" t="str">
        <f t="shared" si="35"/>
        <v>Valid</v>
      </c>
      <c r="I310" t="s">
        <v>33</v>
      </c>
      <c r="J310" t="str">
        <f t="shared" si="36"/>
        <v>Kigoma Ujiji Mc</v>
      </c>
      <c r="K310" t="s">
        <v>109</v>
      </c>
      <c r="L310" t="str" cm="1">
        <f t="array" ref="L310">_xlfn.IFS(
ISNUMBER(SEARCH("ICU",K310)), "ICU",
ISNUMBER(SEARCH("NEONATAL",K310)), PROPER("NEONATAL"),
ISNUMBER(SEARCH("LABOUR",K310)), PROPER("LABOUR"),
ISNUMBER(SEARCH("PAEDIATRIC",K310)), PROPER("PAEDIATRIC"),
ISNUMBER(SEARCH("FEMALE SURGICAL",K310)), PROPER("FEMALE SURG, ORTHO &amp; GYN"),
ISNUMBER(SEARCH("PSYCHIATRIST",K310)), PROPER("PSYCHIATRIST"),
ISNUMBER(SEARCH("GRADE 1",K310)), PROPER("GRADE 1"),
ISNUMBER(SEARCH("MALE SURGICAL",K310)), PROPER("MALE SURG &amp; ORTHOPEDIC"),
ISNUMBER(SEARCH("MALE MEDICAL",K310)), PROPER("MALE MEDICAL"),
ISNUMBER(SEARCH("GRADE 2",K310)), PROPER("GRADE 2"),
ISNUMBER(SEARCH("FEMALE WARD",K310)), PROPER("FEMALE MEDICAL"),
TRUE, "Unmapped: " &amp; K310)</f>
        <v>Paediatric</v>
      </c>
      <c r="M310" t="s">
        <v>22</v>
      </c>
      <c r="O310" t="s">
        <v>1234</v>
      </c>
      <c r="P310" t="str">
        <f t="shared" si="37"/>
        <v>Text Error</v>
      </c>
      <c r="Q310" s="5">
        <v>46029.040486111109</v>
      </c>
      <c r="R310" t="str">
        <f t="shared" si="38"/>
        <v>Valid Date</v>
      </c>
      <c r="S310" t="s">
        <v>1235</v>
      </c>
      <c r="T310" s="5">
        <v>46034.579872685186</v>
      </c>
      <c r="U310">
        <v>5</v>
      </c>
      <c r="V310" t="str">
        <f t="shared" si="39"/>
        <v>OK</v>
      </c>
      <c r="W310" t="s">
        <v>25</v>
      </c>
      <c r="Y310" t="s">
        <v>30</v>
      </c>
    </row>
    <row r="311" spans="1:25" x14ac:dyDescent="0.25">
      <c r="A311" t="s">
        <v>1236</v>
      </c>
      <c r="B311" t="str">
        <f t="shared" si="33"/>
        <v>Bikolimana Daniford Michael</v>
      </c>
      <c r="C311">
        <v>127803</v>
      </c>
      <c r="D311" t="str">
        <f t="shared" si="32"/>
        <v>Unique</v>
      </c>
      <c r="E311" t="s">
        <v>54</v>
      </c>
      <c r="F311" s="3">
        <f t="shared" si="34"/>
        <v>21</v>
      </c>
      <c r="G311" t="s">
        <v>19</v>
      </c>
      <c r="H311" t="str">
        <f t="shared" si="35"/>
        <v>Valid</v>
      </c>
      <c r="I311" t="s">
        <v>130</v>
      </c>
      <c r="J311" t="str">
        <f t="shared" si="36"/>
        <v>Buhigwe</v>
      </c>
      <c r="K311" t="s">
        <v>484</v>
      </c>
      <c r="L311" t="str" cm="1">
        <f t="array" ref="L311">_xlfn.IFS(
ISNUMBER(SEARCH("ICU",K311)), "ICU",
ISNUMBER(SEARCH("NEONATAL",K311)), PROPER("NEONATAL"),
ISNUMBER(SEARCH("LABOUR",K311)), PROPER("LABOUR"),
ISNUMBER(SEARCH("PAEDIATRIC",K311)), PROPER("PAEDIATRIC"),
ISNUMBER(SEARCH("FEMALE SURGICAL",K311)), PROPER("FEMALE SURG, ORTHO &amp; GYN"),
ISNUMBER(SEARCH("PSYCHIATRIST",K311)), PROPER("PSYCHIATRIST"),
ISNUMBER(SEARCH("GRADE 1",K311)), PROPER("GRADE 1"),
ISNUMBER(SEARCH("MALE SURGICAL",K311)), PROPER("MALE SURG &amp; ORTHOPEDIC"),
ISNUMBER(SEARCH("MALE MEDICAL",K311)), PROPER("MALE MEDICAL"),
ISNUMBER(SEARCH("GRADE 2",K311)), PROPER("GRADE 2"),
ISNUMBER(SEARCH("FEMALE WARD",K311)), PROPER("FEMALE MEDICAL"),
TRUE, "Unmapped: " &amp; K311)</f>
        <v>Male Medical</v>
      </c>
      <c r="M311" t="s">
        <v>22</v>
      </c>
      <c r="O311" t="s">
        <v>1237</v>
      </c>
      <c r="P311" t="str">
        <f t="shared" si="37"/>
        <v>Text Error</v>
      </c>
      <c r="Q311" s="5">
        <v>46030.936018518521</v>
      </c>
      <c r="R311" t="str">
        <f t="shared" si="38"/>
        <v>Valid Date</v>
      </c>
      <c r="S311" t="s">
        <v>1238</v>
      </c>
      <c r="T311" s="5">
        <v>46036.354560185187</v>
      </c>
      <c r="U311">
        <v>5</v>
      </c>
      <c r="V311" t="str">
        <f t="shared" si="39"/>
        <v>OK</v>
      </c>
      <c r="W311" t="s">
        <v>211</v>
      </c>
      <c r="Y311" t="s">
        <v>30</v>
      </c>
    </row>
    <row r="312" spans="1:25" x14ac:dyDescent="0.25">
      <c r="A312" t="s">
        <v>1239</v>
      </c>
      <c r="B312" t="str">
        <f t="shared" si="33"/>
        <v>Regina Francinsico Ntundalaye</v>
      </c>
      <c r="C312">
        <v>12418</v>
      </c>
      <c r="D312" t="str">
        <f t="shared" si="32"/>
        <v>Unique</v>
      </c>
      <c r="E312" t="s">
        <v>1240</v>
      </c>
      <c r="F312" s="3">
        <f t="shared" si="34"/>
        <v>76</v>
      </c>
      <c r="G312" t="s">
        <v>32</v>
      </c>
      <c r="H312" t="str">
        <f t="shared" si="35"/>
        <v>Valid</v>
      </c>
      <c r="I312" t="s">
        <v>260</v>
      </c>
      <c r="J312" t="str">
        <f t="shared" si="36"/>
        <v>Kasulu</v>
      </c>
      <c r="K312" t="s">
        <v>685</v>
      </c>
      <c r="L312" t="str" cm="1">
        <f t="array" ref="L312">_xlfn.IFS(
ISNUMBER(SEARCH("ICU",K312)), "ICU",
ISNUMBER(SEARCH("NEONATAL",K312)), PROPER("NEONATAL"),
ISNUMBER(SEARCH("LABOUR",K312)), PROPER("LABOUR"),
ISNUMBER(SEARCH("PAEDIATRIC",K312)), PROPER("PAEDIATRIC"),
ISNUMBER(SEARCH("FEMALE SURGICAL",K312)), PROPER("FEMALE SURG, ORTHO &amp; GYN"),
ISNUMBER(SEARCH("PSYCHIATRIST",K312)), PROPER("PSYCHIATRIST"),
ISNUMBER(SEARCH("GRADE 1",K312)), PROPER("GRADE 1"),
ISNUMBER(SEARCH("MALE SURGICAL",K312)), PROPER("MALE SURG &amp; ORTHOPEDIC"),
ISNUMBER(SEARCH("MALE MEDICAL",K312)), PROPER("MALE MEDICAL"),
ISNUMBER(SEARCH("GRADE 2",K312)), PROPER("GRADE 2"),
ISNUMBER(SEARCH("FEMALE WARD",K312)), PROPER("FEMALE MEDICAL"),
TRUE, "Unmapped: " &amp; K312)</f>
        <v>Grade 2</v>
      </c>
      <c r="M312" t="s">
        <v>394</v>
      </c>
      <c r="O312" t="s">
        <v>1241</v>
      </c>
      <c r="P312" t="str">
        <f t="shared" si="37"/>
        <v>Text Error</v>
      </c>
      <c r="Q312" s="5">
        <v>46031.807928240742</v>
      </c>
      <c r="R312" t="str">
        <f t="shared" si="38"/>
        <v>Valid Date</v>
      </c>
      <c r="S312" t="s">
        <v>1242</v>
      </c>
      <c r="T312" s="5">
        <v>46037.653611111113</v>
      </c>
      <c r="U312">
        <v>5</v>
      </c>
      <c r="V312" t="str">
        <f t="shared" si="39"/>
        <v>OK</v>
      </c>
      <c r="W312" t="s">
        <v>25</v>
      </c>
      <c r="Y312" t="s">
        <v>30</v>
      </c>
    </row>
    <row r="313" spans="1:25" x14ac:dyDescent="0.25">
      <c r="A313" t="s">
        <v>1243</v>
      </c>
      <c r="B313" t="str">
        <f t="shared" si="33"/>
        <v>Hawa Kasim Moaoi</v>
      </c>
      <c r="C313">
        <v>127951</v>
      </c>
      <c r="D313" t="str">
        <f t="shared" si="32"/>
        <v>Unique</v>
      </c>
      <c r="E313" t="s">
        <v>122</v>
      </c>
      <c r="F313" s="3">
        <f t="shared" si="34"/>
        <v>40</v>
      </c>
      <c r="G313" t="s">
        <v>32</v>
      </c>
      <c r="H313" t="str">
        <f t="shared" si="35"/>
        <v>Valid</v>
      </c>
      <c r="I313" t="s">
        <v>33</v>
      </c>
      <c r="J313" t="str">
        <f t="shared" si="36"/>
        <v>Kigoma Ujiji Mc</v>
      </c>
      <c r="K313" t="s">
        <v>40</v>
      </c>
      <c r="L313" t="str" cm="1">
        <f t="array" ref="L313">_xlfn.IFS(
ISNUMBER(SEARCH("ICU",K313)), "ICU",
ISNUMBER(SEARCH("NEONATAL",K313)), PROPER("NEONATAL"),
ISNUMBER(SEARCH("LABOUR",K313)), PROPER("LABOUR"),
ISNUMBER(SEARCH("PAEDIATRIC",K313)), PROPER("PAEDIATRIC"),
ISNUMBER(SEARCH("FEMALE SURGICAL",K313)), PROPER("FEMALE SURG, ORTHO &amp; GYN"),
ISNUMBER(SEARCH("PSYCHIATRIST",K313)), PROPER("PSYCHIATRIST"),
ISNUMBER(SEARCH("GRADE 1",K313)), PROPER("GRADE 1"),
ISNUMBER(SEARCH("MALE SURGICAL",K313)), PROPER("MALE SURG &amp; ORTHOPEDIC"),
ISNUMBER(SEARCH("MALE MEDICAL",K313)), PROPER("MALE MEDICAL"),
ISNUMBER(SEARCH("GRADE 2",K313)), PROPER("GRADE 2"),
ISNUMBER(SEARCH("FEMALE WARD",K313)), PROPER("FEMALE MEDICAL"),
TRUE, "Unmapped: " &amp; K313)</f>
        <v>Labour</v>
      </c>
      <c r="M313" t="s">
        <v>22</v>
      </c>
      <c r="O313" t="s">
        <v>1244</v>
      </c>
      <c r="P313" t="str">
        <f t="shared" si="37"/>
        <v>Text Error</v>
      </c>
      <c r="Q313" s="5">
        <v>46031.895949074074</v>
      </c>
      <c r="R313" t="str">
        <f t="shared" si="38"/>
        <v>Valid Date</v>
      </c>
      <c r="S313" t="s">
        <v>1245</v>
      </c>
      <c r="T313" s="5">
        <v>46037.435937499999</v>
      </c>
      <c r="U313">
        <v>5</v>
      </c>
      <c r="V313" t="str">
        <f t="shared" si="39"/>
        <v>OK</v>
      </c>
      <c r="W313" t="s">
        <v>25</v>
      </c>
      <c r="Y313" t="s">
        <v>30</v>
      </c>
    </row>
    <row r="314" spans="1:25" x14ac:dyDescent="0.25">
      <c r="A314" t="s">
        <v>1246</v>
      </c>
      <c r="B314" t="str">
        <f t="shared" si="33"/>
        <v>Zainabu Khatibu Hemedi</v>
      </c>
      <c r="C314">
        <v>128024</v>
      </c>
      <c r="D314" t="str">
        <f t="shared" si="32"/>
        <v>Unique</v>
      </c>
      <c r="E314" t="s">
        <v>641</v>
      </c>
      <c r="F314" s="3">
        <f t="shared" si="34"/>
        <v>46</v>
      </c>
      <c r="G314" t="s">
        <v>32</v>
      </c>
      <c r="H314" t="str">
        <f t="shared" si="35"/>
        <v>Valid</v>
      </c>
      <c r="I314" t="s">
        <v>33</v>
      </c>
      <c r="J314" t="str">
        <f t="shared" si="36"/>
        <v>Kigoma Ujiji Mc</v>
      </c>
      <c r="K314" t="s">
        <v>700</v>
      </c>
      <c r="L314" t="str" cm="1">
        <f t="array" ref="L314">_xlfn.IFS(
ISNUMBER(SEARCH("ICU",K314)), "ICU",
ISNUMBER(SEARCH("NEONATAL",K314)), PROPER("NEONATAL"),
ISNUMBER(SEARCH("LABOUR",K314)), PROPER("LABOUR"),
ISNUMBER(SEARCH("PAEDIATRIC",K314)), PROPER("PAEDIATRIC"),
ISNUMBER(SEARCH("FEMALE SURGICAL",K314)), PROPER("FEMALE SURG, ORTHO &amp; GYN"),
ISNUMBER(SEARCH("PSYCHIATRIST",K314)), PROPER("PSYCHIATRIST"),
ISNUMBER(SEARCH("GRADE 1",K314)), PROPER("GRADE 1"),
ISNUMBER(SEARCH("MALE SURGICAL",K314)), PROPER("MALE SURG &amp; ORTHOPEDIC"),
ISNUMBER(SEARCH("MALE MEDICAL",K314)), PROPER("MALE MEDICAL"),
ISNUMBER(SEARCH("GRADE 2",K314)), PROPER("GRADE 2"),
ISNUMBER(SEARCH("FEMALE WARD",K314)), PROPER("FEMALE MEDICAL"),
TRUE, "Unmapped: " &amp; K314)</f>
        <v>Female Medical</v>
      </c>
      <c r="M314" t="s">
        <v>22</v>
      </c>
      <c r="O314" t="s">
        <v>1247</v>
      </c>
      <c r="P314" t="str">
        <f t="shared" si="37"/>
        <v>Text Error</v>
      </c>
      <c r="Q314" s="5">
        <v>46033.213946759257</v>
      </c>
      <c r="R314" t="str">
        <f t="shared" si="38"/>
        <v>Valid Date</v>
      </c>
      <c r="S314" t="s">
        <v>1248</v>
      </c>
      <c r="T314" s="5">
        <v>46038.695324074077</v>
      </c>
      <c r="U314">
        <v>5</v>
      </c>
      <c r="V314" t="str">
        <f t="shared" si="39"/>
        <v>OK</v>
      </c>
      <c r="W314" t="s">
        <v>25</v>
      </c>
      <c r="Y314" t="s">
        <v>30</v>
      </c>
    </row>
    <row r="315" spans="1:25" x14ac:dyDescent="0.25">
      <c r="A315" t="s">
        <v>1249</v>
      </c>
      <c r="B315" t="str">
        <f t="shared" si="33"/>
        <v>Rahma Juma Juma</v>
      </c>
      <c r="C315">
        <v>128068</v>
      </c>
      <c r="D315" t="str">
        <f t="shared" si="32"/>
        <v>Unique</v>
      </c>
      <c r="E315" t="s">
        <v>151</v>
      </c>
      <c r="F315" s="3">
        <f t="shared" si="34"/>
        <v>22</v>
      </c>
      <c r="G315" t="s">
        <v>32</v>
      </c>
      <c r="H315" t="str">
        <f t="shared" si="35"/>
        <v>Valid</v>
      </c>
      <c r="I315" t="s">
        <v>33</v>
      </c>
      <c r="J315" t="str">
        <f t="shared" si="36"/>
        <v>Kigoma Ujiji Mc</v>
      </c>
      <c r="K315" t="s">
        <v>40</v>
      </c>
      <c r="L315" t="str" cm="1">
        <f t="array" ref="L315">_xlfn.IFS(
ISNUMBER(SEARCH("ICU",K315)), "ICU",
ISNUMBER(SEARCH("NEONATAL",K315)), PROPER("NEONATAL"),
ISNUMBER(SEARCH("LABOUR",K315)), PROPER("LABOUR"),
ISNUMBER(SEARCH("PAEDIATRIC",K315)), PROPER("PAEDIATRIC"),
ISNUMBER(SEARCH("FEMALE SURGICAL",K315)), PROPER("FEMALE SURG, ORTHO &amp; GYN"),
ISNUMBER(SEARCH("PSYCHIATRIST",K315)), PROPER("PSYCHIATRIST"),
ISNUMBER(SEARCH("GRADE 1",K315)), PROPER("GRADE 1"),
ISNUMBER(SEARCH("MALE SURGICAL",K315)), PROPER("MALE SURG &amp; ORTHOPEDIC"),
ISNUMBER(SEARCH("MALE MEDICAL",K315)), PROPER("MALE MEDICAL"),
ISNUMBER(SEARCH("GRADE 2",K315)), PROPER("GRADE 2"),
ISNUMBER(SEARCH("FEMALE WARD",K315)), PROPER("FEMALE MEDICAL"),
TRUE, "Unmapped: " &amp; K315)</f>
        <v>Labour</v>
      </c>
      <c r="M315" t="s">
        <v>22</v>
      </c>
      <c r="O315" t="s">
        <v>1250</v>
      </c>
      <c r="P315" t="str">
        <f t="shared" si="37"/>
        <v>Text Error</v>
      </c>
      <c r="Q315" s="5">
        <v>46034.305405092593</v>
      </c>
      <c r="R315" t="str">
        <f t="shared" si="38"/>
        <v>Valid Date</v>
      </c>
      <c r="S315" t="s">
        <v>1251</v>
      </c>
      <c r="T315" s="5">
        <v>46039.612743055557</v>
      </c>
      <c r="U315">
        <v>5</v>
      </c>
      <c r="V315" t="str">
        <f t="shared" si="39"/>
        <v>OK</v>
      </c>
      <c r="W315" t="s">
        <v>25</v>
      </c>
      <c r="Y315" t="s">
        <v>30</v>
      </c>
    </row>
    <row r="316" spans="1:25" x14ac:dyDescent="0.25">
      <c r="A316" t="s">
        <v>1252</v>
      </c>
      <c r="B316" t="str">
        <f t="shared" si="33"/>
        <v>Sakina Mussa Idd</v>
      </c>
      <c r="C316">
        <v>128194</v>
      </c>
      <c r="D316" t="str">
        <f t="shared" si="32"/>
        <v>Unique</v>
      </c>
      <c r="E316" t="s">
        <v>151</v>
      </c>
      <c r="F316" s="3">
        <f t="shared" si="34"/>
        <v>22</v>
      </c>
      <c r="G316" t="s">
        <v>32</v>
      </c>
      <c r="H316" t="str">
        <f t="shared" si="35"/>
        <v>Valid</v>
      </c>
      <c r="I316" t="s">
        <v>33</v>
      </c>
      <c r="J316" t="str">
        <f t="shared" si="36"/>
        <v>Kigoma Ujiji Mc</v>
      </c>
      <c r="K316" t="s">
        <v>40</v>
      </c>
      <c r="L316" t="str" cm="1">
        <f t="array" ref="L316">_xlfn.IFS(
ISNUMBER(SEARCH("ICU",K316)), "ICU",
ISNUMBER(SEARCH("NEONATAL",K316)), PROPER("NEONATAL"),
ISNUMBER(SEARCH("LABOUR",K316)), PROPER("LABOUR"),
ISNUMBER(SEARCH("PAEDIATRIC",K316)), PROPER("PAEDIATRIC"),
ISNUMBER(SEARCH("FEMALE SURGICAL",K316)), PROPER("FEMALE SURG, ORTHO &amp; GYN"),
ISNUMBER(SEARCH("PSYCHIATRIST",K316)), PROPER("PSYCHIATRIST"),
ISNUMBER(SEARCH("GRADE 1",K316)), PROPER("GRADE 1"),
ISNUMBER(SEARCH("MALE SURGICAL",K316)), PROPER("MALE SURG &amp; ORTHOPEDIC"),
ISNUMBER(SEARCH("MALE MEDICAL",K316)), PROPER("MALE MEDICAL"),
ISNUMBER(SEARCH("GRADE 2",K316)), PROPER("GRADE 2"),
ISNUMBER(SEARCH("FEMALE WARD",K316)), PROPER("FEMALE MEDICAL"),
TRUE, "Unmapped: " &amp; K316)</f>
        <v>Labour</v>
      </c>
      <c r="M316" t="s">
        <v>22</v>
      </c>
      <c r="O316" t="s">
        <v>1253</v>
      </c>
      <c r="P316" t="str">
        <f t="shared" si="37"/>
        <v>Text Error</v>
      </c>
      <c r="Q316" s="5">
        <v>46035.439293981479</v>
      </c>
      <c r="R316" t="str">
        <f t="shared" si="38"/>
        <v>Valid Date</v>
      </c>
      <c r="S316" t="s">
        <v>1254</v>
      </c>
      <c r="T316" s="5">
        <v>46040.782500000001</v>
      </c>
      <c r="U316">
        <v>5</v>
      </c>
      <c r="V316" t="str">
        <f t="shared" si="39"/>
        <v>OK</v>
      </c>
      <c r="W316" t="s">
        <v>25</v>
      </c>
      <c r="Y316" t="s">
        <v>30</v>
      </c>
    </row>
    <row r="317" spans="1:25" x14ac:dyDescent="0.25">
      <c r="A317" t="s">
        <v>1255</v>
      </c>
      <c r="B317" t="str">
        <f t="shared" si="33"/>
        <v>Mejason Danford Maliatabu</v>
      </c>
      <c r="C317">
        <v>128305</v>
      </c>
      <c r="D317" t="str">
        <f t="shared" si="32"/>
        <v>Unique</v>
      </c>
      <c r="E317" t="s">
        <v>400</v>
      </c>
      <c r="F317" s="3">
        <f t="shared" si="34"/>
        <v>39</v>
      </c>
      <c r="G317" t="s">
        <v>19</v>
      </c>
      <c r="H317" t="str">
        <f t="shared" si="35"/>
        <v>Valid</v>
      </c>
      <c r="I317" t="s">
        <v>130</v>
      </c>
      <c r="J317" t="str">
        <f t="shared" si="36"/>
        <v>Buhigwe</v>
      </c>
      <c r="K317" t="s">
        <v>484</v>
      </c>
      <c r="L317" t="str" cm="1">
        <f t="array" ref="L317">_xlfn.IFS(
ISNUMBER(SEARCH("ICU",K317)), "ICU",
ISNUMBER(SEARCH("NEONATAL",K317)), PROPER("NEONATAL"),
ISNUMBER(SEARCH("LABOUR",K317)), PROPER("LABOUR"),
ISNUMBER(SEARCH("PAEDIATRIC",K317)), PROPER("PAEDIATRIC"),
ISNUMBER(SEARCH("FEMALE SURGICAL",K317)), PROPER("FEMALE SURG, ORTHO &amp; GYN"),
ISNUMBER(SEARCH("PSYCHIATRIST",K317)), PROPER("PSYCHIATRIST"),
ISNUMBER(SEARCH("GRADE 1",K317)), PROPER("GRADE 1"),
ISNUMBER(SEARCH("MALE SURGICAL",K317)), PROPER("MALE SURG &amp; ORTHOPEDIC"),
ISNUMBER(SEARCH("MALE MEDICAL",K317)), PROPER("MALE MEDICAL"),
ISNUMBER(SEARCH("GRADE 2",K317)), PROPER("GRADE 2"),
ISNUMBER(SEARCH("FEMALE WARD",K317)), PROPER("FEMALE MEDICAL"),
TRUE, "Unmapped: " &amp; K317)</f>
        <v>Male Medical</v>
      </c>
      <c r="M317" t="s">
        <v>22</v>
      </c>
      <c r="O317" t="s">
        <v>1256</v>
      </c>
      <c r="P317" t="str">
        <f t="shared" si="37"/>
        <v>Text Error</v>
      </c>
      <c r="Q317" s="5">
        <v>46035.875393518516</v>
      </c>
      <c r="R317" t="str">
        <f t="shared" si="38"/>
        <v>Valid Date</v>
      </c>
      <c r="S317" t="s">
        <v>1257</v>
      </c>
      <c r="T317" s="5">
        <v>46041.589421296296</v>
      </c>
      <c r="U317">
        <v>5</v>
      </c>
      <c r="V317" t="str">
        <f t="shared" si="39"/>
        <v>OK</v>
      </c>
      <c r="W317" t="s">
        <v>25</v>
      </c>
      <c r="Y317" t="s">
        <v>30</v>
      </c>
    </row>
    <row r="318" spans="1:25" x14ac:dyDescent="0.25">
      <c r="A318" t="s">
        <v>1258</v>
      </c>
      <c r="B318" t="str">
        <f t="shared" si="33"/>
        <v>Bertha James Kidaha</v>
      </c>
      <c r="C318">
        <v>17945</v>
      </c>
      <c r="D318" t="str">
        <f t="shared" si="32"/>
        <v>Unique</v>
      </c>
      <c r="E318" t="s">
        <v>86</v>
      </c>
      <c r="F318" s="3">
        <f t="shared" si="34"/>
        <v>23</v>
      </c>
      <c r="G318" t="s">
        <v>32</v>
      </c>
      <c r="H318" t="str">
        <f t="shared" si="35"/>
        <v>Valid</v>
      </c>
      <c r="I318" t="s">
        <v>33</v>
      </c>
      <c r="J318" t="str">
        <f t="shared" si="36"/>
        <v>Kigoma Ujiji Mc</v>
      </c>
      <c r="K318" t="s">
        <v>40</v>
      </c>
      <c r="L318" t="str" cm="1">
        <f t="array" ref="L318">_xlfn.IFS(
ISNUMBER(SEARCH("ICU",K318)), "ICU",
ISNUMBER(SEARCH("NEONATAL",K318)), PROPER("NEONATAL"),
ISNUMBER(SEARCH("LABOUR",K318)), PROPER("LABOUR"),
ISNUMBER(SEARCH("PAEDIATRIC",K318)), PROPER("PAEDIATRIC"),
ISNUMBER(SEARCH("FEMALE SURGICAL",K318)), PROPER("FEMALE SURG, ORTHO &amp; GYN"),
ISNUMBER(SEARCH("PSYCHIATRIST",K318)), PROPER("PSYCHIATRIST"),
ISNUMBER(SEARCH("GRADE 1",K318)), PROPER("GRADE 1"),
ISNUMBER(SEARCH("MALE SURGICAL",K318)), PROPER("MALE SURG &amp; ORTHOPEDIC"),
ISNUMBER(SEARCH("MALE MEDICAL",K318)), PROPER("MALE MEDICAL"),
ISNUMBER(SEARCH("GRADE 2",K318)), PROPER("GRADE 2"),
ISNUMBER(SEARCH("FEMALE WARD",K318)), PROPER("FEMALE MEDICAL"),
TRUE, "Unmapped: " &amp; K318)</f>
        <v>Labour</v>
      </c>
      <c r="M318" t="s">
        <v>664</v>
      </c>
      <c r="O318" t="s">
        <v>1259</v>
      </c>
      <c r="P318" t="str">
        <f t="shared" si="37"/>
        <v>Text Error</v>
      </c>
      <c r="Q318" s="5">
        <v>46036.287465277775</v>
      </c>
      <c r="R318" t="str">
        <f t="shared" si="38"/>
        <v>Valid Date</v>
      </c>
      <c r="S318" t="s">
        <v>1260</v>
      </c>
      <c r="T318" s="5">
        <v>46041.554942129631</v>
      </c>
      <c r="U318">
        <v>5</v>
      </c>
      <c r="V318" t="str">
        <f t="shared" si="39"/>
        <v>OK</v>
      </c>
      <c r="W318" t="s">
        <v>25</v>
      </c>
      <c r="Y318" t="s">
        <v>30</v>
      </c>
    </row>
    <row r="319" spans="1:25" x14ac:dyDescent="0.25">
      <c r="A319" t="s">
        <v>1261</v>
      </c>
      <c r="B319" t="str">
        <f t="shared" si="33"/>
        <v>John Zakaria Runugwe</v>
      </c>
      <c r="C319">
        <v>128370</v>
      </c>
      <c r="D319" t="str">
        <f t="shared" si="32"/>
        <v>Unique</v>
      </c>
      <c r="E319" t="s">
        <v>1262</v>
      </c>
      <c r="F319" s="3">
        <f t="shared" si="34"/>
        <v>71</v>
      </c>
      <c r="G319" t="s">
        <v>19</v>
      </c>
      <c r="H319" t="str">
        <f t="shared" si="35"/>
        <v>Valid</v>
      </c>
      <c r="I319" t="s">
        <v>33</v>
      </c>
      <c r="J319" t="str">
        <f t="shared" si="36"/>
        <v>Kigoma Ujiji Mc</v>
      </c>
      <c r="K319" t="s">
        <v>484</v>
      </c>
      <c r="L319" t="str" cm="1">
        <f t="array" ref="L319">_xlfn.IFS(
ISNUMBER(SEARCH("ICU",K319)), "ICU",
ISNUMBER(SEARCH("NEONATAL",K319)), PROPER("NEONATAL"),
ISNUMBER(SEARCH("LABOUR",K319)), PROPER("LABOUR"),
ISNUMBER(SEARCH("PAEDIATRIC",K319)), PROPER("PAEDIATRIC"),
ISNUMBER(SEARCH("FEMALE SURGICAL",K319)), PROPER("FEMALE SURG, ORTHO &amp; GYN"),
ISNUMBER(SEARCH("PSYCHIATRIST",K319)), PROPER("PSYCHIATRIST"),
ISNUMBER(SEARCH("GRADE 1",K319)), PROPER("GRADE 1"),
ISNUMBER(SEARCH("MALE SURGICAL",K319)), PROPER("MALE SURG &amp; ORTHOPEDIC"),
ISNUMBER(SEARCH("MALE MEDICAL",K319)), PROPER("MALE MEDICAL"),
ISNUMBER(SEARCH("GRADE 2",K319)), PROPER("GRADE 2"),
ISNUMBER(SEARCH("FEMALE WARD",K319)), PROPER("FEMALE MEDICAL"),
TRUE, "Unmapped: " &amp; K319)</f>
        <v>Male Medical</v>
      </c>
      <c r="M319" t="s">
        <v>22</v>
      </c>
      <c r="O319" t="s">
        <v>1263</v>
      </c>
      <c r="P319" t="str">
        <f t="shared" si="37"/>
        <v>Text Error</v>
      </c>
      <c r="Q319" s="5">
        <v>46036.764421296299</v>
      </c>
      <c r="R319" t="str">
        <f t="shared" si="38"/>
        <v>Valid Date</v>
      </c>
      <c r="S319" t="s">
        <v>1264</v>
      </c>
      <c r="T319" s="5">
        <v>46042.492083333331</v>
      </c>
      <c r="U319">
        <v>5</v>
      </c>
      <c r="V319" t="str">
        <f t="shared" si="39"/>
        <v>OK</v>
      </c>
      <c r="W319" t="s">
        <v>211</v>
      </c>
      <c r="Y319" t="s">
        <v>30</v>
      </c>
    </row>
    <row r="320" spans="1:25" x14ac:dyDescent="0.25">
      <c r="A320" t="s">
        <v>1266</v>
      </c>
      <c r="B320" t="str">
        <f t="shared" si="33"/>
        <v>Nurdin Erick Edward</v>
      </c>
      <c r="C320">
        <v>103757</v>
      </c>
      <c r="D320" t="str">
        <f t="shared" si="32"/>
        <v>Unique</v>
      </c>
      <c r="E320" t="s">
        <v>252</v>
      </c>
      <c r="F320" s="3" t="str">
        <f t="shared" si="34"/>
        <v>10/12</v>
      </c>
      <c r="G320" t="s">
        <v>19</v>
      </c>
      <c r="H320" t="str">
        <f t="shared" si="35"/>
        <v>Valid</v>
      </c>
      <c r="I320" t="s">
        <v>62</v>
      </c>
      <c r="J320" t="str">
        <f t="shared" si="36"/>
        <v>Kigoma Vijijini</v>
      </c>
      <c r="K320" t="s">
        <v>109</v>
      </c>
      <c r="L320" t="str" cm="1">
        <f t="array" ref="L320">_xlfn.IFS(
ISNUMBER(SEARCH("ICU",K320)), "ICU",
ISNUMBER(SEARCH("NEONATAL",K320)), PROPER("NEONATAL"),
ISNUMBER(SEARCH("LABOUR",K320)), PROPER("LABOUR"),
ISNUMBER(SEARCH("PAEDIATRIC",K320)), PROPER("PAEDIATRIC"),
ISNUMBER(SEARCH("FEMALE SURGICAL",K320)), PROPER("FEMALE SURG, ORTHO &amp; GYN"),
ISNUMBER(SEARCH("PSYCHIATRIST",K320)), PROPER("PSYCHIATRIST"),
ISNUMBER(SEARCH("GRADE 1",K320)), PROPER("GRADE 1"),
ISNUMBER(SEARCH("MALE SURGICAL",K320)), PROPER("MALE SURG &amp; ORTHOPEDIC"),
ISNUMBER(SEARCH("MALE MEDICAL",K320)), PROPER("MALE MEDICAL"),
ISNUMBER(SEARCH("GRADE 2",K320)), PROPER("GRADE 2"),
ISNUMBER(SEARCH("FEMALE WARD",K320)), PROPER("FEMALE MEDICAL"),
TRUE, "Unmapped: " &amp; K320)</f>
        <v>Paediatric</v>
      </c>
      <c r="M320" t="s">
        <v>22</v>
      </c>
      <c r="O320" t="s">
        <v>1267</v>
      </c>
      <c r="P320" t="str">
        <f t="shared" si="37"/>
        <v>Text Error</v>
      </c>
      <c r="Q320" s="5">
        <v>46037.637395833335</v>
      </c>
      <c r="R320" t="str">
        <f t="shared" si="38"/>
        <v>Valid Date</v>
      </c>
      <c r="S320" t="s">
        <v>1268</v>
      </c>
      <c r="T320" s="5">
        <v>46042.756249999999</v>
      </c>
      <c r="U320">
        <v>5</v>
      </c>
      <c r="V320" t="str">
        <f t="shared" si="39"/>
        <v>OK</v>
      </c>
      <c r="W320" t="s">
        <v>25</v>
      </c>
      <c r="Y320" t="s">
        <v>30</v>
      </c>
    </row>
    <row r="321" spans="1:25" x14ac:dyDescent="0.25">
      <c r="A321" t="s">
        <v>1269</v>
      </c>
      <c r="B321" t="str">
        <f t="shared" si="33"/>
        <v>Said Aman Lukoma</v>
      </c>
      <c r="C321">
        <v>128543</v>
      </c>
      <c r="D321" t="str">
        <f t="shared" si="32"/>
        <v>Unique</v>
      </c>
      <c r="E321" t="s">
        <v>577</v>
      </c>
      <c r="F321" s="3">
        <f t="shared" si="34"/>
        <v>47</v>
      </c>
      <c r="G321" t="s">
        <v>19</v>
      </c>
      <c r="H321" t="str">
        <f t="shared" si="35"/>
        <v>Valid</v>
      </c>
      <c r="I321" t="s">
        <v>20</v>
      </c>
      <c r="J321" t="str">
        <f t="shared" si="36"/>
        <v>Uvinza</v>
      </c>
      <c r="K321" t="s">
        <v>428</v>
      </c>
      <c r="L321" t="str" cm="1">
        <f t="array" ref="L321">_xlfn.IFS(
ISNUMBER(SEARCH("ICU",K321)), "ICU",
ISNUMBER(SEARCH("NEONATAL",K321)), PROPER("NEONATAL"),
ISNUMBER(SEARCH("LABOUR",K321)), PROPER("LABOUR"),
ISNUMBER(SEARCH("PAEDIATRIC",K321)), PROPER("PAEDIATRIC"),
ISNUMBER(SEARCH("FEMALE SURGICAL",K321)), PROPER("FEMALE SURG, ORTHO &amp; GYN"),
ISNUMBER(SEARCH("PSYCHIATRIST",K321)), PROPER("PSYCHIATRIST"),
ISNUMBER(SEARCH("GRADE 1",K321)), PROPER("GRADE 1"),
ISNUMBER(SEARCH("MALE SURGICAL",K321)), PROPER("MALE SURG &amp; ORTHOPEDIC"),
ISNUMBER(SEARCH("MALE MEDICAL",K321)), PROPER("MALE MEDICAL"),
ISNUMBER(SEARCH("GRADE 2",K321)), PROPER("GRADE 2"),
ISNUMBER(SEARCH("FEMALE WARD",K321)), PROPER("FEMALE MEDICAL"),
TRUE, "Unmapped: " &amp; K321)</f>
        <v>Male Surg &amp; Orthopedic</v>
      </c>
      <c r="M321" t="s">
        <v>22</v>
      </c>
      <c r="O321" t="s">
        <v>1270</v>
      </c>
      <c r="P321" t="str">
        <f t="shared" si="37"/>
        <v>Text Error</v>
      </c>
      <c r="Q321" s="5">
        <v>46037.806157407409</v>
      </c>
      <c r="R321" t="str">
        <f t="shared" si="38"/>
        <v>Valid Date</v>
      </c>
      <c r="S321" t="s">
        <v>1271</v>
      </c>
      <c r="T321" s="5">
        <v>46043.581099537034</v>
      </c>
      <c r="U321">
        <v>5</v>
      </c>
      <c r="V321" t="str">
        <f t="shared" si="39"/>
        <v>OK</v>
      </c>
      <c r="W321" t="s">
        <v>25</v>
      </c>
      <c r="Y321" t="s">
        <v>30</v>
      </c>
    </row>
    <row r="322" spans="1:25" x14ac:dyDescent="0.25">
      <c r="A322" t="s">
        <v>1272</v>
      </c>
      <c r="B322" t="str">
        <f t="shared" si="33"/>
        <v>Anna Mabilika Nyanda</v>
      </c>
      <c r="C322">
        <v>128563</v>
      </c>
      <c r="D322" t="str">
        <f t="shared" ref="D322:D385" si="40">IF(COUNTIF($C$2:$C$905,C322)&gt;1,"Duplicate","Unique")</f>
        <v>Unique</v>
      </c>
      <c r="E322" t="s">
        <v>122</v>
      </c>
      <c r="F322" s="3">
        <f t="shared" si="34"/>
        <v>40</v>
      </c>
      <c r="G322" t="s">
        <v>32</v>
      </c>
      <c r="H322" t="str">
        <f t="shared" si="35"/>
        <v>Valid</v>
      </c>
      <c r="I322" t="s">
        <v>260</v>
      </c>
      <c r="J322" t="str">
        <f t="shared" si="36"/>
        <v>Kasulu</v>
      </c>
      <c r="K322" t="s">
        <v>40</v>
      </c>
      <c r="L322" t="str" cm="1">
        <f t="array" ref="L322">_xlfn.IFS(
ISNUMBER(SEARCH("ICU",K322)), "ICU",
ISNUMBER(SEARCH("NEONATAL",K322)), PROPER("NEONATAL"),
ISNUMBER(SEARCH("LABOUR",K322)), PROPER("LABOUR"),
ISNUMBER(SEARCH("PAEDIATRIC",K322)), PROPER("PAEDIATRIC"),
ISNUMBER(SEARCH("FEMALE SURGICAL",K322)), PROPER("FEMALE SURG, ORTHO &amp; GYN"),
ISNUMBER(SEARCH("PSYCHIATRIST",K322)), PROPER("PSYCHIATRIST"),
ISNUMBER(SEARCH("GRADE 1",K322)), PROPER("GRADE 1"),
ISNUMBER(SEARCH("MALE SURGICAL",K322)), PROPER("MALE SURG &amp; ORTHOPEDIC"),
ISNUMBER(SEARCH("MALE MEDICAL",K322)), PROPER("MALE MEDICAL"),
ISNUMBER(SEARCH("GRADE 2",K322)), PROPER("GRADE 2"),
ISNUMBER(SEARCH("FEMALE WARD",K322)), PROPER("FEMALE MEDICAL"),
TRUE, "Unmapped: " &amp; K322)</f>
        <v>Labour</v>
      </c>
      <c r="M322" t="s">
        <v>22</v>
      </c>
      <c r="O322" t="s">
        <v>1273</v>
      </c>
      <c r="P322" t="str">
        <f t="shared" si="37"/>
        <v>Text Error</v>
      </c>
      <c r="Q322" s="5">
        <v>46037.890416666669</v>
      </c>
      <c r="R322" t="str">
        <f t="shared" si="38"/>
        <v>Valid Date</v>
      </c>
      <c r="S322" t="s">
        <v>1274</v>
      </c>
      <c r="T322" s="5">
        <v>46043.637777777774</v>
      </c>
      <c r="U322">
        <v>5</v>
      </c>
      <c r="V322" t="str">
        <f t="shared" si="39"/>
        <v>OK</v>
      </c>
      <c r="W322" t="s">
        <v>25</v>
      </c>
      <c r="Y322" t="s">
        <v>30</v>
      </c>
    </row>
    <row r="323" spans="1:25" x14ac:dyDescent="0.25">
      <c r="A323" t="s">
        <v>1275</v>
      </c>
      <c r="B323" t="str">
        <f t="shared" ref="B323:B386" si="41">IF(LEN(TRIM(A323))-LEN(SUBSTITUTE(TRIM(A323)," ",""))&gt;=1,TRIM(A323),"⚠ Only 1 name: "&amp;TRIM(A323))</f>
        <v>Osilida Wilbrod Mahulege</v>
      </c>
      <c r="C323">
        <v>128856</v>
      </c>
      <c r="D323" t="str">
        <f t="shared" si="40"/>
        <v>Unique</v>
      </c>
      <c r="E323" t="s">
        <v>122</v>
      </c>
      <c r="F323" s="3">
        <f t="shared" ref="F323:F386" si="42">IF(ISNUMBER(SEARCH("month",E323)), LEFT(E323,FIND(" ",E323)-1)&amp;"/12", VALUE(LEFT(E323,FIND(" ",E323)-1)))</f>
        <v>40</v>
      </c>
      <c r="G323" t="s">
        <v>32</v>
      </c>
      <c r="H323" t="str">
        <f t="shared" ref="H323:H386" si="43">IF(OR(TRIM(G323)="Male", TRIM(G323)="Female"), "Valid", "Inconsistent")</f>
        <v>Valid</v>
      </c>
      <c r="I323" t="s">
        <v>62</v>
      </c>
      <c r="J323" t="str">
        <f t="shared" ref="J323:J386" si="44">SUBSTITUTE(SUBSTITUTE(TRIM(CLEAN(I323)),"Manisipaa ya kigoma ujiji","Kigoma Ujiji Mc"),"Buhingwe","Buhigwe")</f>
        <v>Kigoma Vijijini</v>
      </c>
      <c r="K323" t="s">
        <v>123</v>
      </c>
      <c r="L323" t="str" cm="1">
        <f t="array" ref="L323">_xlfn.IFS(
ISNUMBER(SEARCH("ICU",K323)), "ICU",
ISNUMBER(SEARCH("NEONATAL",K323)), PROPER("NEONATAL"),
ISNUMBER(SEARCH("LABOUR",K323)), PROPER("LABOUR"),
ISNUMBER(SEARCH("PAEDIATRIC",K323)), PROPER("PAEDIATRIC"),
ISNUMBER(SEARCH("FEMALE SURGICAL",K323)), PROPER("FEMALE SURG, ORTHO &amp; GYN"),
ISNUMBER(SEARCH("PSYCHIATRIST",K323)), PROPER("PSYCHIATRIST"),
ISNUMBER(SEARCH("GRADE 1",K323)), PROPER("GRADE 1"),
ISNUMBER(SEARCH("MALE SURGICAL",K323)), PROPER("MALE SURG &amp; ORTHOPEDIC"),
ISNUMBER(SEARCH("MALE MEDICAL",K323)), PROPER("MALE MEDICAL"),
ISNUMBER(SEARCH("GRADE 2",K323)), PROPER("GRADE 2"),
ISNUMBER(SEARCH("FEMALE WARD",K323)), PROPER("FEMALE MEDICAL"),
TRUE, "Unmapped: " &amp; K323)</f>
        <v>Female Surg, Ortho &amp; Gyn</v>
      </c>
      <c r="M323" t="s">
        <v>22</v>
      </c>
      <c r="O323" t="s">
        <v>1276</v>
      </c>
      <c r="P323" t="str">
        <f t="shared" ref="P323:P386" si="45">IF(ISNUMBER(O323), "Valid Date", "Text Error")</f>
        <v>Text Error</v>
      </c>
      <c r="Q323" s="5">
        <v>46041.870763888888</v>
      </c>
      <c r="R323" t="str">
        <f t="shared" ref="R323:R386" si="46">IF(ISNUMBER(Q323), "Valid Date", "Text Error")</f>
        <v>Valid Date</v>
      </c>
      <c r="S323" t="s">
        <v>1277</v>
      </c>
      <c r="T323" s="5">
        <v>46047.468043981484</v>
      </c>
      <c r="U323">
        <v>5</v>
      </c>
      <c r="V323" t="str">
        <f t="shared" ref="V323:V386" si="47">IF(NOT(ISNUMBER(U323)), "Text Error", IF(U323&lt;0, "Negative", "OK"))</f>
        <v>OK</v>
      </c>
      <c r="W323" t="s">
        <v>25</v>
      </c>
      <c r="Y323" t="s">
        <v>30</v>
      </c>
    </row>
    <row r="324" spans="1:25" x14ac:dyDescent="0.25">
      <c r="A324" t="s">
        <v>1278</v>
      </c>
      <c r="B324" t="str">
        <f t="shared" si="41"/>
        <v>Lucy Jonas Kasera</v>
      </c>
      <c r="C324">
        <v>104346</v>
      </c>
      <c r="D324" t="str">
        <f t="shared" si="40"/>
        <v>Unique</v>
      </c>
      <c r="E324" t="s">
        <v>61</v>
      </c>
      <c r="F324" s="3">
        <f t="shared" si="42"/>
        <v>29</v>
      </c>
      <c r="G324" t="s">
        <v>32</v>
      </c>
      <c r="H324" t="str">
        <f t="shared" si="43"/>
        <v>Valid</v>
      </c>
      <c r="I324" t="s">
        <v>33</v>
      </c>
      <c r="J324" t="str">
        <f t="shared" si="44"/>
        <v>Kigoma Ujiji Mc</v>
      </c>
      <c r="K324" t="s">
        <v>685</v>
      </c>
      <c r="L324" t="str" cm="1">
        <f t="array" ref="L324">_xlfn.IFS(
ISNUMBER(SEARCH("ICU",K324)), "ICU",
ISNUMBER(SEARCH("NEONATAL",K324)), PROPER("NEONATAL"),
ISNUMBER(SEARCH("LABOUR",K324)), PROPER("LABOUR"),
ISNUMBER(SEARCH("PAEDIATRIC",K324)), PROPER("PAEDIATRIC"),
ISNUMBER(SEARCH("FEMALE SURGICAL",K324)), PROPER("FEMALE SURG, ORTHO &amp; GYN"),
ISNUMBER(SEARCH("PSYCHIATRIST",K324)), PROPER("PSYCHIATRIST"),
ISNUMBER(SEARCH("GRADE 1",K324)), PROPER("GRADE 1"),
ISNUMBER(SEARCH("MALE SURGICAL",K324)), PROPER("MALE SURG &amp; ORTHOPEDIC"),
ISNUMBER(SEARCH("MALE MEDICAL",K324)), PROPER("MALE MEDICAL"),
ISNUMBER(SEARCH("GRADE 2",K324)), PROPER("GRADE 2"),
ISNUMBER(SEARCH("FEMALE WARD",K324)), PROPER("FEMALE MEDICAL"),
TRUE, "Unmapped: " &amp; K324)</f>
        <v>Grade 2</v>
      </c>
      <c r="M324" t="s">
        <v>394</v>
      </c>
      <c r="O324" t="s">
        <v>1279</v>
      </c>
      <c r="P324" t="str">
        <f t="shared" si="45"/>
        <v>Text Error</v>
      </c>
      <c r="Q324" s="5">
        <v>46042.515138888892</v>
      </c>
      <c r="R324" t="str">
        <f t="shared" si="46"/>
        <v>Valid Date</v>
      </c>
      <c r="S324" t="s">
        <v>1280</v>
      </c>
      <c r="T324" s="5">
        <v>46047.639884259261</v>
      </c>
      <c r="U324">
        <v>5</v>
      </c>
      <c r="V324" t="str">
        <f t="shared" si="47"/>
        <v>OK</v>
      </c>
      <c r="W324" t="s">
        <v>25</v>
      </c>
      <c r="Y324" t="s">
        <v>30</v>
      </c>
    </row>
    <row r="325" spans="1:25" x14ac:dyDescent="0.25">
      <c r="A325" t="s">
        <v>1282</v>
      </c>
      <c r="B325" t="str">
        <f t="shared" si="41"/>
        <v>Zabibu Saidi Misama</v>
      </c>
      <c r="C325">
        <v>127164</v>
      </c>
      <c r="D325" t="str">
        <f t="shared" si="40"/>
        <v>Unique</v>
      </c>
      <c r="E325" t="s">
        <v>74</v>
      </c>
      <c r="F325" s="3">
        <f t="shared" si="42"/>
        <v>35</v>
      </c>
      <c r="G325" t="s">
        <v>32</v>
      </c>
      <c r="H325" t="str">
        <f t="shared" si="43"/>
        <v>Valid</v>
      </c>
      <c r="I325" t="s">
        <v>33</v>
      </c>
      <c r="J325" t="str">
        <f t="shared" si="44"/>
        <v>Kigoma Ujiji Mc</v>
      </c>
      <c r="K325" t="s">
        <v>700</v>
      </c>
      <c r="L325" t="str" cm="1">
        <f t="array" ref="L325">_xlfn.IFS(
ISNUMBER(SEARCH("ICU",K325)), "ICU",
ISNUMBER(SEARCH("NEONATAL",K325)), PROPER("NEONATAL"),
ISNUMBER(SEARCH("LABOUR",K325)), PROPER("LABOUR"),
ISNUMBER(SEARCH("PAEDIATRIC",K325)), PROPER("PAEDIATRIC"),
ISNUMBER(SEARCH("FEMALE SURGICAL",K325)), PROPER("FEMALE SURG, ORTHO &amp; GYN"),
ISNUMBER(SEARCH("PSYCHIATRIST",K325)), PROPER("PSYCHIATRIST"),
ISNUMBER(SEARCH("GRADE 1",K325)), PROPER("GRADE 1"),
ISNUMBER(SEARCH("MALE SURGICAL",K325)), PROPER("MALE SURG &amp; ORTHOPEDIC"),
ISNUMBER(SEARCH("MALE MEDICAL",K325)), PROPER("MALE MEDICAL"),
ISNUMBER(SEARCH("GRADE 2",K325)), PROPER("GRADE 2"),
ISNUMBER(SEARCH("FEMALE WARD",K325)), PROPER("FEMALE MEDICAL"),
TRUE, "Unmapped: " &amp; K325)</f>
        <v>Female Medical</v>
      </c>
      <c r="M325" t="s">
        <v>22</v>
      </c>
      <c r="O325" t="s">
        <v>1283</v>
      </c>
      <c r="P325" t="str">
        <f t="shared" si="45"/>
        <v>Text Error</v>
      </c>
      <c r="Q325" s="5">
        <v>46043.588842592595</v>
      </c>
      <c r="R325" t="str">
        <f t="shared" si="46"/>
        <v>Valid Date</v>
      </c>
      <c r="S325" t="s">
        <v>1284</v>
      </c>
      <c r="T325" s="5">
        <v>46049.377638888887</v>
      </c>
      <c r="U325">
        <v>5</v>
      </c>
      <c r="V325" t="str">
        <f t="shared" si="47"/>
        <v>OK</v>
      </c>
      <c r="W325" t="s">
        <v>211</v>
      </c>
      <c r="Y325" t="s">
        <v>30</v>
      </c>
    </row>
    <row r="326" spans="1:25" x14ac:dyDescent="0.25">
      <c r="A326" t="s">
        <v>1286</v>
      </c>
      <c r="B326" t="str">
        <f t="shared" si="41"/>
        <v>Mosesi Nasibu Nguvumali</v>
      </c>
      <c r="C326">
        <v>129195</v>
      </c>
      <c r="D326" t="str">
        <f t="shared" si="40"/>
        <v>Unique</v>
      </c>
      <c r="E326" t="s">
        <v>61</v>
      </c>
      <c r="F326" s="3">
        <f t="shared" si="42"/>
        <v>29</v>
      </c>
      <c r="G326" t="s">
        <v>19</v>
      </c>
      <c r="H326" t="str">
        <f t="shared" si="43"/>
        <v>Valid</v>
      </c>
      <c r="I326" t="s">
        <v>130</v>
      </c>
      <c r="J326" t="str">
        <f t="shared" si="44"/>
        <v>Buhigwe</v>
      </c>
      <c r="K326" t="s">
        <v>428</v>
      </c>
      <c r="L326" t="str" cm="1">
        <f t="array" ref="L326">_xlfn.IFS(
ISNUMBER(SEARCH("ICU",K326)), "ICU",
ISNUMBER(SEARCH("NEONATAL",K326)), PROPER("NEONATAL"),
ISNUMBER(SEARCH("LABOUR",K326)), PROPER("LABOUR"),
ISNUMBER(SEARCH("PAEDIATRIC",K326)), PROPER("PAEDIATRIC"),
ISNUMBER(SEARCH("FEMALE SURGICAL",K326)), PROPER("FEMALE SURG, ORTHO &amp; GYN"),
ISNUMBER(SEARCH("PSYCHIATRIST",K326)), PROPER("PSYCHIATRIST"),
ISNUMBER(SEARCH("GRADE 1",K326)), PROPER("GRADE 1"),
ISNUMBER(SEARCH("MALE SURGICAL",K326)), PROPER("MALE SURG &amp; ORTHOPEDIC"),
ISNUMBER(SEARCH("MALE MEDICAL",K326)), PROPER("MALE MEDICAL"),
ISNUMBER(SEARCH("GRADE 2",K326)), PROPER("GRADE 2"),
ISNUMBER(SEARCH("FEMALE WARD",K326)), PROPER("FEMALE MEDICAL"),
TRUE, "Unmapped: " &amp; K326)</f>
        <v>Male Surg &amp; Orthopedic</v>
      </c>
      <c r="M326" t="s">
        <v>22</v>
      </c>
      <c r="O326" t="s">
        <v>1287</v>
      </c>
      <c r="P326" t="str">
        <f t="shared" si="45"/>
        <v>Text Error</v>
      </c>
      <c r="Q326" s="5">
        <v>46043.995613425926</v>
      </c>
      <c r="R326" t="str">
        <f t="shared" si="46"/>
        <v>Valid Date</v>
      </c>
      <c r="S326" t="s">
        <v>1288</v>
      </c>
      <c r="T326" s="5">
        <v>46049.725393518522</v>
      </c>
      <c r="U326">
        <v>5</v>
      </c>
      <c r="V326" t="str">
        <f t="shared" si="47"/>
        <v>OK</v>
      </c>
      <c r="W326" t="s">
        <v>112</v>
      </c>
      <c r="Y326" t="s">
        <v>30</v>
      </c>
    </row>
    <row r="327" spans="1:25" x14ac:dyDescent="0.25">
      <c r="A327" t="s">
        <v>1289</v>
      </c>
      <c r="B327" t="str">
        <f t="shared" si="41"/>
        <v>Furaha Huruma Jumanne</v>
      </c>
      <c r="C327">
        <v>129250</v>
      </c>
      <c r="D327" t="str">
        <f t="shared" si="40"/>
        <v>Unique</v>
      </c>
      <c r="E327" t="s">
        <v>622</v>
      </c>
      <c r="F327" s="3" t="str">
        <f t="shared" si="42"/>
        <v>2/12</v>
      </c>
      <c r="G327" t="s">
        <v>32</v>
      </c>
      <c r="H327" t="str">
        <f t="shared" si="43"/>
        <v>Valid</v>
      </c>
      <c r="I327" t="s">
        <v>33</v>
      </c>
      <c r="J327" t="str">
        <f t="shared" si="44"/>
        <v>Kigoma Ujiji Mc</v>
      </c>
      <c r="K327" t="s">
        <v>21</v>
      </c>
      <c r="L327" t="str" cm="1">
        <f t="array" ref="L327">_xlfn.IFS(
ISNUMBER(SEARCH("ICU",K327)), "ICU",
ISNUMBER(SEARCH("NEONATAL",K327)), PROPER("NEONATAL"),
ISNUMBER(SEARCH("LABOUR",K327)), PROPER("LABOUR"),
ISNUMBER(SEARCH("PAEDIATRIC",K327)), PROPER("PAEDIATRIC"),
ISNUMBER(SEARCH("FEMALE SURGICAL",K327)), PROPER("FEMALE SURG, ORTHO &amp; GYN"),
ISNUMBER(SEARCH("PSYCHIATRIST",K327)), PROPER("PSYCHIATRIST"),
ISNUMBER(SEARCH("GRADE 1",K327)), PROPER("GRADE 1"),
ISNUMBER(SEARCH("MALE SURGICAL",K327)), PROPER("MALE SURG &amp; ORTHOPEDIC"),
ISNUMBER(SEARCH("MALE MEDICAL",K327)), PROPER("MALE MEDICAL"),
ISNUMBER(SEARCH("GRADE 2",K327)), PROPER("GRADE 2"),
ISNUMBER(SEARCH("FEMALE WARD",K327)), PROPER("FEMALE MEDICAL"),
TRUE, "Unmapped: " &amp; K327)</f>
        <v>Neonatal</v>
      </c>
      <c r="M327" t="s">
        <v>22</v>
      </c>
      <c r="O327" t="s">
        <v>1290</v>
      </c>
      <c r="P327" t="str">
        <f t="shared" si="45"/>
        <v>Text Error</v>
      </c>
      <c r="Q327" s="5">
        <v>46044.754247685189</v>
      </c>
      <c r="R327" t="str">
        <f t="shared" si="46"/>
        <v>Valid Date</v>
      </c>
      <c r="S327" t="s">
        <v>1291</v>
      </c>
      <c r="T327" s="5">
        <v>46050.571157407408</v>
      </c>
      <c r="U327">
        <v>5</v>
      </c>
      <c r="V327" t="str">
        <f t="shared" si="47"/>
        <v>OK</v>
      </c>
      <c r="W327" t="s">
        <v>25</v>
      </c>
      <c r="Y327" t="s">
        <v>30</v>
      </c>
    </row>
    <row r="328" spans="1:25" x14ac:dyDescent="0.25">
      <c r="A328" t="s">
        <v>1292</v>
      </c>
      <c r="B328" t="str">
        <f t="shared" si="41"/>
        <v>Baby Of Lusi Pangakasi Domiani</v>
      </c>
      <c r="C328">
        <v>129387</v>
      </c>
      <c r="D328" t="str">
        <f t="shared" si="40"/>
        <v>Unique</v>
      </c>
      <c r="E328" t="s">
        <v>1172</v>
      </c>
      <c r="F328" s="3" t="str">
        <f t="shared" si="42"/>
        <v>1/12</v>
      </c>
      <c r="G328" t="s">
        <v>32</v>
      </c>
      <c r="H328" t="str">
        <f t="shared" si="43"/>
        <v>Valid</v>
      </c>
      <c r="I328" t="s">
        <v>33</v>
      </c>
      <c r="J328" t="str">
        <f t="shared" si="44"/>
        <v>Kigoma Ujiji Mc</v>
      </c>
      <c r="K328" t="s">
        <v>21</v>
      </c>
      <c r="L328" t="str" cm="1">
        <f t="array" ref="L328">_xlfn.IFS(
ISNUMBER(SEARCH("ICU",K328)), "ICU",
ISNUMBER(SEARCH("NEONATAL",K328)), PROPER("NEONATAL"),
ISNUMBER(SEARCH("LABOUR",K328)), PROPER("LABOUR"),
ISNUMBER(SEARCH("PAEDIATRIC",K328)), PROPER("PAEDIATRIC"),
ISNUMBER(SEARCH("FEMALE SURGICAL",K328)), PROPER("FEMALE SURG, ORTHO &amp; GYN"),
ISNUMBER(SEARCH("PSYCHIATRIST",K328)), PROPER("PSYCHIATRIST"),
ISNUMBER(SEARCH("GRADE 1",K328)), PROPER("GRADE 1"),
ISNUMBER(SEARCH("MALE SURGICAL",K328)), PROPER("MALE SURG &amp; ORTHOPEDIC"),
ISNUMBER(SEARCH("MALE MEDICAL",K328)), PROPER("MALE MEDICAL"),
ISNUMBER(SEARCH("GRADE 2",K328)), PROPER("GRADE 2"),
ISNUMBER(SEARCH("FEMALE WARD",K328)), PROPER("FEMALE MEDICAL"),
TRUE, "Unmapped: " &amp; K328)</f>
        <v>Neonatal</v>
      </c>
      <c r="M328" t="s">
        <v>22</v>
      </c>
      <c r="O328" t="s">
        <v>1293</v>
      </c>
      <c r="P328" t="str">
        <f t="shared" si="45"/>
        <v>Text Error</v>
      </c>
      <c r="Q328" s="5">
        <v>46045.586504629631</v>
      </c>
      <c r="R328" t="str">
        <f t="shared" si="46"/>
        <v>Valid Date</v>
      </c>
      <c r="S328" t="s">
        <v>1294</v>
      </c>
      <c r="T328" s="5">
        <v>46051.34847222222</v>
      </c>
      <c r="U328">
        <v>5</v>
      </c>
      <c r="V328" t="str">
        <f t="shared" si="47"/>
        <v>OK</v>
      </c>
      <c r="W328" t="s">
        <v>25</v>
      </c>
      <c r="Y328" t="s">
        <v>30</v>
      </c>
    </row>
    <row r="329" spans="1:25" x14ac:dyDescent="0.25">
      <c r="A329" t="s">
        <v>1295</v>
      </c>
      <c r="B329" t="str">
        <f t="shared" si="41"/>
        <v>Hadhili Kassim Said</v>
      </c>
      <c r="C329">
        <v>129412</v>
      </c>
      <c r="D329" t="str">
        <f t="shared" si="40"/>
        <v>Unique</v>
      </c>
      <c r="E329" t="s">
        <v>622</v>
      </c>
      <c r="F329" s="3" t="str">
        <f t="shared" si="42"/>
        <v>2/12</v>
      </c>
      <c r="G329" t="s">
        <v>32</v>
      </c>
      <c r="H329" t="str">
        <f t="shared" si="43"/>
        <v>Valid</v>
      </c>
      <c r="I329" t="s">
        <v>33</v>
      </c>
      <c r="J329" t="str">
        <f t="shared" si="44"/>
        <v>Kigoma Ujiji Mc</v>
      </c>
      <c r="K329" t="s">
        <v>21</v>
      </c>
      <c r="L329" t="str" cm="1">
        <f t="array" ref="L329">_xlfn.IFS(
ISNUMBER(SEARCH("ICU",K329)), "ICU",
ISNUMBER(SEARCH("NEONATAL",K329)), PROPER("NEONATAL"),
ISNUMBER(SEARCH("LABOUR",K329)), PROPER("LABOUR"),
ISNUMBER(SEARCH("PAEDIATRIC",K329)), PROPER("PAEDIATRIC"),
ISNUMBER(SEARCH("FEMALE SURGICAL",K329)), PROPER("FEMALE SURG, ORTHO &amp; GYN"),
ISNUMBER(SEARCH("PSYCHIATRIST",K329)), PROPER("PSYCHIATRIST"),
ISNUMBER(SEARCH("GRADE 1",K329)), PROPER("GRADE 1"),
ISNUMBER(SEARCH("MALE SURGICAL",K329)), PROPER("MALE SURG &amp; ORTHOPEDIC"),
ISNUMBER(SEARCH("MALE MEDICAL",K329)), PROPER("MALE MEDICAL"),
ISNUMBER(SEARCH("GRADE 2",K329)), PROPER("GRADE 2"),
ISNUMBER(SEARCH("FEMALE WARD",K329)), PROPER("FEMALE MEDICAL"),
TRUE, "Unmapped: " &amp; K329)</f>
        <v>Neonatal</v>
      </c>
      <c r="M329" t="s">
        <v>22</v>
      </c>
      <c r="O329" t="s">
        <v>1296</v>
      </c>
      <c r="P329" t="str">
        <f t="shared" si="45"/>
        <v>Text Error</v>
      </c>
      <c r="Q329" s="5">
        <v>46045.609849537039</v>
      </c>
      <c r="R329" t="str">
        <f t="shared" si="46"/>
        <v>Valid Date</v>
      </c>
      <c r="S329" t="s">
        <v>1297</v>
      </c>
      <c r="T329" s="5">
        <v>46051.601759259262</v>
      </c>
      <c r="U329">
        <v>5</v>
      </c>
      <c r="V329" t="str">
        <f t="shared" si="47"/>
        <v>OK</v>
      </c>
      <c r="W329" t="s">
        <v>25</v>
      </c>
      <c r="Y329" t="s">
        <v>30</v>
      </c>
    </row>
    <row r="330" spans="1:25" x14ac:dyDescent="0.25">
      <c r="A330" t="s">
        <v>1298</v>
      </c>
      <c r="B330" t="str">
        <f t="shared" si="41"/>
        <v>Lucy J Herry</v>
      </c>
      <c r="C330">
        <v>16509</v>
      </c>
      <c r="D330" t="str">
        <f t="shared" si="40"/>
        <v>Unique</v>
      </c>
      <c r="E330" t="s">
        <v>630</v>
      </c>
      <c r="F330" s="3">
        <f t="shared" si="42"/>
        <v>41</v>
      </c>
      <c r="G330" t="s">
        <v>32</v>
      </c>
      <c r="H330" t="str">
        <f t="shared" si="43"/>
        <v>Valid</v>
      </c>
      <c r="I330" t="s">
        <v>227</v>
      </c>
      <c r="J330" t="str">
        <f t="shared" si="44"/>
        <v>KGG</v>
      </c>
      <c r="K330" t="s">
        <v>685</v>
      </c>
      <c r="L330" t="str" cm="1">
        <f t="array" ref="L330">_xlfn.IFS(
ISNUMBER(SEARCH("ICU",K330)), "ICU",
ISNUMBER(SEARCH("NEONATAL",K330)), PROPER("NEONATAL"),
ISNUMBER(SEARCH("LABOUR",K330)), PROPER("LABOUR"),
ISNUMBER(SEARCH("PAEDIATRIC",K330)), PROPER("PAEDIATRIC"),
ISNUMBER(SEARCH("FEMALE SURGICAL",K330)), PROPER("FEMALE SURG, ORTHO &amp; GYN"),
ISNUMBER(SEARCH("PSYCHIATRIST",K330)), PROPER("PSYCHIATRIST"),
ISNUMBER(SEARCH("GRADE 1",K330)), PROPER("GRADE 1"),
ISNUMBER(SEARCH("MALE SURGICAL",K330)), PROPER("MALE SURG &amp; ORTHOPEDIC"),
ISNUMBER(SEARCH("MALE MEDICAL",K330)), PROPER("MALE MEDICAL"),
ISNUMBER(SEARCH("GRADE 2",K330)), PROPER("GRADE 2"),
ISNUMBER(SEARCH("FEMALE WARD",K330)), PROPER("FEMALE MEDICAL"),
TRUE, "Unmapped: " &amp; K330)</f>
        <v>Grade 2</v>
      </c>
      <c r="M330" t="s">
        <v>394</v>
      </c>
      <c r="O330" t="s">
        <v>1299</v>
      </c>
      <c r="P330" t="str">
        <f t="shared" si="45"/>
        <v>Text Error</v>
      </c>
      <c r="Q330" s="5">
        <v>46047.488657407404</v>
      </c>
      <c r="R330" t="str">
        <f t="shared" si="46"/>
        <v>Valid Date</v>
      </c>
      <c r="S330" t="s">
        <v>1300</v>
      </c>
      <c r="T330" s="5">
        <v>46052.52853009259</v>
      </c>
      <c r="U330">
        <v>5</v>
      </c>
      <c r="V330" t="str">
        <f t="shared" si="47"/>
        <v>OK</v>
      </c>
      <c r="W330" t="s">
        <v>25</v>
      </c>
      <c r="Y330" t="s">
        <v>30</v>
      </c>
    </row>
    <row r="331" spans="1:25" x14ac:dyDescent="0.25">
      <c r="A331" t="s">
        <v>1301</v>
      </c>
      <c r="B331" t="str">
        <f t="shared" si="41"/>
        <v>Baby Of Anjera Wlliam Minyapi</v>
      </c>
      <c r="C331">
        <v>129537</v>
      </c>
      <c r="D331" t="str">
        <f t="shared" si="40"/>
        <v>Unique</v>
      </c>
      <c r="E331" t="s">
        <v>1172</v>
      </c>
      <c r="F331" s="3" t="str">
        <f t="shared" si="42"/>
        <v>1/12</v>
      </c>
      <c r="G331" t="s">
        <v>19</v>
      </c>
      <c r="H331" t="str">
        <f t="shared" si="43"/>
        <v>Valid</v>
      </c>
      <c r="I331" t="s">
        <v>130</v>
      </c>
      <c r="J331" t="str">
        <f t="shared" si="44"/>
        <v>Buhigwe</v>
      </c>
      <c r="K331" t="s">
        <v>21</v>
      </c>
      <c r="L331" t="str" cm="1">
        <f t="array" ref="L331">_xlfn.IFS(
ISNUMBER(SEARCH("ICU",K331)), "ICU",
ISNUMBER(SEARCH("NEONATAL",K331)), PROPER("NEONATAL"),
ISNUMBER(SEARCH("LABOUR",K331)), PROPER("LABOUR"),
ISNUMBER(SEARCH("PAEDIATRIC",K331)), PROPER("PAEDIATRIC"),
ISNUMBER(SEARCH("FEMALE SURGICAL",K331)), PROPER("FEMALE SURG, ORTHO &amp; GYN"),
ISNUMBER(SEARCH("PSYCHIATRIST",K331)), PROPER("PSYCHIATRIST"),
ISNUMBER(SEARCH("GRADE 1",K331)), PROPER("GRADE 1"),
ISNUMBER(SEARCH("MALE SURGICAL",K331)), PROPER("MALE SURG &amp; ORTHOPEDIC"),
ISNUMBER(SEARCH("MALE MEDICAL",K331)), PROPER("MALE MEDICAL"),
ISNUMBER(SEARCH("GRADE 2",K331)), PROPER("GRADE 2"),
ISNUMBER(SEARCH("FEMALE WARD",K331)), PROPER("FEMALE MEDICAL"),
TRUE, "Unmapped: " &amp; K331)</f>
        <v>Neonatal</v>
      </c>
      <c r="M331" t="s">
        <v>22</v>
      </c>
      <c r="O331" t="s">
        <v>1302</v>
      </c>
      <c r="P331" t="str">
        <f t="shared" si="45"/>
        <v>Text Error</v>
      </c>
      <c r="Q331" s="5">
        <v>46047.61990740741</v>
      </c>
      <c r="R331" t="str">
        <f t="shared" si="46"/>
        <v>Valid Date</v>
      </c>
      <c r="S331" t="s">
        <v>1303</v>
      </c>
      <c r="T331" s="5">
        <v>46052.741412037038</v>
      </c>
      <c r="U331">
        <v>5</v>
      </c>
      <c r="V331" t="str">
        <f t="shared" si="47"/>
        <v>OK</v>
      </c>
      <c r="W331" t="s">
        <v>25</v>
      </c>
      <c r="Y331" t="s">
        <v>30</v>
      </c>
    </row>
    <row r="332" spans="1:25" x14ac:dyDescent="0.25">
      <c r="A332" t="s">
        <v>1304</v>
      </c>
      <c r="B332" t="str">
        <f t="shared" si="41"/>
        <v>Ally Mwendapole Shabani</v>
      </c>
      <c r="C332">
        <v>129563</v>
      </c>
      <c r="D332" t="str">
        <f t="shared" si="40"/>
        <v>Unique</v>
      </c>
      <c r="E332" t="s">
        <v>147</v>
      </c>
      <c r="F332" s="3">
        <f t="shared" si="42"/>
        <v>30</v>
      </c>
      <c r="G332" t="s">
        <v>19</v>
      </c>
      <c r="H332" t="str">
        <f t="shared" si="43"/>
        <v>Valid</v>
      </c>
      <c r="I332" t="s">
        <v>20</v>
      </c>
      <c r="J332" t="str">
        <f t="shared" si="44"/>
        <v>Uvinza</v>
      </c>
      <c r="K332" t="s">
        <v>484</v>
      </c>
      <c r="L332" t="str" cm="1">
        <f t="array" ref="L332">_xlfn.IFS(
ISNUMBER(SEARCH("ICU",K332)), "ICU",
ISNUMBER(SEARCH("NEONATAL",K332)), PROPER("NEONATAL"),
ISNUMBER(SEARCH("LABOUR",K332)), PROPER("LABOUR"),
ISNUMBER(SEARCH("PAEDIATRIC",K332)), PROPER("PAEDIATRIC"),
ISNUMBER(SEARCH("FEMALE SURGICAL",K332)), PROPER("FEMALE SURG, ORTHO &amp; GYN"),
ISNUMBER(SEARCH("PSYCHIATRIST",K332)), PROPER("PSYCHIATRIST"),
ISNUMBER(SEARCH("GRADE 1",K332)), PROPER("GRADE 1"),
ISNUMBER(SEARCH("MALE SURGICAL",K332)), PROPER("MALE SURG &amp; ORTHOPEDIC"),
ISNUMBER(SEARCH("MALE MEDICAL",K332)), PROPER("MALE MEDICAL"),
ISNUMBER(SEARCH("GRADE 2",K332)), PROPER("GRADE 2"),
ISNUMBER(SEARCH("FEMALE WARD",K332)), PROPER("FEMALE MEDICAL"),
TRUE, "Unmapped: " &amp; K332)</f>
        <v>Male Medical</v>
      </c>
      <c r="M332" t="s">
        <v>22</v>
      </c>
      <c r="O332" t="s">
        <v>1305</v>
      </c>
      <c r="P332" t="str">
        <f t="shared" si="45"/>
        <v>Text Error</v>
      </c>
      <c r="Q332" s="5">
        <v>46048.073888888888</v>
      </c>
      <c r="R332" t="str">
        <f t="shared" si="46"/>
        <v>Valid Date</v>
      </c>
      <c r="S332" t="s">
        <v>1306</v>
      </c>
      <c r="T332" s="5">
        <v>46053.744432870371</v>
      </c>
      <c r="U332">
        <v>5</v>
      </c>
      <c r="V332" t="str">
        <f t="shared" si="47"/>
        <v>OK</v>
      </c>
      <c r="W332" t="s">
        <v>112</v>
      </c>
      <c r="Y332" t="s">
        <v>30</v>
      </c>
    </row>
    <row r="333" spans="1:25" x14ac:dyDescent="0.25">
      <c r="A333" t="s">
        <v>1307</v>
      </c>
      <c r="B333" t="str">
        <f t="shared" si="41"/>
        <v>Zuwena Emmanuel Kazoya</v>
      </c>
      <c r="C333">
        <v>126586</v>
      </c>
      <c r="D333" t="str">
        <f t="shared" si="40"/>
        <v>Unique</v>
      </c>
      <c r="E333" t="s">
        <v>884</v>
      </c>
      <c r="F333" s="3">
        <f t="shared" si="42"/>
        <v>70</v>
      </c>
      <c r="G333" t="s">
        <v>32</v>
      </c>
      <c r="H333" t="str">
        <f t="shared" si="43"/>
        <v>Valid</v>
      </c>
      <c r="I333" t="s">
        <v>20</v>
      </c>
      <c r="J333" t="str">
        <f t="shared" si="44"/>
        <v>Uvinza</v>
      </c>
      <c r="K333" t="s">
        <v>700</v>
      </c>
      <c r="L333" t="str" cm="1">
        <f t="array" ref="L333">_xlfn.IFS(
ISNUMBER(SEARCH("ICU",K333)), "ICU",
ISNUMBER(SEARCH("NEONATAL",K333)), PROPER("NEONATAL"),
ISNUMBER(SEARCH("LABOUR",K333)), PROPER("LABOUR"),
ISNUMBER(SEARCH("PAEDIATRIC",K333)), PROPER("PAEDIATRIC"),
ISNUMBER(SEARCH("FEMALE SURGICAL",K333)), PROPER("FEMALE SURG, ORTHO &amp; GYN"),
ISNUMBER(SEARCH("PSYCHIATRIST",K333)), PROPER("PSYCHIATRIST"),
ISNUMBER(SEARCH("GRADE 1",K333)), PROPER("GRADE 1"),
ISNUMBER(SEARCH("MALE SURGICAL",K333)), PROPER("MALE SURG &amp; ORTHOPEDIC"),
ISNUMBER(SEARCH("MALE MEDICAL",K333)), PROPER("MALE MEDICAL"),
ISNUMBER(SEARCH("GRADE 2",K333)), PROPER("GRADE 2"),
ISNUMBER(SEARCH("FEMALE WARD",K333)), PROPER("FEMALE MEDICAL"),
TRUE, "Unmapped: " &amp; K333)</f>
        <v>Female Medical</v>
      </c>
      <c r="M333" t="s">
        <v>22</v>
      </c>
      <c r="O333" t="s">
        <v>1308</v>
      </c>
      <c r="P333" t="str">
        <f t="shared" si="45"/>
        <v>Text Error</v>
      </c>
      <c r="Q333" s="5">
        <v>46019.834351851852</v>
      </c>
      <c r="R333" t="str">
        <f t="shared" si="46"/>
        <v>Valid Date</v>
      </c>
      <c r="S333" t="s">
        <v>1309</v>
      </c>
      <c r="T333" s="5">
        <v>46024.574803240743</v>
      </c>
      <c r="U333">
        <v>4</v>
      </c>
      <c r="V333" t="str">
        <f t="shared" si="47"/>
        <v>OK</v>
      </c>
      <c r="W333" t="s">
        <v>25</v>
      </c>
      <c r="Y333" t="s">
        <v>30</v>
      </c>
    </row>
    <row r="334" spans="1:25" x14ac:dyDescent="0.25">
      <c r="A334" t="s">
        <v>1310</v>
      </c>
      <c r="B334" t="str">
        <f t="shared" si="41"/>
        <v>Swaum Johnson Magetha</v>
      </c>
      <c r="C334">
        <v>18145</v>
      </c>
      <c r="D334" t="str">
        <f t="shared" si="40"/>
        <v>Unique</v>
      </c>
      <c r="E334" t="s">
        <v>86</v>
      </c>
      <c r="F334" s="3">
        <f t="shared" si="42"/>
        <v>23</v>
      </c>
      <c r="G334" t="s">
        <v>32</v>
      </c>
      <c r="H334" t="str">
        <f t="shared" si="43"/>
        <v>Valid</v>
      </c>
      <c r="I334" t="s">
        <v>227</v>
      </c>
      <c r="J334" t="str">
        <f t="shared" si="44"/>
        <v>KGG</v>
      </c>
      <c r="K334" t="s">
        <v>40</v>
      </c>
      <c r="L334" t="str" cm="1">
        <f t="array" ref="L334">_xlfn.IFS(
ISNUMBER(SEARCH("ICU",K334)), "ICU",
ISNUMBER(SEARCH("NEONATAL",K334)), PROPER("NEONATAL"),
ISNUMBER(SEARCH("LABOUR",K334)), PROPER("LABOUR"),
ISNUMBER(SEARCH("PAEDIATRIC",K334)), PROPER("PAEDIATRIC"),
ISNUMBER(SEARCH("FEMALE SURGICAL",K334)), PROPER("FEMALE SURG, ORTHO &amp; GYN"),
ISNUMBER(SEARCH("PSYCHIATRIST",K334)), PROPER("PSYCHIATRIST"),
ISNUMBER(SEARCH("GRADE 1",K334)), PROPER("GRADE 1"),
ISNUMBER(SEARCH("MALE SURGICAL",K334)), PROPER("MALE SURG &amp; ORTHOPEDIC"),
ISNUMBER(SEARCH("MALE MEDICAL",K334)), PROPER("MALE MEDICAL"),
ISNUMBER(SEARCH("GRADE 2",K334)), PROPER("GRADE 2"),
ISNUMBER(SEARCH("FEMALE WARD",K334)), PROPER("FEMALE MEDICAL"),
TRUE, "Unmapped: " &amp; K334)</f>
        <v>Labour</v>
      </c>
      <c r="M334" t="s">
        <v>22</v>
      </c>
      <c r="O334" t="s">
        <v>1311</v>
      </c>
      <c r="P334" t="str">
        <f t="shared" si="45"/>
        <v>Text Error</v>
      </c>
      <c r="Q334" s="5">
        <v>46019.83494212963</v>
      </c>
      <c r="R334" t="str">
        <f t="shared" si="46"/>
        <v>Valid Date</v>
      </c>
      <c r="S334" t="s">
        <v>1312</v>
      </c>
      <c r="T334" s="5">
        <v>46024.501296296294</v>
      </c>
      <c r="U334">
        <v>4</v>
      </c>
      <c r="V334" t="str">
        <f t="shared" si="47"/>
        <v>OK</v>
      </c>
      <c r="W334" t="s">
        <v>25</v>
      </c>
      <c r="Y334" t="s">
        <v>30</v>
      </c>
    </row>
    <row r="335" spans="1:25" x14ac:dyDescent="0.25">
      <c r="A335" t="s">
        <v>1313</v>
      </c>
      <c r="B335" t="str">
        <f t="shared" si="41"/>
        <v>Vesta Enock Kagwiza</v>
      </c>
      <c r="C335">
        <v>126661</v>
      </c>
      <c r="D335" t="str">
        <f t="shared" si="40"/>
        <v>Unique</v>
      </c>
      <c r="E335" t="s">
        <v>74</v>
      </c>
      <c r="F335" s="3">
        <f t="shared" si="42"/>
        <v>35</v>
      </c>
      <c r="G335" t="s">
        <v>32</v>
      </c>
      <c r="H335" t="str">
        <f t="shared" si="43"/>
        <v>Valid</v>
      </c>
      <c r="I335" t="s">
        <v>130</v>
      </c>
      <c r="J335" t="str">
        <f t="shared" si="44"/>
        <v>Buhigwe</v>
      </c>
      <c r="K335" t="s">
        <v>40</v>
      </c>
      <c r="L335" t="str" cm="1">
        <f t="array" ref="L335">_xlfn.IFS(
ISNUMBER(SEARCH("ICU",K335)), "ICU",
ISNUMBER(SEARCH("NEONATAL",K335)), PROPER("NEONATAL"),
ISNUMBER(SEARCH("LABOUR",K335)), PROPER("LABOUR"),
ISNUMBER(SEARCH("PAEDIATRIC",K335)), PROPER("PAEDIATRIC"),
ISNUMBER(SEARCH("FEMALE SURGICAL",K335)), PROPER("FEMALE SURG, ORTHO &amp; GYN"),
ISNUMBER(SEARCH("PSYCHIATRIST",K335)), PROPER("PSYCHIATRIST"),
ISNUMBER(SEARCH("GRADE 1",K335)), PROPER("GRADE 1"),
ISNUMBER(SEARCH("MALE SURGICAL",K335)), PROPER("MALE SURG &amp; ORTHOPEDIC"),
ISNUMBER(SEARCH("MALE MEDICAL",K335)), PROPER("MALE MEDICAL"),
ISNUMBER(SEARCH("GRADE 2",K335)), PROPER("GRADE 2"),
ISNUMBER(SEARCH("FEMALE WARD",K335)), PROPER("FEMALE MEDICAL"),
TRUE, "Unmapped: " &amp; K335)</f>
        <v>Labour</v>
      </c>
      <c r="M335" t="s">
        <v>22</v>
      </c>
      <c r="O335" t="s">
        <v>1314</v>
      </c>
      <c r="P335" t="str">
        <f t="shared" si="45"/>
        <v>Text Error</v>
      </c>
      <c r="Q335" s="5">
        <v>46020.48474537037</v>
      </c>
      <c r="R335" t="str">
        <f t="shared" si="46"/>
        <v>Valid Date</v>
      </c>
      <c r="S335" t="s">
        <v>1315</v>
      </c>
      <c r="T335" s="5">
        <v>46024.684918981482</v>
      </c>
      <c r="U335">
        <v>4</v>
      </c>
      <c r="V335" t="str">
        <f t="shared" si="47"/>
        <v>OK</v>
      </c>
      <c r="W335" t="s">
        <v>112</v>
      </c>
      <c r="Y335" t="s">
        <v>30</v>
      </c>
    </row>
    <row r="336" spans="1:25" x14ac:dyDescent="0.25">
      <c r="A336" t="s">
        <v>1316</v>
      </c>
      <c r="B336" t="str">
        <f t="shared" si="41"/>
        <v>Asia Juma Ally</v>
      </c>
      <c r="C336">
        <v>126709</v>
      </c>
      <c r="D336" t="str">
        <f t="shared" si="40"/>
        <v>Unique</v>
      </c>
      <c r="E336" t="s">
        <v>450</v>
      </c>
      <c r="F336" s="3">
        <f t="shared" si="42"/>
        <v>45</v>
      </c>
      <c r="G336" t="s">
        <v>32</v>
      </c>
      <c r="H336" t="str">
        <f t="shared" si="43"/>
        <v>Valid</v>
      </c>
      <c r="I336" t="s">
        <v>33</v>
      </c>
      <c r="J336" t="str">
        <f t="shared" si="44"/>
        <v>Kigoma Ujiji Mc</v>
      </c>
      <c r="K336" t="s">
        <v>700</v>
      </c>
      <c r="L336" t="str" cm="1">
        <f t="array" ref="L336">_xlfn.IFS(
ISNUMBER(SEARCH("ICU",K336)), "ICU",
ISNUMBER(SEARCH("NEONATAL",K336)), PROPER("NEONATAL"),
ISNUMBER(SEARCH("LABOUR",K336)), PROPER("LABOUR"),
ISNUMBER(SEARCH("PAEDIATRIC",K336)), PROPER("PAEDIATRIC"),
ISNUMBER(SEARCH("FEMALE SURGICAL",K336)), PROPER("FEMALE SURG, ORTHO &amp; GYN"),
ISNUMBER(SEARCH("PSYCHIATRIST",K336)), PROPER("PSYCHIATRIST"),
ISNUMBER(SEARCH("GRADE 1",K336)), PROPER("GRADE 1"),
ISNUMBER(SEARCH("MALE SURGICAL",K336)), PROPER("MALE SURG &amp; ORTHOPEDIC"),
ISNUMBER(SEARCH("MALE MEDICAL",K336)), PROPER("MALE MEDICAL"),
ISNUMBER(SEARCH("GRADE 2",K336)), PROPER("GRADE 2"),
ISNUMBER(SEARCH("FEMALE WARD",K336)), PROPER("FEMALE MEDICAL"),
TRUE, "Unmapped: " &amp; K336)</f>
        <v>Female Medical</v>
      </c>
      <c r="M336" t="s">
        <v>22</v>
      </c>
      <c r="O336" t="s">
        <v>1317</v>
      </c>
      <c r="P336" t="str">
        <f t="shared" si="45"/>
        <v>Text Error</v>
      </c>
      <c r="Q336" s="5">
        <v>46020.828576388885</v>
      </c>
      <c r="R336" t="str">
        <f t="shared" si="46"/>
        <v>Valid Date</v>
      </c>
      <c r="S336" t="s">
        <v>1318</v>
      </c>
      <c r="T336" s="5">
        <v>46025.79515046296</v>
      </c>
      <c r="U336">
        <v>4</v>
      </c>
      <c r="V336" t="str">
        <f t="shared" si="47"/>
        <v>OK</v>
      </c>
      <c r="W336" t="s">
        <v>112</v>
      </c>
      <c r="Y336" t="s">
        <v>30</v>
      </c>
    </row>
    <row r="337" spans="1:25" x14ac:dyDescent="0.25">
      <c r="A337" t="s">
        <v>1319</v>
      </c>
      <c r="B337" t="str">
        <f t="shared" si="41"/>
        <v>Robert Munzerele Nyamgenda</v>
      </c>
      <c r="C337">
        <v>39867</v>
      </c>
      <c r="D337" t="str">
        <f t="shared" si="40"/>
        <v>Unique</v>
      </c>
      <c r="E337" t="s">
        <v>948</v>
      </c>
      <c r="F337" s="3">
        <f t="shared" si="42"/>
        <v>83</v>
      </c>
      <c r="G337" t="s">
        <v>19</v>
      </c>
      <c r="H337" t="str">
        <f t="shared" si="43"/>
        <v>Valid</v>
      </c>
      <c r="I337" t="s">
        <v>227</v>
      </c>
      <c r="J337" t="str">
        <f t="shared" si="44"/>
        <v>KGG</v>
      </c>
      <c r="K337" t="s">
        <v>685</v>
      </c>
      <c r="L337" t="str" cm="1">
        <f t="array" ref="L337">_xlfn.IFS(
ISNUMBER(SEARCH("ICU",K337)), "ICU",
ISNUMBER(SEARCH("NEONATAL",K337)), PROPER("NEONATAL"),
ISNUMBER(SEARCH("LABOUR",K337)), PROPER("LABOUR"),
ISNUMBER(SEARCH("PAEDIATRIC",K337)), PROPER("PAEDIATRIC"),
ISNUMBER(SEARCH("FEMALE SURGICAL",K337)), PROPER("FEMALE SURG, ORTHO &amp; GYN"),
ISNUMBER(SEARCH("PSYCHIATRIST",K337)), PROPER("PSYCHIATRIST"),
ISNUMBER(SEARCH("GRADE 1",K337)), PROPER("GRADE 1"),
ISNUMBER(SEARCH("MALE SURGICAL",K337)), PROPER("MALE SURG &amp; ORTHOPEDIC"),
ISNUMBER(SEARCH("MALE MEDICAL",K337)), PROPER("MALE MEDICAL"),
ISNUMBER(SEARCH("GRADE 2",K337)), PROPER("GRADE 2"),
ISNUMBER(SEARCH("FEMALE WARD",K337)), PROPER("FEMALE MEDICAL"),
TRUE, "Unmapped: " &amp; K337)</f>
        <v>Grade 2</v>
      </c>
      <c r="M337" t="s">
        <v>394</v>
      </c>
      <c r="O337" t="s">
        <v>1320</v>
      </c>
      <c r="P337" t="str">
        <f t="shared" si="45"/>
        <v>Text Error</v>
      </c>
      <c r="Q337" s="5">
        <v>46020.936111111114</v>
      </c>
      <c r="R337" t="str">
        <f t="shared" si="46"/>
        <v>Valid Date</v>
      </c>
      <c r="S337" t="s">
        <v>1321</v>
      </c>
      <c r="T337" s="5">
        <v>46025.717974537038</v>
      </c>
      <c r="U337">
        <v>4</v>
      </c>
      <c r="V337" t="str">
        <f t="shared" si="47"/>
        <v>OK</v>
      </c>
      <c r="W337" t="s">
        <v>25</v>
      </c>
      <c r="Y337" t="s">
        <v>30</v>
      </c>
    </row>
    <row r="338" spans="1:25" x14ac:dyDescent="0.25">
      <c r="A338" t="s">
        <v>1322</v>
      </c>
      <c r="B338" t="str">
        <f t="shared" si="41"/>
        <v>Esterine Golagoza Shedrack</v>
      </c>
      <c r="C338">
        <v>126626</v>
      </c>
      <c r="D338" t="str">
        <f t="shared" si="40"/>
        <v>Unique</v>
      </c>
      <c r="E338" t="s">
        <v>208</v>
      </c>
      <c r="F338" s="3">
        <f t="shared" si="42"/>
        <v>50</v>
      </c>
      <c r="G338" t="s">
        <v>32</v>
      </c>
      <c r="H338" t="str">
        <f t="shared" si="43"/>
        <v>Valid</v>
      </c>
      <c r="I338" t="s">
        <v>260</v>
      </c>
      <c r="J338" t="str">
        <f t="shared" si="44"/>
        <v>Kasulu</v>
      </c>
      <c r="K338" t="s">
        <v>123</v>
      </c>
      <c r="L338" t="str" cm="1">
        <f t="array" ref="L338">_xlfn.IFS(
ISNUMBER(SEARCH("ICU",K338)), "ICU",
ISNUMBER(SEARCH("NEONATAL",K338)), PROPER("NEONATAL"),
ISNUMBER(SEARCH("LABOUR",K338)), PROPER("LABOUR"),
ISNUMBER(SEARCH("PAEDIATRIC",K338)), PROPER("PAEDIATRIC"),
ISNUMBER(SEARCH("FEMALE SURGICAL",K338)), PROPER("FEMALE SURG, ORTHO &amp; GYN"),
ISNUMBER(SEARCH("PSYCHIATRIST",K338)), PROPER("PSYCHIATRIST"),
ISNUMBER(SEARCH("GRADE 1",K338)), PROPER("GRADE 1"),
ISNUMBER(SEARCH("MALE SURGICAL",K338)), PROPER("MALE SURG &amp; ORTHOPEDIC"),
ISNUMBER(SEARCH("MALE MEDICAL",K338)), PROPER("MALE MEDICAL"),
ISNUMBER(SEARCH("GRADE 2",K338)), PROPER("GRADE 2"),
ISNUMBER(SEARCH("FEMALE WARD",K338)), PROPER("FEMALE MEDICAL"),
TRUE, "Unmapped: " &amp; K338)</f>
        <v>Female Surg, Ortho &amp; Gyn</v>
      </c>
      <c r="M338" t="s">
        <v>22</v>
      </c>
      <c r="O338" t="s">
        <v>1323</v>
      </c>
      <c r="P338" t="str">
        <f t="shared" si="45"/>
        <v>Text Error</v>
      </c>
      <c r="Q338" s="5">
        <v>46021.404108796298</v>
      </c>
      <c r="R338" t="str">
        <f t="shared" si="46"/>
        <v>Valid Date</v>
      </c>
      <c r="S338" t="s">
        <v>1324</v>
      </c>
      <c r="T338" s="5">
        <v>46025.643587962964</v>
      </c>
      <c r="U338">
        <v>4</v>
      </c>
      <c r="V338" t="str">
        <f t="shared" si="47"/>
        <v>OK</v>
      </c>
      <c r="W338" t="s">
        <v>25</v>
      </c>
      <c r="Y338" t="s">
        <v>30</v>
      </c>
    </row>
    <row r="339" spans="1:25" x14ac:dyDescent="0.25">
      <c r="A339" t="s">
        <v>1325</v>
      </c>
      <c r="B339" t="str">
        <f t="shared" si="41"/>
        <v>Johari Ramadhani Hussein</v>
      </c>
      <c r="C339">
        <v>126781</v>
      </c>
      <c r="D339" t="str">
        <f t="shared" si="40"/>
        <v>Duplicate</v>
      </c>
      <c r="E339" t="s">
        <v>39</v>
      </c>
      <c r="F339" s="3">
        <f t="shared" si="42"/>
        <v>33</v>
      </c>
      <c r="G339" t="s">
        <v>32</v>
      </c>
      <c r="H339" t="str">
        <f t="shared" si="43"/>
        <v>Valid</v>
      </c>
      <c r="I339" t="s">
        <v>33</v>
      </c>
      <c r="J339" t="str">
        <f t="shared" si="44"/>
        <v>Kigoma Ujiji Mc</v>
      </c>
      <c r="K339" t="s">
        <v>40</v>
      </c>
      <c r="L339" t="str" cm="1">
        <f t="array" ref="L339">_xlfn.IFS(
ISNUMBER(SEARCH("ICU",K339)), "ICU",
ISNUMBER(SEARCH("NEONATAL",K339)), PROPER("NEONATAL"),
ISNUMBER(SEARCH("LABOUR",K339)), PROPER("LABOUR"),
ISNUMBER(SEARCH("PAEDIATRIC",K339)), PROPER("PAEDIATRIC"),
ISNUMBER(SEARCH("FEMALE SURGICAL",K339)), PROPER("FEMALE SURG, ORTHO &amp; GYN"),
ISNUMBER(SEARCH("PSYCHIATRIST",K339)), PROPER("PSYCHIATRIST"),
ISNUMBER(SEARCH("GRADE 1",K339)), PROPER("GRADE 1"),
ISNUMBER(SEARCH("MALE SURGICAL",K339)), PROPER("MALE SURG &amp; ORTHOPEDIC"),
ISNUMBER(SEARCH("MALE MEDICAL",K339)), PROPER("MALE MEDICAL"),
ISNUMBER(SEARCH("GRADE 2",K339)), PROPER("GRADE 2"),
ISNUMBER(SEARCH("FEMALE WARD",K339)), PROPER("FEMALE MEDICAL"),
TRUE, "Unmapped: " &amp; K339)</f>
        <v>Labour</v>
      </c>
      <c r="M339" t="s">
        <v>22</v>
      </c>
      <c r="O339" t="s">
        <v>1326</v>
      </c>
      <c r="P339" t="str">
        <f t="shared" si="45"/>
        <v>Text Error</v>
      </c>
      <c r="Q339" s="5">
        <v>46021.494826388887</v>
      </c>
      <c r="R339" t="str">
        <f t="shared" si="46"/>
        <v>Valid Date</v>
      </c>
      <c r="S339" t="s">
        <v>1327</v>
      </c>
      <c r="T339" s="5">
        <v>46025.698020833333</v>
      </c>
      <c r="U339">
        <v>4</v>
      </c>
      <c r="V339" t="str">
        <f t="shared" si="47"/>
        <v>OK</v>
      </c>
      <c r="W339" t="s">
        <v>25</v>
      </c>
      <c r="Y339" t="s">
        <v>30</v>
      </c>
    </row>
    <row r="340" spans="1:25" x14ac:dyDescent="0.25">
      <c r="A340" t="s">
        <v>1328</v>
      </c>
      <c r="B340" t="str">
        <f t="shared" si="41"/>
        <v>Maisara Said Mussa</v>
      </c>
      <c r="C340">
        <v>126850</v>
      </c>
      <c r="D340" t="str">
        <f t="shared" si="40"/>
        <v>Unique</v>
      </c>
      <c r="E340" t="s">
        <v>80</v>
      </c>
      <c r="F340" s="3">
        <f t="shared" si="42"/>
        <v>24</v>
      </c>
      <c r="G340" t="s">
        <v>32</v>
      </c>
      <c r="H340" t="str">
        <f t="shared" si="43"/>
        <v>Valid</v>
      </c>
      <c r="I340" t="s">
        <v>62</v>
      </c>
      <c r="J340" t="str">
        <f t="shared" si="44"/>
        <v>Kigoma Vijijini</v>
      </c>
      <c r="K340" t="s">
        <v>40</v>
      </c>
      <c r="L340" t="str" cm="1">
        <f t="array" ref="L340">_xlfn.IFS(
ISNUMBER(SEARCH("ICU",K340)), "ICU",
ISNUMBER(SEARCH("NEONATAL",K340)), PROPER("NEONATAL"),
ISNUMBER(SEARCH("LABOUR",K340)), PROPER("LABOUR"),
ISNUMBER(SEARCH("PAEDIATRIC",K340)), PROPER("PAEDIATRIC"),
ISNUMBER(SEARCH("FEMALE SURGICAL",K340)), PROPER("FEMALE SURG, ORTHO &amp; GYN"),
ISNUMBER(SEARCH("PSYCHIATRIST",K340)), PROPER("PSYCHIATRIST"),
ISNUMBER(SEARCH("GRADE 1",K340)), PROPER("GRADE 1"),
ISNUMBER(SEARCH("MALE SURGICAL",K340)), PROPER("MALE SURG &amp; ORTHOPEDIC"),
ISNUMBER(SEARCH("MALE MEDICAL",K340)), PROPER("MALE MEDICAL"),
ISNUMBER(SEARCH("GRADE 2",K340)), PROPER("GRADE 2"),
ISNUMBER(SEARCH("FEMALE WARD",K340)), PROPER("FEMALE MEDICAL"),
TRUE, "Unmapped: " &amp; K340)</f>
        <v>Labour</v>
      </c>
      <c r="M340" t="s">
        <v>22</v>
      </c>
      <c r="O340" t="s">
        <v>1329</v>
      </c>
      <c r="P340" t="str">
        <f t="shared" si="45"/>
        <v>Text Error</v>
      </c>
      <c r="Q340" s="5">
        <v>46021.687025462961</v>
      </c>
      <c r="R340" t="str">
        <f t="shared" si="46"/>
        <v>Valid Date</v>
      </c>
      <c r="S340" t="s">
        <v>1330</v>
      </c>
      <c r="T340" s="5">
        <v>46026.67597222222</v>
      </c>
      <c r="U340">
        <v>4</v>
      </c>
      <c r="V340" t="str">
        <f t="shared" si="47"/>
        <v>OK</v>
      </c>
      <c r="W340" t="s">
        <v>25</v>
      </c>
      <c r="Y340" t="s">
        <v>30</v>
      </c>
    </row>
    <row r="341" spans="1:25" x14ac:dyDescent="0.25">
      <c r="A341" t="s">
        <v>1331</v>
      </c>
      <c r="B341" t="str">
        <f t="shared" si="41"/>
        <v>Mwavua Mussa Nkoyi</v>
      </c>
      <c r="C341">
        <v>126863</v>
      </c>
      <c r="D341" t="str">
        <f t="shared" si="40"/>
        <v>Unique</v>
      </c>
      <c r="E341" t="s">
        <v>215</v>
      </c>
      <c r="F341" s="3">
        <f t="shared" si="42"/>
        <v>25</v>
      </c>
      <c r="G341" t="s">
        <v>32</v>
      </c>
      <c r="H341" t="str">
        <f t="shared" si="43"/>
        <v>Valid</v>
      </c>
      <c r="I341" t="s">
        <v>62</v>
      </c>
      <c r="J341" t="str">
        <f t="shared" si="44"/>
        <v>Kigoma Vijijini</v>
      </c>
      <c r="K341" t="s">
        <v>40</v>
      </c>
      <c r="L341" t="str" cm="1">
        <f t="array" ref="L341">_xlfn.IFS(
ISNUMBER(SEARCH("ICU",K341)), "ICU",
ISNUMBER(SEARCH("NEONATAL",K341)), PROPER("NEONATAL"),
ISNUMBER(SEARCH("LABOUR",K341)), PROPER("LABOUR"),
ISNUMBER(SEARCH("PAEDIATRIC",K341)), PROPER("PAEDIATRIC"),
ISNUMBER(SEARCH("FEMALE SURGICAL",K341)), PROPER("FEMALE SURG, ORTHO &amp; GYN"),
ISNUMBER(SEARCH("PSYCHIATRIST",K341)), PROPER("PSYCHIATRIST"),
ISNUMBER(SEARCH("GRADE 1",K341)), PROPER("GRADE 1"),
ISNUMBER(SEARCH("MALE SURGICAL",K341)), PROPER("MALE SURG &amp; ORTHOPEDIC"),
ISNUMBER(SEARCH("MALE MEDICAL",K341)), PROPER("MALE MEDICAL"),
ISNUMBER(SEARCH("GRADE 2",K341)), PROPER("GRADE 2"),
ISNUMBER(SEARCH("FEMALE WARD",K341)), PROPER("FEMALE MEDICAL"),
TRUE, "Unmapped: " &amp; K341)</f>
        <v>Labour</v>
      </c>
      <c r="M341" t="s">
        <v>22</v>
      </c>
      <c r="O341" t="s">
        <v>1332</v>
      </c>
      <c r="P341" t="str">
        <f t="shared" si="45"/>
        <v>Text Error</v>
      </c>
      <c r="Q341" s="5">
        <v>46021.904733796298</v>
      </c>
      <c r="R341" t="str">
        <f t="shared" si="46"/>
        <v>Valid Date</v>
      </c>
      <c r="S341" t="s">
        <v>1333</v>
      </c>
      <c r="T341" s="5">
        <v>46026.647083333337</v>
      </c>
      <c r="U341">
        <v>4</v>
      </c>
      <c r="V341" t="str">
        <f t="shared" si="47"/>
        <v>OK</v>
      </c>
      <c r="W341" t="s">
        <v>25</v>
      </c>
      <c r="Y341" t="s">
        <v>30</v>
      </c>
    </row>
    <row r="342" spans="1:25" x14ac:dyDescent="0.25">
      <c r="A342" t="s">
        <v>1334</v>
      </c>
      <c r="B342" t="str">
        <f t="shared" si="41"/>
        <v>Lucia Saidi Idd</v>
      </c>
      <c r="C342">
        <v>126864</v>
      </c>
      <c r="D342" t="str">
        <f t="shared" si="40"/>
        <v>Unique</v>
      </c>
      <c r="E342" t="s">
        <v>142</v>
      </c>
      <c r="F342" s="3">
        <f t="shared" si="42"/>
        <v>20</v>
      </c>
      <c r="G342" t="s">
        <v>32</v>
      </c>
      <c r="H342" t="str">
        <f t="shared" si="43"/>
        <v>Valid</v>
      </c>
      <c r="I342" t="s">
        <v>33</v>
      </c>
      <c r="J342" t="str">
        <f t="shared" si="44"/>
        <v>Kigoma Ujiji Mc</v>
      </c>
      <c r="K342" t="s">
        <v>123</v>
      </c>
      <c r="L342" t="str" cm="1">
        <f t="array" ref="L342">_xlfn.IFS(
ISNUMBER(SEARCH("ICU",K342)), "ICU",
ISNUMBER(SEARCH("NEONATAL",K342)), PROPER("NEONATAL"),
ISNUMBER(SEARCH("LABOUR",K342)), PROPER("LABOUR"),
ISNUMBER(SEARCH("PAEDIATRIC",K342)), PROPER("PAEDIATRIC"),
ISNUMBER(SEARCH("FEMALE SURGICAL",K342)), PROPER("FEMALE SURG, ORTHO &amp; GYN"),
ISNUMBER(SEARCH("PSYCHIATRIST",K342)), PROPER("PSYCHIATRIST"),
ISNUMBER(SEARCH("GRADE 1",K342)), PROPER("GRADE 1"),
ISNUMBER(SEARCH("MALE SURGICAL",K342)), PROPER("MALE SURG &amp; ORTHOPEDIC"),
ISNUMBER(SEARCH("MALE MEDICAL",K342)), PROPER("MALE MEDICAL"),
ISNUMBER(SEARCH("GRADE 2",K342)), PROPER("GRADE 2"),
ISNUMBER(SEARCH("FEMALE WARD",K342)), PROPER("FEMALE MEDICAL"),
TRUE, "Unmapped: " &amp; K342)</f>
        <v>Female Surg, Ortho &amp; Gyn</v>
      </c>
      <c r="M342" t="s">
        <v>22</v>
      </c>
      <c r="O342" t="s">
        <v>1335</v>
      </c>
      <c r="P342" t="str">
        <f t="shared" si="45"/>
        <v>Text Error</v>
      </c>
      <c r="Q342" s="5">
        <v>46022.333148148151</v>
      </c>
      <c r="R342" t="str">
        <f t="shared" si="46"/>
        <v>Valid Date</v>
      </c>
      <c r="S342" t="s">
        <v>1336</v>
      </c>
      <c r="T342" s="5">
        <v>46026.651736111111</v>
      </c>
      <c r="U342">
        <v>4</v>
      </c>
      <c r="V342" t="str">
        <f t="shared" si="47"/>
        <v>OK</v>
      </c>
      <c r="W342" t="s">
        <v>112</v>
      </c>
      <c r="Y342" t="s">
        <v>30</v>
      </c>
    </row>
    <row r="343" spans="1:25" x14ac:dyDescent="0.25">
      <c r="A343" t="s">
        <v>1338</v>
      </c>
      <c r="B343" t="str">
        <f t="shared" si="41"/>
        <v>Ibrahim Hamimu Kasonga</v>
      </c>
      <c r="C343">
        <v>126691</v>
      </c>
      <c r="D343" t="str">
        <f t="shared" si="40"/>
        <v>Unique</v>
      </c>
      <c r="E343" t="s">
        <v>903</v>
      </c>
      <c r="F343" s="3">
        <f t="shared" si="42"/>
        <v>12</v>
      </c>
      <c r="G343" t="s">
        <v>19</v>
      </c>
      <c r="H343" t="str">
        <f t="shared" si="43"/>
        <v>Valid</v>
      </c>
      <c r="I343" t="s">
        <v>62</v>
      </c>
      <c r="J343" t="str">
        <f t="shared" si="44"/>
        <v>Kigoma Vijijini</v>
      </c>
      <c r="K343" t="s">
        <v>109</v>
      </c>
      <c r="L343" t="str" cm="1">
        <f t="array" ref="L343">_xlfn.IFS(
ISNUMBER(SEARCH("ICU",K343)), "ICU",
ISNUMBER(SEARCH("NEONATAL",K343)), PROPER("NEONATAL"),
ISNUMBER(SEARCH("LABOUR",K343)), PROPER("LABOUR"),
ISNUMBER(SEARCH("PAEDIATRIC",K343)), PROPER("PAEDIATRIC"),
ISNUMBER(SEARCH("FEMALE SURGICAL",K343)), PROPER("FEMALE SURG, ORTHO &amp; GYN"),
ISNUMBER(SEARCH("PSYCHIATRIST",K343)), PROPER("PSYCHIATRIST"),
ISNUMBER(SEARCH("GRADE 1",K343)), PROPER("GRADE 1"),
ISNUMBER(SEARCH("MALE SURGICAL",K343)), PROPER("MALE SURG &amp; ORTHOPEDIC"),
ISNUMBER(SEARCH("MALE MEDICAL",K343)), PROPER("MALE MEDICAL"),
ISNUMBER(SEARCH("GRADE 2",K343)), PROPER("GRADE 2"),
ISNUMBER(SEARCH("FEMALE WARD",K343)), PROPER("FEMALE MEDICAL"),
TRUE, "Unmapped: " &amp; K343)</f>
        <v>Paediatric</v>
      </c>
      <c r="M343" t="s">
        <v>22</v>
      </c>
      <c r="O343" t="s">
        <v>1339</v>
      </c>
      <c r="P343" t="str">
        <f t="shared" si="45"/>
        <v>Text Error</v>
      </c>
      <c r="Q343" s="5">
        <v>46022.598495370374</v>
      </c>
      <c r="R343" t="str">
        <f t="shared" si="46"/>
        <v>Valid Date</v>
      </c>
      <c r="S343" t="s">
        <v>1340</v>
      </c>
      <c r="T343" s="5">
        <v>46027.597569444442</v>
      </c>
      <c r="U343">
        <v>4</v>
      </c>
      <c r="V343" t="str">
        <f t="shared" si="47"/>
        <v>OK</v>
      </c>
      <c r="W343" t="s">
        <v>25</v>
      </c>
      <c r="Y343" t="s">
        <v>30</v>
      </c>
    </row>
    <row r="344" spans="1:25" x14ac:dyDescent="0.25">
      <c r="A344" t="s">
        <v>1341</v>
      </c>
      <c r="B344" t="str">
        <f t="shared" si="41"/>
        <v>Baby Of Juliana Eliewah Hassan</v>
      </c>
      <c r="C344">
        <v>126972</v>
      </c>
      <c r="D344" t="str">
        <f t="shared" si="40"/>
        <v>Unique</v>
      </c>
      <c r="E344" t="s">
        <v>622</v>
      </c>
      <c r="F344" s="3" t="str">
        <f t="shared" si="42"/>
        <v>2/12</v>
      </c>
      <c r="G344" t="s">
        <v>19</v>
      </c>
      <c r="H344" t="str">
        <f t="shared" si="43"/>
        <v>Valid</v>
      </c>
      <c r="I344" t="s">
        <v>62</v>
      </c>
      <c r="J344" t="str">
        <f t="shared" si="44"/>
        <v>Kigoma Vijijini</v>
      </c>
      <c r="K344" t="s">
        <v>21</v>
      </c>
      <c r="L344" t="str" cm="1">
        <f t="array" ref="L344">_xlfn.IFS(
ISNUMBER(SEARCH("ICU",K344)), "ICU",
ISNUMBER(SEARCH("NEONATAL",K344)), PROPER("NEONATAL"),
ISNUMBER(SEARCH("LABOUR",K344)), PROPER("LABOUR"),
ISNUMBER(SEARCH("PAEDIATRIC",K344)), PROPER("PAEDIATRIC"),
ISNUMBER(SEARCH("FEMALE SURGICAL",K344)), PROPER("FEMALE SURG, ORTHO &amp; GYN"),
ISNUMBER(SEARCH("PSYCHIATRIST",K344)), PROPER("PSYCHIATRIST"),
ISNUMBER(SEARCH("GRADE 1",K344)), PROPER("GRADE 1"),
ISNUMBER(SEARCH("MALE SURGICAL",K344)), PROPER("MALE SURG &amp; ORTHOPEDIC"),
ISNUMBER(SEARCH("MALE MEDICAL",K344)), PROPER("MALE MEDICAL"),
ISNUMBER(SEARCH("GRADE 2",K344)), PROPER("GRADE 2"),
ISNUMBER(SEARCH("FEMALE WARD",K344)), PROPER("FEMALE MEDICAL"),
TRUE, "Unmapped: " &amp; K344)</f>
        <v>Neonatal</v>
      </c>
      <c r="M344" t="s">
        <v>22</v>
      </c>
      <c r="O344" t="s">
        <v>1342</v>
      </c>
      <c r="P344" t="str">
        <f t="shared" si="45"/>
        <v>Text Error</v>
      </c>
      <c r="Q344" s="5">
        <v>46023.056342592594</v>
      </c>
      <c r="R344" t="str">
        <f t="shared" si="46"/>
        <v>Valid Date</v>
      </c>
      <c r="S344" t="s">
        <v>1343</v>
      </c>
      <c r="T344" s="5">
        <v>46027.772951388892</v>
      </c>
      <c r="U344">
        <v>4</v>
      </c>
      <c r="V344" t="str">
        <f t="shared" si="47"/>
        <v>OK</v>
      </c>
      <c r="W344" t="s">
        <v>25</v>
      </c>
      <c r="Y344" t="s">
        <v>30</v>
      </c>
    </row>
    <row r="345" spans="1:25" x14ac:dyDescent="0.25">
      <c r="A345" t="s">
        <v>1344</v>
      </c>
      <c r="B345" t="str">
        <f t="shared" si="41"/>
        <v>Rejina Paulo Athumani</v>
      </c>
      <c r="C345">
        <v>126980</v>
      </c>
      <c r="D345" t="str">
        <f t="shared" si="40"/>
        <v>Unique</v>
      </c>
      <c r="E345" t="s">
        <v>296</v>
      </c>
      <c r="F345" s="3">
        <f t="shared" si="42"/>
        <v>26</v>
      </c>
      <c r="G345" t="s">
        <v>32</v>
      </c>
      <c r="H345" t="str">
        <f t="shared" si="43"/>
        <v>Valid</v>
      </c>
      <c r="I345" t="s">
        <v>33</v>
      </c>
      <c r="J345" t="str">
        <f t="shared" si="44"/>
        <v>Kigoma Ujiji Mc</v>
      </c>
      <c r="K345" t="s">
        <v>123</v>
      </c>
      <c r="L345" t="str" cm="1">
        <f t="array" ref="L345">_xlfn.IFS(
ISNUMBER(SEARCH("ICU",K345)), "ICU",
ISNUMBER(SEARCH("NEONATAL",K345)), PROPER("NEONATAL"),
ISNUMBER(SEARCH("LABOUR",K345)), PROPER("LABOUR"),
ISNUMBER(SEARCH("PAEDIATRIC",K345)), PROPER("PAEDIATRIC"),
ISNUMBER(SEARCH("FEMALE SURGICAL",K345)), PROPER("FEMALE SURG, ORTHO &amp; GYN"),
ISNUMBER(SEARCH("PSYCHIATRIST",K345)), PROPER("PSYCHIATRIST"),
ISNUMBER(SEARCH("GRADE 1",K345)), PROPER("GRADE 1"),
ISNUMBER(SEARCH("MALE SURGICAL",K345)), PROPER("MALE SURG &amp; ORTHOPEDIC"),
ISNUMBER(SEARCH("MALE MEDICAL",K345)), PROPER("MALE MEDICAL"),
ISNUMBER(SEARCH("GRADE 2",K345)), PROPER("GRADE 2"),
ISNUMBER(SEARCH("FEMALE WARD",K345)), PROPER("FEMALE MEDICAL"),
TRUE, "Unmapped: " &amp; K345)</f>
        <v>Female Surg, Ortho &amp; Gyn</v>
      </c>
      <c r="M345" t="s">
        <v>22</v>
      </c>
      <c r="O345" t="s">
        <v>1345</v>
      </c>
      <c r="P345" t="str">
        <f t="shared" si="45"/>
        <v>Text Error</v>
      </c>
      <c r="Q345" s="5">
        <v>46023.652245370373</v>
      </c>
      <c r="R345" t="str">
        <f t="shared" si="46"/>
        <v>Valid Date</v>
      </c>
      <c r="S345" t="s">
        <v>1346</v>
      </c>
      <c r="T345" s="5">
        <v>46027.733946759261</v>
      </c>
      <c r="U345">
        <v>4</v>
      </c>
      <c r="V345" t="str">
        <f t="shared" si="47"/>
        <v>OK</v>
      </c>
      <c r="W345" t="s">
        <v>25</v>
      </c>
      <c r="Y345" t="s">
        <v>30</v>
      </c>
    </row>
    <row r="346" spans="1:25" x14ac:dyDescent="0.25">
      <c r="A346" t="s">
        <v>1347</v>
      </c>
      <c r="B346" t="str">
        <f t="shared" si="41"/>
        <v>B/o Anna Filipo 1 Nuhu</v>
      </c>
      <c r="C346">
        <v>127043</v>
      </c>
      <c r="D346" t="str">
        <f t="shared" si="40"/>
        <v>Unique</v>
      </c>
      <c r="E346" t="s">
        <v>622</v>
      </c>
      <c r="F346" s="3" t="str">
        <f t="shared" si="42"/>
        <v>2/12</v>
      </c>
      <c r="G346" t="s">
        <v>19</v>
      </c>
      <c r="H346" t="str">
        <f t="shared" si="43"/>
        <v>Valid</v>
      </c>
      <c r="I346" t="s">
        <v>62</v>
      </c>
      <c r="J346" t="str">
        <f t="shared" si="44"/>
        <v>Kigoma Vijijini</v>
      </c>
      <c r="K346" t="s">
        <v>21</v>
      </c>
      <c r="L346" t="str" cm="1">
        <f t="array" ref="L346">_xlfn.IFS(
ISNUMBER(SEARCH("ICU",K346)), "ICU",
ISNUMBER(SEARCH("NEONATAL",K346)), PROPER("NEONATAL"),
ISNUMBER(SEARCH("LABOUR",K346)), PROPER("LABOUR"),
ISNUMBER(SEARCH("PAEDIATRIC",K346)), PROPER("PAEDIATRIC"),
ISNUMBER(SEARCH("FEMALE SURGICAL",K346)), PROPER("FEMALE SURG, ORTHO &amp; GYN"),
ISNUMBER(SEARCH("PSYCHIATRIST",K346)), PROPER("PSYCHIATRIST"),
ISNUMBER(SEARCH("GRADE 1",K346)), PROPER("GRADE 1"),
ISNUMBER(SEARCH("MALE SURGICAL",K346)), PROPER("MALE SURG &amp; ORTHOPEDIC"),
ISNUMBER(SEARCH("MALE MEDICAL",K346)), PROPER("MALE MEDICAL"),
ISNUMBER(SEARCH("GRADE 2",K346)), PROPER("GRADE 2"),
ISNUMBER(SEARCH("FEMALE WARD",K346)), PROPER("FEMALE MEDICAL"),
TRUE, "Unmapped: " &amp; K346)</f>
        <v>Neonatal</v>
      </c>
      <c r="M346" t="s">
        <v>22</v>
      </c>
      <c r="O346" t="s">
        <v>1348</v>
      </c>
      <c r="P346" t="str">
        <f t="shared" si="45"/>
        <v>Text Error</v>
      </c>
      <c r="Q346" s="5">
        <v>46024.4375</v>
      </c>
      <c r="R346" t="str">
        <f t="shared" si="46"/>
        <v>Valid Date</v>
      </c>
      <c r="S346" t="s">
        <v>1349</v>
      </c>
      <c r="T346" s="5">
        <v>46028.552291666667</v>
      </c>
      <c r="U346">
        <v>4</v>
      </c>
      <c r="V346" t="str">
        <f t="shared" si="47"/>
        <v>OK</v>
      </c>
      <c r="W346" t="s">
        <v>211</v>
      </c>
      <c r="Y346" t="s">
        <v>30</v>
      </c>
    </row>
    <row r="347" spans="1:25" x14ac:dyDescent="0.25">
      <c r="A347" t="s">
        <v>1350</v>
      </c>
      <c r="B347" t="str">
        <f t="shared" si="41"/>
        <v>B/o Anna Filipo Nuhu</v>
      </c>
      <c r="C347">
        <v>127041</v>
      </c>
      <c r="D347" t="str">
        <f t="shared" si="40"/>
        <v>Unique</v>
      </c>
      <c r="E347" t="s">
        <v>622</v>
      </c>
      <c r="F347" s="3" t="str">
        <f t="shared" si="42"/>
        <v>2/12</v>
      </c>
      <c r="G347" t="s">
        <v>19</v>
      </c>
      <c r="H347" t="str">
        <f t="shared" si="43"/>
        <v>Valid</v>
      </c>
      <c r="I347" t="s">
        <v>62</v>
      </c>
      <c r="J347" t="str">
        <f t="shared" si="44"/>
        <v>Kigoma Vijijini</v>
      </c>
      <c r="K347" t="s">
        <v>21</v>
      </c>
      <c r="L347" t="str" cm="1">
        <f t="array" ref="L347">_xlfn.IFS(
ISNUMBER(SEARCH("ICU",K347)), "ICU",
ISNUMBER(SEARCH("NEONATAL",K347)), PROPER("NEONATAL"),
ISNUMBER(SEARCH("LABOUR",K347)), PROPER("LABOUR"),
ISNUMBER(SEARCH("PAEDIATRIC",K347)), PROPER("PAEDIATRIC"),
ISNUMBER(SEARCH("FEMALE SURGICAL",K347)), PROPER("FEMALE SURG, ORTHO &amp; GYN"),
ISNUMBER(SEARCH("PSYCHIATRIST",K347)), PROPER("PSYCHIATRIST"),
ISNUMBER(SEARCH("GRADE 1",K347)), PROPER("GRADE 1"),
ISNUMBER(SEARCH("MALE SURGICAL",K347)), PROPER("MALE SURG &amp; ORTHOPEDIC"),
ISNUMBER(SEARCH("MALE MEDICAL",K347)), PROPER("MALE MEDICAL"),
ISNUMBER(SEARCH("GRADE 2",K347)), PROPER("GRADE 2"),
ISNUMBER(SEARCH("FEMALE WARD",K347)), PROPER("FEMALE MEDICAL"),
TRUE, "Unmapped: " &amp; K347)</f>
        <v>Neonatal</v>
      </c>
      <c r="M347" t="s">
        <v>22</v>
      </c>
      <c r="O347" t="s">
        <v>1351</v>
      </c>
      <c r="P347" t="str">
        <f t="shared" si="45"/>
        <v>Text Error</v>
      </c>
      <c r="Q347" s="5">
        <v>46024.451238425929</v>
      </c>
      <c r="R347" t="str">
        <f t="shared" si="46"/>
        <v>Valid Date</v>
      </c>
      <c r="S347" t="s">
        <v>1352</v>
      </c>
      <c r="T347" s="5">
        <v>46028.552546296298</v>
      </c>
      <c r="U347">
        <v>4</v>
      </c>
      <c r="V347" t="str">
        <f t="shared" si="47"/>
        <v>OK</v>
      </c>
      <c r="W347" t="s">
        <v>211</v>
      </c>
      <c r="Y347" t="s">
        <v>30</v>
      </c>
    </row>
    <row r="348" spans="1:25" x14ac:dyDescent="0.25">
      <c r="A348" t="s">
        <v>1353</v>
      </c>
      <c r="B348" t="str">
        <f t="shared" si="41"/>
        <v>Fatuma Masudi Mohamed</v>
      </c>
      <c r="C348">
        <v>127118</v>
      </c>
      <c r="D348" t="str">
        <f t="shared" si="40"/>
        <v>Unique</v>
      </c>
      <c r="E348" t="s">
        <v>215</v>
      </c>
      <c r="F348" s="3">
        <f t="shared" si="42"/>
        <v>25</v>
      </c>
      <c r="G348" t="s">
        <v>32</v>
      </c>
      <c r="H348" t="str">
        <f t="shared" si="43"/>
        <v>Valid</v>
      </c>
      <c r="I348" t="s">
        <v>62</v>
      </c>
      <c r="J348" t="str">
        <f t="shared" si="44"/>
        <v>Kigoma Vijijini</v>
      </c>
      <c r="K348" t="s">
        <v>40</v>
      </c>
      <c r="L348" t="str" cm="1">
        <f t="array" ref="L348">_xlfn.IFS(
ISNUMBER(SEARCH("ICU",K348)), "ICU",
ISNUMBER(SEARCH("NEONATAL",K348)), PROPER("NEONATAL"),
ISNUMBER(SEARCH("LABOUR",K348)), PROPER("LABOUR"),
ISNUMBER(SEARCH("PAEDIATRIC",K348)), PROPER("PAEDIATRIC"),
ISNUMBER(SEARCH("FEMALE SURGICAL",K348)), PROPER("FEMALE SURG, ORTHO &amp; GYN"),
ISNUMBER(SEARCH("PSYCHIATRIST",K348)), PROPER("PSYCHIATRIST"),
ISNUMBER(SEARCH("GRADE 1",K348)), PROPER("GRADE 1"),
ISNUMBER(SEARCH("MALE SURGICAL",K348)), PROPER("MALE SURG &amp; ORTHOPEDIC"),
ISNUMBER(SEARCH("MALE MEDICAL",K348)), PROPER("MALE MEDICAL"),
ISNUMBER(SEARCH("GRADE 2",K348)), PROPER("GRADE 2"),
ISNUMBER(SEARCH("FEMALE WARD",K348)), PROPER("FEMALE MEDICAL"),
TRUE, "Unmapped: " &amp; K348)</f>
        <v>Labour</v>
      </c>
      <c r="M348" t="s">
        <v>22</v>
      </c>
      <c r="O348" t="s">
        <v>1354</v>
      </c>
      <c r="P348" t="str">
        <f t="shared" si="45"/>
        <v>Text Error</v>
      </c>
      <c r="Q348" s="5">
        <v>46024.768310185187</v>
      </c>
      <c r="R348" t="str">
        <f t="shared" si="46"/>
        <v>Valid Date</v>
      </c>
      <c r="S348" t="s">
        <v>1355</v>
      </c>
      <c r="T348" s="5">
        <v>46029.759016203701</v>
      </c>
      <c r="U348">
        <v>4</v>
      </c>
      <c r="V348" t="str">
        <f t="shared" si="47"/>
        <v>OK</v>
      </c>
      <c r="W348" t="s">
        <v>25</v>
      </c>
      <c r="Y348" t="s">
        <v>30</v>
      </c>
    </row>
    <row r="349" spans="1:25" x14ac:dyDescent="0.25">
      <c r="A349" t="s">
        <v>1356</v>
      </c>
      <c r="B349" t="str">
        <f t="shared" si="41"/>
        <v>Adriano Jonas Bavuma</v>
      </c>
      <c r="C349">
        <v>127122</v>
      </c>
      <c r="D349" t="str">
        <f t="shared" si="40"/>
        <v>Unique</v>
      </c>
      <c r="E349" t="s">
        <v>61</v>
      </c>
      <c r="F349" s="3">
        <f t="shared" si="42"/>
        <v>29</v>
      </c>
      <c r="G349" t="s">
        <v>19</v>
      </c>
      <c r="H349" t="str">
        <f t="shared" si="43"/>
        <v>Valid</v>
      </c>
      <c r="I349" t="s">
        <v>130</v>
      </c>
      <c r="J349" t="str">
        <f t="shared" si="44"/>
        <v>Buhigwe</v>
      </c>
      <c r="K349" t="s">
        <v>428</v>
      </c>
      <c r="L349" t="str" cm="1">
        <f t="array" ref="L349">_xlfn.IFS(
ISNUMBER(SEARCH("ICU",K349)), "ICU",
ISNUMBER(SEARCH("NEONATAL",K349)), PROPER("NEONATAL"),
ISNUMBER(SEARCH("LABOUR",K349)), PROPER("LABOUR"),
ISNUMBER(SEARCH("PAEDIATRIC",K349)), PROPER("PAEDIATRIC"),
ISNUMBER(SEARCH("FEMALE SURGICAL",K349)), PROPER("FEMALE SURG, ORTHO &amp; GYN"),
ISNUMBER(SEARCH("PSYCHIATRIST",K349)), PROPER("PSYCHIATRIST"),
ISNUMBER(SEARCH("GRADE 1",K349)), PROPER("GRADE 1"),
ISNUMBER(SEARCH("MALE SURGICAL",K349)), PROPER("MALE SURG &amp; ORTHOPEDIC"),
ISNUMBER(SEARCH("MALE MEDICAL",K349)), PROPER("MALE MEDICAL"),
ISNUMBER(SEARCH("GRADE 2",K349)), PROPER("GRADE 2"),
ISNUMBER(SEARCH("FEMALE WARD",K349)), PROPER("FEMALE MEDICAL"),
TRUE, "Unmapped: " &amp; K349)</f>
        <v>Male Surg &amp; Orthopedic</v>
      </c>
      <c r="M349" t="s">
        <v>22</v>
      </c>
      <c r="O349" t="s">
        <v>1357</v>
      </c>
      <c r="P349" t="str">
        <f t="shared" si="45"/>
        <v>Text Error</v>
      </c>
      <c r="Q349" s="5">
        <v>46025.000937500001</v>
      </c>
      <c r="R349" t="str">
        <f t="shared" si="46"/>
        <v>Valid Date</v>
      </c>
      <c r="S349" t="s">
        <v>1358</v>
      </c>
      <c r="T349" s="5">
        <v>46029.430381944447</v>
      </c>
      <c r="U349">
        <v>4</v>
      </c>
      <c r="V349" t="str">
        <f t="shared" si="47"/>
        <v>OK</v>
      </c>
      <c r="W349" t="s">
        <v>25</v>
      </c>
      <c r="Y349" t="s">
        <v>30</v>
      </c>
    </row>
    <row r="350" spans="1:25" x14ac:dyDescent="0.25">
      <c r="A350" t="s">
        <v>1359</v>
      </c>
      <c r="B350" t="str">
        <f t="shared" si="41"/>
        <v>Tobiasi Tumain Stephano</v>
      </c>
      <c r="C350">
        <v>127120</v>
      </c>
      <c r="D350" t="str">
        <f t="shared" si="40"/>
        <v>Unique</v>
      </c>
      <c r="E350" t="s">
        <v>138</v>
      </c>
      <c r="F350" s="3">
        <f t="shared" si="42"/>
        <v>18</v>
      </c>
      <c r="G350" t="s">
        <v>19</v>
      </c>
      <c r="H350" t="str">
        <f t="shared" si="43"/>
        <v>Valid</v>
      </c>
      <c r="I350" t="s">
        <v>130</v>
      </c>
      <c r="J350" t="str">
        <f t="shared" si="44"/>
        <v>Buhigwe</v>
      </c>
      <c r="K350" t="s">
        <v>428</v>
      </c>
      <c r="L350" t="str" cm="1">
        <f t="array" ref="L350">_xlfn.IFS(
ISNUMBER(SEARCH("ICU",K350)), "ICU",
ISNUMBER(SEARCH("NEONATAL",K350)), PROPER("NEONATAL"),
ISNUMBER(SEARCH("LABOUR",K350)), PROPER("LABOUR"),
ISNUMBER(SEARCH("PAEDIATRIC",K350)), PROPER("PAEDIATRIC"),
ISNUMBER(SEARCH("FEMALE SURGICAL",K350)), PROPER("FEMALE SURG, ORTHO &amp; GYN"),
ISNUMBER(SEARCH("PSYCHIATRIST",K350)), PROPER("PSYCHIATRIST"),
ISNUMBER(SEARCH("GRADE 1",K350)), PROPER("GRADE 1"),
ISNUMBER(SEARCH("MALE SURGICAL",K350)), PROPER("MALE SURG &amp; ORTHOPEDIC"),
ISNUMBER(SEARCH("MALE MEDICAL",K350)), PROPER("MALE MEDICAL"),
ISNUMBER(SEARCH("GRADE 2",K350)), PROPER("GRADE 2"),
ISNUMBER(SEARCH("FEMALE WARD",K350)), PROPER("FEMALE MEDICAL"),
TRUE, "Unmapped: " &amp; K350)</f>
        <v>Male Surg &amp; Orthopedic</v>
      </c>
      <c r="M350" t="s">
        <v>22</v>
      </c>
      <c r="O350" t="s">
        <v>1360</v>
      </c>
      <c r="P350" t="str">
        <f t="shared" si="45"/>
        <v>Text Error</v>
      </c>
      <c r="Q350" s="5">
        <v>46025.063877314817</v>
      </c>
      <c r="R350" t="str">
        <f t="shared" si="46"/>
        <v>Valid Date</v>
      </c>
      <c r="S350" t="s">
        <v>1361</v>
      </c>
      <c r="T350" s="5">
        <v>46029.735555555555</v>
      </c>
      <c r="U350">
        <v>4</v>
      </c>
      <c r="V350" t="str">
        <f t="shared" si="47"/>
        <v>OK</v>
      </c>
      <c r="W350" t="s">
        <v>25</v>
      </c>
      <c r="Y350" t="s">
        <v>30</v>
      </c>
    </row>
    <row r="351" spans="1:25" x14ac:dyDescent="0.25">
      <c r="A351" t="s">
        <v>1362</v>
      </c>
      <c r="B351" t="str">
        <f t="shared" si="41"/>
        <v>Juma Adam Malilo</v>
      </c>
      <c r="C351">
        <v>127139</v>
      </c>
      <c r="D351" t="str">
        <f t="shared" si="40"/>
        <v>Unique</v>
      </c>
      <c r="E351" t="s">
        <v>18</v>
      </c>
      <c r="F351" s="3">
        <f t="shared" si="42"/>
        <v>1</v>
      </c>
      <c r="G351" t="s">
        <v>19</v>
      </c>
      <c r="H351" t="str">
        <f t="shared" si="43"/>
        <v>Valid</v>
      </c>
      <c r="I351" t="s">
        <v>33</v>
      </c>
      <c r="J351" t="str">
        <f t="shared" si="44"/>
        <v>Kigoma Ujiji Mc</v>
      </c>
      <c r="K351" t="s">
        <v>109</v>
      </c>
      <c r="L351" t="str" cm="1">
        <f t="array" ref="L351">_xlfn.IFS(
ISNUMBER(SEARCH("ICU",K351)), "ICU",
ISNUMBER(SEARCH("NEONATAL",K351)), PROPER("NEONATAL"),
ISNUMBER(SEARCH("LABOUR",K351)), PROPER("LABOUR"),
ISNUMBER(SEARCH("PAEDIATRIC",K351)), PROPER("PAEDIATRIC"),
ISNUMBER(SEARCH("FEMALE SURGICAL",K351)), PROPER("FEMALE SURG, ORTHO &amp; GYN"),
ISNUMBER(SEARCH("PSYCHIATRIST",K351)), PROPER("PSYCHIATRIST"),
ISNUMBER(SEARCH("GRADE 1",K351)), PROPER("GRADE 1"),
ISNUMBER(SEARCH("MALE SURGICAL",K351)), PROPER("MALE SURG &amp; ORTHOPEDIC"),
ISNUMBER(SEARCH("MALE MEDICAL",K351)), PROPER("MALE MEDICAL"),
ISNUMBER(SEARCH("GRADE 2",K351)), PROPER("GRADE 2"),
ISNUMBER(SEARCH("FEMALE WARD",K351)), PROPER("FEMALE MEDICAL"),
TRUE, "Unmapped: " &amp; K351)</f>
        <v>Paediatric</v>
      </c>
      <c r="M351" t="s">
        <v>22</v>
      </c>
      <c r="O351" t="s">
        <v>1363</v>
      </c>
      <c r="P351" t="str">
        <f t="shared" si="45"/>
        <v>Text Error</v>
      </c>
      <c r="Q351" s="5">
        <v>46025.281967592593</v>
      </c>
      <c r="R351" t="str">
        <f t="shared" si="46"/>
        <v>Valid Date</v>
      </c>
      <c r="S351" t="s">
        <v>1364</v>
      </c>
      <c r="T351" s="5">
        <v>46029.670312499999</v>
      </c>
      <c r="U351">
        <v>4</v>
      </c>
      <c r="V351" t="str">
        <f t="shared" si="47"/>
        <v>OK</v>
      </c>
      <c r="W351" t="s">
        <v>112</v>
      </c>
      <c r="Y351" t="s">
        <v>30</v>
      </c>
    </row>
    <row r="352" spans="1:25" x14ac:dyDescent="0.25">
      <c r="A352" t="s">
        <v>1365</v>
      </c>
      <c r="B352" t="str">
        <f t="shared" si="41"/>
        <v>Ashura Jumanne Nelson</v>
      </c>
      <c r="C352">
        <v>127193</v>
      </c>
      <c r="D352" t="str">
        <f t="shared" si="40"/>
        <v>Unique</v>
      </c>
      <c r="E352" t="s">
        <v>142</v>
      </c>
      <c r="F352" s="3">
        <f t="shared" si="42"/>
        <v>20</v>
      </c>
      <c r="G352" t="s">
        <v>32</v>
      </c>
      <c r="H352" t="str">
        <f t="shared" si="43"/>
        <v>Valid</v>
      </c>
      <c r="I352" t="s">
        <v>62</v>
      </c>
      <c r="J352" t="str">
        <f t="shared" si="44"/>
        <v>Kigoma Vijijini</v>
      </c>
      <c r="K352" t="s">
        <v>40</v>
      </c>
      <c r="L352" t="str" cm="1">
        <f t="array" ref="L352">_xlfn.IFS(
ISNUMBER(SEARCH("ICU",K352)), "ICU",
ISNUMBER(SEARCH("NEONATAL",K352)), PROPER("NEONATAL"),
ISNUMBER(SEARCH("LABOUR",K352)), PROPER("LABOUR"),
ISNUMBER(SEARCH("PAEDIATRIC",K352)), PROPER("PAEDIATRIC"),
ISNUMBER(SEARCH("FEMALE SURGICAL",K352)), PROPER("FEMALE SURG, ORTHO &amp; GYN"),
ISNUMBER(SEARCH("PSYCHIATRIST",K352)), PROPER("PSYCHIATRIST"),
ISNUMBER(SEARCH("GRADE 1",K352)), PROPER("GRADE 1"),
ISNUMBER(SEARCH("MALE SURGICAL",K352)), PROPER("MALE SURG &amp; ORTHOPEDIC"),
ISNUMBER(SEARCH("MALE MEDICAL",K352)), PROPER("MALE MEDICAL"),
ISNUMBER(SEARCH("GRADE 2",K352)), PROPER("GRADE 2"),
ISNUMBER(SEARCH("FEMALE WARD",K352)), PROPER("FEMALE MEDICAL"),
TRUE, "Unmapped: " &amp; K352)</f>
        <v>Labour</v>
      </c>
      <c r="M352" t="s">
        <v>22</v>
      </c>
      <c r="O352" t="s">
        <v>1366</v>
      </c>
      <c r="P352" t="str">
        <f t="shared" si="45"/>
        <v>Text Error</v>
      </c>
      <c r="Q352" s="5">
        <v>46025.870798611111</v>
      </c>
      <c r="R352" t="str">
        <f t="shared" si="46"/>
        <v>Valid Date</v>
      </c>
      <c r="S352" t="s">
        <v>1367</v>
      </c>
      <c r="T352" s="5">
        <v>46030.619212962964</v>
      </c>
      <c r="U352">
        <v>4</v>
      </c>
      <c r="V352" t="str">
        <f t="shared" si="47"/>
        <v>OK</v>
      </c>
      <c r="W352" t="s">
        <v>25</v>
      </c>
      <c r="Y352" t="s">
        <v>30</v>
      </c>
    </row>
    <row r="353" spans="1:25" x14ac:dyDescent="0.25">
      <c r="A353" t="s">
        <v>1368</v>
      </c>
      <c r="B353" t="str">
        <f t="shared" si="41"/>
        <v>Nasri Athuman Daud</v>
      </c>
      <c r="C353">
        <v>127211</v>
      </c>
      <c r="D353" t="str">
        <f t="shared" si="40"/>
        <v>Unique</v>
      </c>
      <c r="E353" t="s">
        <v>18</v>
      </c>
      <c r="F353" s="3">
        <f t="shared" si="42"/>
        <v>1</v>
      </c>
      <c r="G353" t="s">
        <v>19</v>
      </c>
      <c r="H353" t="str">
        <f t="shared" si="43"/>
        <v>Valid</v>
      </c>
      <c r="I353" t="s">
        <v>33</v>
      </c>
      <c r="J353" t="str">
        <f t="shared" si="44"/>
        <v>Kigoma Ujiji Mc</v>
      </c>
      <c r="K353" t="s">
        <v>109</v>
      </c>
      <c r="L353" t="str" cm="1">
        <f t="array" ref="L353">_xlfn.IFS(
ISNUMBER(SEARCH("ICU",K353)), "ICU",
ISNUMBER(SEARCH("NEONATAL",K353)), PROPER("NEONATAL"),
ISNUMBER(SEARCH("LABOUR",K353)), PROPER("LABOUR"),
ISNUMBER(SEARCH("PAEDIATRIC",K353)), PROPER("PAEDIATRIC"),
ISNUMBER(SEARCH("FEMALE SURGICAL",K353)), PROPER("FEMALE SURG, ORTHO &amp; GYN"),
ISNUMBER(SEARCH("PSYCHIATRIST",K353)), PROPER("PSYCHIATRIST"),
ISNUMBER(SEARCH("GRADE 1",K353)), PROPER("GRADE 1"),
ISNUMBER(SEARCH("MALE SURGICAL",K353)), PROPER("MALE SURG &amp; ORTHOPEDIC"),
ISNUMBER(SEARCH("MALE MEDICAL",K353)), PROPER("MALE MEDICAL"),
ISNUMBER(SEARCH("GRADE 2",K353)), PROPER("GRADE 2"),
ISNUMBER(SEARCH("FEMALE WARD",K353)), PROPER("FEMALE MEDICAL"),
TRUE, "Unmapped: " &amp; K353)</f>
        <v>Paediatric</v>
      </c>
      <c r="M353" t="s">
        <v>22</v>
      </c>
      <c r="O353" t="s">
        <v>1369</v>
      </c>
      <c r="P353" t="str">
        <f t="shared" si="45"/>
        <v>Text Error</v>
      </c>
      <c r="Q353" s="5">
        <v>46026.531793981485</v>
      </c>
      <c r="R353" t="str">
        <f t="shared" si="46"/>
        <v>Valid Date</v>
      </c>
      <c r="S353" t="s">
        <v>1370</v>
      </c>
      <c r="T353" s="5">
        <v>46030.62699074074</v>
      </c>
      <c r="U353">
        <v>4</v>
      </c>
      <c r="V353" t="str">
        <f t="shared" si="47"/>
        <v>OK</v>
      </c>
      <c r="W353" t="s">
        <v>25</v>
      </c>
      <c r="Y353" t="s">
        <v>30</v>
      </c>
    </row>
    <row r="354" spans="1:25" x14ac:dyDescent="0.25">
      <c r="A354" t="s">
        <v>1371</v>
      </c>
      <c r="B354" t="str">
        <f t="shared" si="41"/>
        <v>Ombeni Ngoma Charly</v>
      </c>
      <c r="C354">
        <v>127209</v>
      </c>
      <c r="D354" t="str">
        <f t="shared" si="40"/>
        <v>Unique</v>
      </c>
      <c r="E354" t="s">
        <v>285</v>
      </c>
      <c r="F354" s="3">
        <f t="shared" si="42"/>
        <v>38</v>
      </c>
      <c r="G354" t="s">
        <v>32</v>
      </c>
      <c r="H354" t="str">
        <f t="shared" si="43"/>
        <v>Valid</v>
      </c>
      <c r="I354" t="s">
        <v>33</v>
      </c>
      <c r="J354" t="str">
        <f t="shared" si="44"/>
        <v>Kigoma Ujiji Mc</v>
      </c>
      <c r="K354" t="s">
        <v>123</v>
      </c>
      <c r="L354" t="str" cm="1">
        <f t="array" ref="L354">_xlfn.IFS(
ISNUMBER(SEARCH("ICU",K354)), "ICU",
ISNUMBER(SEARCH("NEONATAL",K354)), PROPER("NEONATAL"),
ISNUMBER(SEARCH("LABOUR",K354)), PROPER("LABOUR"),
ISNUMBER(SEARCH("PAEDIATRIC",K354)), PROPER("PAEDIATRIC"),
ISNUMBER(SEARCH("FEMALE SURGICAL",K354)), PROPER("FEMALE SURG, ORTHO &amp; GYN"),
ISNUMBER(SEARCH("PSYCHIATRIST",K354)), PROPER("PSYCHIATRIST"),
ISNUMBER(SEARCH("GRADE 1",K354)), PROPER("GRADE 1"),
ISNUMBER(SEARCH("MALE SURGICAL",K354)), PROPER("MALE SURG &amp; ORTHOPEDIC"),
ISNUMBER(SEARCH("MALE MEDICAL",K354)), PROPER("MALE MEDICAL"),
ISNUMBER(SEARCH("GRADE 2",K354)), PROPER("GRADE 2"),
ISNUMBER(SEARCH("FEMALE WARD",K354)), PROPER("FEMALE MEDICAL"),
TRUE, "Unmapped: " &amp; K354)</f>
        <v>Female Surg, Ortho &amp; Gyn</v>
      </c>
      <c r="M354" t="s">
        <v>216</v>
      </c>
      <c r="O354" t="s">
        <v>1372</v>
      </c>
      <c r="P354" t="str">
        <f t="shared" si="45"/>
        <v>Text Error</v>
      </c>
      <c r="Q354" s="5">
        <v>46026.562094907407</v>
      </c>
      <c r="R354" t="str">
        <f t="shared" si="46"/>
        <v>Valid Date</v>
      </c>
      <c r="S354" t="s">
        <v>1373</v>
      </c>
      <c r="T354" s="5">
        <v>46030.741574074076</v>
      </c>
      <c r="U354">
        <v>4</v>
      </c>
      <c r="V354" t="str">
        <f t="shared" si="47"/>
        <v>OK</v>
      </c>
      <c r="W354" t="s">
        <v>25</v>
      </c>
      <c r="Y354" t="s">
        <v>30</v>
      </c>
    </row>
    <row r="355" spans="1:25" x14ac:dyDescent="0.25">
      <c r="A355" t="s">
        <v>1374</v>
      </c>
      <c r="B355" t="str">
        <f t="shared" si="41"/>
        <v>Goodluck B Mlela</v>
      </c>
      <c r="C355">
        <v>127256</v>
      </c>
      <c r="D355" t="str">
        <f t="shared" si="40"/>
        <v>Unique</v>
      </c>
      <c r="E355" t="s">
        <v>18</v>
      </c>
      <c r="F355" s="3">
        <f t="shared" si="42"/>
        <v>1</v>
      </c>
      <c r="G355" t="s">
        <v>19</v>
      </c>
      <c r="H355" t="str">
        <f t="shared" si="43"/>
        <v>Valid</v>
      </c>
      <c r="I355" t="s">
        <v>33</v>
      </c>
      <c r="J355" t="str">
        <f t="shared" si="44"/>
        <v>Kigoma Ujiji Mc</v>
      </c>
      <c r="K355" t="s">
        <v>109</v>
      </c>
      <c r="L355" t="str" cm="1">
        <f t="array" ref="L355">_xlfn.IFS(
ISNUMBER(SEARCH("ICU",K355)), "ICU",
ISNUMBER(SEARCH("NEONATAL",K355)), PROPER("NEONATAL"),
ISNUMBER(SEARCH("LABOUR",K355)), PROPER("LABOUR"),
ISNUMBER(SEARCH("PAEDIATRIC",K355)), PROPER("PAEDIATRIC"),
ISNUMBER(SEARCH("FEMALE SURGICAL",K355)), PROPER("FEMALE SURG, ORTHO &amp; GYN"),
ISNUMBER(SEARCH("PSYCHIATRIST",K355)), PROPER("PSYCHIATRIST"),
ISNUMBER(SEARCH("GRADE 1",K355)), PROPER("GRADE 1"),
ISNUMBER(SEARCH("MALE SURGICAL",K355)), PROPER("MALE SURG &amp; ORTHOPEDIC"),
ISNUMBER(SEARCH("MALE MEDICAL",K355)), PROPER("MALE MEDICAL"),
ISNUMBER(SEARCH("GRADE 2",K355)), PROPER("GRADE 2"),
ISNUMBER(SEARCH("FEMALE WARD",K355)), PROPER("FEMALE MEDICAL"),
TRUE, "Unmapped: " &amp; K355)</f>
        <v>Paediatric</v>
      </c>
      <c r="M355" t="s">
        <v>394</v>
      </c>
      <c r="O355" t="s">
        <v>1375</v>
      </c>
      <c r="P355" t="str">
        <f t="shared" si="45"/>
        <v>Text Error</v>
      </c>
      <c r="Q355" s="5">
        <v>46027.547395833331</v>
      </c>
      <c r="R355" t="str">
        <f t="shared" si="46"/>
        <v>Valid Date</v>
      </c>
      <c r="S355" t="s">
        <v>1376</v>
      </c>
      <c r="T355" s="5">
        <v>46032.481863425928</v>
      </c>
      <c r="U355">
        <v>4</v>
      </c>
      <c r="V355" t="str">
        <f t="shared" si="47"/>
        <v>OK</v>
      </c>
      <c r="W355" t="s">
        <v>25</v>
      </c>
      <c r="Y355" t="s">
        <v>30</v>
      </c>
    </row>
    <row r="356" spans="1:25" x14ac:dyDescent="0.25">
      <c r="A356" t="s">
        <v>1377</v>
      </c>
      <c r="B356" t="str">
        <f t="shared" si="41"/>
        <v>Lameck Rukobola Yonona</v>
      </c>
      <c r="C356">
        <v>20482</v>
      </c>
      <c r="D356" t="str">
        <f t="shared" si="40"/>
        <v>Unique</v>
      </c>
      <c r="E356" t="s">
        <v>1378</v>
      </c>
      <c r="F356" s="3">
        <f t="shared" si="42"/>
        <v>75</v>
      </c>
      <c r="G356" t="s">
        <v>19</v>
      </c>
      <c r="H356" t="str">
        <f t="shared" si="43"/>
        <v>Valid</v>
      </c>
      <c r="I356" t="s">
        <v>33</v>
      </c>
      <c r="J356" t="str">
        <f t="shared" si="44"/>
        <v>Kigoma Ujiji Mc</v>
      </c>
      <c r="K356" t="s">
        <v>685</v>
      </c>
      <c r="L356" t="str" cm="1">
        <f t="array" ref="L356">_xlfn.IFS(
ISNUMBER(SEARCH("ICU",K356)), "ICU",
ISNUMBER(SEARCH("NEONATAL",K356)), PROPER("NEONATAL"),
ISNUMBER(SEARCH("LABOUR",K356)), PROPER("LABOUR"),
ISNUMBER(SEARCH("PAEDIATRIC",K356)), PROPER("PAEDIATRIC"),
ISNUMBER(SEARCH("FEMALE SURGICAL",K356)), PROPER("FEMALE SURG, ORTHO &amp; GYN"),
ISNUMBER(SEARCH("PSYCHIATRIST",K356)), PROPER("PSYCHIATRIST"),
ISNUMBER(SEARCH("GRADE 1",K356)), PROPER("GRADE 1"),
ISNUMBER(SEARCH("MALE SURGICAL",K356)), PROPER("MALE SURG &amp; ORTHOPEDIC"),
ISNUMBER(SEARCH("MALE MEDICAL",K356)), PROPER("MALE MEDICAL"),
ISNUMBER(SEARCH("GRADE 2",K356)), PROPER("GRADE 2"),
ISNUMBER(SEARCH("FEMALE WARD",K356)), PROPER("FEMALE MEDICAL"),
TRUE, "Unmapped: " &amp; K356)</f>
        <v>Grade 2</v>
      </c>
      <c r="M356" t="s">
        <v>394</v>
      </c>
      <c r="O356" t="s">
        <v>1379</v>
      </c>
      <c r="P356" t="str">
        <f t="shared" si="45"/>
        <v>Text Error</v>
      </c>
      <c r="Q356" s="5">
        <v>46027.560312499998</v>
      </c>
      <c r="R356" t="str">
        <f t="shared" si="46"/>
        <v>Valid Date</v>
      </c>
      <c r="S356" t="s">
        <v>1380</v>
      </c>
      <c r="T356" s="5">
        <v>46031.699259259258</v>
      </c>
      <c r="U356">
        <v>4</v>
      </c>
      <c r="V356" t="str">
        <f t="shared" si="47"/>
        <v>OK</v>
      </c>
      <c r="W356" t="s">
        <v>397</v>
      </c>
      <c r="Y356" t="s">
        <v>30</v>
      </c>
    </row>
    <row r="357" spans="1:25" x14ac:dyDescent="0.25">
      <c r="A357" t="s">
        <v>1381</v>
      </c>
      <c r="B357" t="str">
        <f t="shared" si="41"/>
        <v>Koletha Venant Yohana</v>
      </c>
      <c r="C357">
        <v>7288</v>
      </c>
      <c r="D357" t="str">
        <f t="shared" si="40"/>
        <v>Unique</v>
      </c>
      <c r="E357" t="s">
        <v>39</v>
      </c>
      <c r="F357" s="3">
        <f t="shared" si="42"/>
        <v>33</v>
      </c>
      <c r="G357" t="s">
        <v>32</v>
      </c>
      <c r="H357" t="str">
        <f t="shared" si="43"/>
        <v>Valid</v>
      </c>
      <c r="I357" t="s">
        <v>754</v>
      </c>
      <c r="J357" t="str">
        <f t="shared" si="44"/>
        <v>KG</v>
      </c>
      <c r="K357" t="s">
        <v>123</v>
      </c>
      <c r="L357" t="str" cm="1">
        <f t="array" ref="L357">_xlfn.IFS(
ISNUMBER(SEARCH("ICU",K357)), "ICU",
ISNUMBER(SEARCH("NEONATAL",K357)), PROPER("NEONATAL"),
ISNUMBER(SEARCH("LABOUR",K357)), PROPER("LABOUR"),
ISNUMBER(SEARCH("PAEDIATRIC",K357)), PROPER("PAEDIATRIC"),
ISNUMBER(SEARCH("FEMALE SURGICAL",K357)), PROPER("FEMALE SURG, ORTHO &amp; GYN"),
ISNUMBER(SEARCH("PSYCHIATRIST",K357)), PROPER("PSYCHIATRIST"),
ISNUMBER(SEARCH("GRADE 1",K357)), PROPER("GRADE 1"),
ISNUMBER(SEARCH("MALE SURGICAL",K357)), PROPER("MALE SURG &amp; ORTHOPEDIC"),
ISNUMBER(SEARCH("MALE MEDICAL",K357)), PROPER("MALE MEDICAL"),
ISNUMBER(SEARCH("GRADE 2",K357)), PROPER("GRADE 2"),
ISNUMBER(SEARCH("FEMALE WARD",K357)), PROPER("FEMALE MEDICAL"),
TRUE, "Unmapped: " &amp; K357)</f>
        <v>Female Surg, Ortho &amp; Gyn</v>
      </c>
      <c r="M357" t="s">
        <v>394</v>
      </c>
      <c r="O357" t="s">
        <v>1382</v>
      </c>
      <c r="P357" t="str">
        <f t="shared" si="45"/>
        <v>Text Error</v>
      </c>
      <c r="Q357" s="5">
        <v>46027.585972222223</v>
      </c>
      <c r="R357" t="str">
        <f t="shared" si="46"/>
        <v>Valid Date</v>
      </c>
      <c r="S357" t="s">
        <v>1383</v>
      </c>
      <c r="T357" s="5">
        <v>46031.586631944447</v>
      </c>
      <c r="U357">
        <v>4</v>
      </c>
      <c r="V357" t="str">
        <f t="shared" si="47"/>
        <v>OK</v>
      </c>
      <c r="W357" t="s">
        <v>25</v>
      </c>
      <c r="Y357" t="s">
        <v>30</v>
      </c>
    </row>
    <row r="358" spans="1:25" x14ac:dyDescent="0.25">
      <c r="A358" t="s">
        <v>1385</v>
      </c>
      <c r="B358" t="str">
        <f t="shared" si="41"/>
        <v>Hawa Sudi Daud</v>
      </c>
      <c r="C358">
        <v>76104</v>
      </c>
      <c r="D358" t="str">
        <f t="shared" si="40"/>
        <v>Unique</v>
      </c>
      <c r="E358" t="s">
        <v>108</v>
      </c>
      <c r="F358" s="3">
        <f t="shared" si="42"/>
        <v>2</v>
      </c>
      <c r="G358" t="s">
        <v>32</v>
      </c>
      <c r="H358" t="str">
        <f t="shared" si="43"/>
        <v>Valid</v>
      </c>
      <c r="I358" t="s">
        <v>227</v>
      </c>
      <c r="J358" t="str">
        <f t="shared" si="44"/>
        <v>KGG</v>
      </c>
      <c r="K358" t="s">
        <v>109</v>
      </c>
      <c r="L358" t="str" cm="1">
        <f t="array" ref="L358">_xlfn.IFS(
ISNUMBER(SEARCH("ICU",K358)), "ICU",
ISNUMBER(SEARCH("NEONATAL",K358)), PROPER("NEONATAL"),
ISNUMBER(SEARCH("LABOUR",K358)), PROPER("LABOUR"),
ISNUMBER(SEARCH("PAEDIATRIC",K358)), PROPER("PAEDIATRIC"),
ISNUMBER(SEARCH("FEMALE SURGICAL",K358)), PROPER("FEMALE SURG, ORTHO &amp; GYN"),
ISNUMBER(SEARCH("PSYCHIATRIST",K358)), PROPER("PSYCHIATRIST"),
ISNUMBER(SEARCH("GRADE 1",K358)), PROPER("GRADE 1"),
ISNUMBER(SEARCH("MALE SURGICAL",K358)), PROPER("MALE SURG &amp; ORTHOPEDIC"),
ISNUMBER(SEARCH("MALE MEDICAL",K358)), PROPER("MALE MEDICAL"),
ISNUMBER(SEARCH("GRADE 2",K358)), PROPER("GRADE 2"),
ISNUMBER(SEARCH("FEMALE WARD",K358)), PROPER("FEMALE MEDICAL"),
TRUE, "Unmapped: " &amp; K358)</f>
        <v>Paediatric</v>
      </c>
      <c r="M358" t="s">
        <v>22</v>
      </c>
      <c r="O358" t="s">
        <v>1386</v>
      </c>
      <c r="P358" t="str">
        <f t="shared" si="45"/>
        <v>Text Error</v>
      </c>
      <c r="Q358" s="5">
        <v>46027.782997685186</v>
      </c>
      <c r="R358" t="str">
        <f t="shared" si="46"/>
        <v>Valid Date</v>
      </c>
      <c r="S358" t="s">
        <v>1387</v>
      </c>
      <c r="T358" s="5">
        <v>46032.763831018521</v>
      </c>
      <c r="U358">
        <v>4</v>
      </c>
      <c r="V358" t="str">
        <f t="shared" si="47"/>
        <v>OK</v>
      </c>
      <c r="W358" t="s">
        <v>25</v>
      </c>
      <c r="Y358" t="s">
        <v>30</v>
      </c>
    </row>
    <row r="359" spans="1:25" x14ac:dyDescent="0.25">
      <c r="A359" t="s">
        <v>1388</v>
      </c>
      <c r="B359" t="str">
        <f t="shared" si="41"/>
        <v>Noelia Nicolaus Kanyaluka</v>
      </c>
      <c r="C359">
        <v>127437</v>
      </c>
      <c r="D359" t="str">
        <f t="shared" si="40"/>
        <v>Unique</v>
      </c>
      <c r="E359" t="s">
        <v>68</v>
      </c>
      <c r="F359" s="3">
        <f t="shared" si="42"/>
        <v>32</v>
      </c>
      <c r="G359" t="s">
        <v>32</v>
      </c>
      <c r="H359" t="str">
        <f t="shared" si="43"/>
        <v>Valid</v>
      </c>
      <c r="I359" t="s">
        <v>130</v>
      </c>
      <c r="J359" t="str">
        <f t="shared" si="44"/>
        <v>Buhigwe</v>
      </c>
      <c r="K359" t="s">
        <v>40</v>
      </c>
      <c r="L359" t="str" cm="1">
        <f t="array" ref="L359">_xlfn.IFS(
ISNUMBER(SEARCH("ICU",K359)), "ICU",
ISNUMBER(SEARCH("NEONATAL",K359)), PROPER("NEONATAL"),
ISNUMBER(SEARCH("LABOUR",K359)), PROPER("LABOUR"),
ISNUMBER(SEARCH("PAEDIATRIC",K359)), PROPER("PAEDIATRIC"),
ISNUMBER(SEARCH("FEMALE SURGICAL",K359)), PROPER("FEMALE SURG, ORTHO &amp; GYN"),
ISNUMBER(SEARCH("PSYCHIATRIST",K359)), PROPER("PSYCHIATRIST"),
ISNUMBER(SEARCH("GRADE 1",K359)), PROPER("GRADE 1"),
ISNUMBER(SEARCH("MALE SURGICAL",K359)), PROPER("MALE SURG &amp; ORTHOPEDIC"),
ISNUMBER(SEARCH("MALE MEDICAL",K359)), PROPER("MALE MEDICAL"),
ISNUMBER(SEARCH("GRADE 2",K359)), PROPER("GRADE 2"),
ISNUMBER(SEARCH("FEMALE WARD",K359)), PROPER("FEMALE MEDICAL"),
TRUE, "Unmapped: " &amp; K359)</f>
        <v>Labour</v>
      </c>
      <c r="M359" t="s">
        <v>22</v>
      </c>
      <c r="O359" t="s">
        <v>1389</v>
      </c>
      <c r="P359" t="str">
        <f t="shared" si="45"/>
        <v>Text Error</v>
      </c>
      <c r="Q359" s="5">
        <v>46028.374942129631</v>
      </c>
      <c r="R359" t="str">
        <f t="shared" si="46"/>
        <v>Valid Date</v>
      </c>
      <c r="S359" t="s">
        <v>1390</v>
      </c>
      <c r="T359" s="5">
        <v>46032.719548611109</v>
      </c>
      <c r="U359">
        <v>4</v>
      </c>
      <c r="V359" t="str">
        <f t="shared" si="47"/>
        <v>OK</v>
      </c>
      <c r="W359" t="s">
        <v>25</v>
      </c>
      <c r="Y359" t="s">
        <v>30</v>
      </c>
    </row>
    <row r="360" spans="1:25" x14ac:dyDescent="0.25">
      <c r="A360" t="s">
        <v>1391</v>
      </c>
      <c r="B360" t="str">
        <f t="shared" si="41"/>
        <v>1 Baby Of Neema Kizenga Shabani</v>
      </c>
      <c r="C360">
        <v>127569</v>
      </c>
      <c r="D360" t="str">
        <f t="shared" si="40"/>
        <v>Unique</v>
      </c>
      <c r="E360" t="s">
        <v>622</v>
      </c>
      <c r="F360" s="3" t="str">
        <f t="shared" si="42"/>
        <v>2/12</v>
      </c>
      <c r="G360" t="s">
        <v>19</v>
      </c>
      <c r="H360" t="str">
        <f t="shared" si="43"/>
        <v>Valid</v>
      </c>
      <c r="I360" t="s">
        <v>33</v>
      </c>
      <c r="J360" t="str">
        <f t="shared" si="44"/>
        <v>Kigoma Ujiji Mc</v>
      </c>
      <c r="K360" t="s">
        <v>21</v>
      </c>
      <c r="L360" t="str" cm="1">
        <f t="array" ref="L360">_xlfn.IFS(
ISNUMBER(SEARCH("ICU",K360)), "ICU",
ISNUMBER(SEARCH("NEONATAL",K360)), PROPER("NEONATAL"),
ISNUMBER(SEARCH("LABOUR",K360)), PROPER("LABOUR"),
ISNUMBER(SEARCH("PAEDIATRIC",K360)), PROPER("PAEDIATRIC"),
ISNUMBER(SEARCH("FEMALE SURGICAL",K360)), PROPER("FEMALE SURG, ORTHO &amp; GYN"),
ISNUMBER(SEARCH("PSYCHIATRIST",K360)), PROPER("PSYCHIATRIST"),
ISNUMBER(SEARCH("GRADE 1",K360)), PROPER("GRADE 1"),
ISNUMBER(SEARCH("MALE SURGICAL",K360)), PROPER("MALE SURG &amp; ORTHOPEDIC"),
ISNUMBER(SEARCH("MALE MEDICAL",K360)), PROPER("MALE MEDICAL"),
ISNUMBER(SEARCH("GRADE 2",K360)), PROPER("GRADE 2"),
ISNUMBER(SEARCH("FEMALE WARD",K360)), PROPER("FEMALE MEDICAL"),
TRUE, "Unmapped: " &amp; K360)</f>
        <v>Neonatal</v>
      </c>
      <c r="M360" t="s">
        <v>22</v>
      </c>
      <c r="O360" t="s">
        <v>1392</v>
      </c>
      <c r="P360" t="str">
        <f t="shared" si="45"/>
        <v>Text Error</v>
      </c>
      <c r="Q360" s="5">
        <v>46029.096458333333</v>
      </c>
      <c r="R360" t="str">
        <f t="shared" si="46"/>
        <v>Valid Date</v>
      </c>
      <c r="S360" t="s">
        <v>1393</v>
      </c>
      <c r="T360" s="5">
        <v>46033.521261574075</v>
      </c>
      <c r="U360">
        <v>4</v>
      </c>
      <c r="V360" t="str">
        <f t="shared" si="47"/>
        <v>OK</v>
      </c>
      <c r="W360" t="s">
        <v>25</v>
      </c>
      <c r="Y360" t="s">
        <v>30</v>
      </c>
    </row>
    <row r="361" spans="1:25" x14ac:dyDescent="0.25">
      <c r="A361" t="s">
        <v>1394</v>
      </c>
      <c r="B361" t="str">
        <f t="shared" si="41"/>
        <v>2 Baby Of Neema Kizenga Shabani</v>
      </c>
      <c r="C361">
        <v>127570</v>
      </c>
      <c r="D361" t="str">
        <f t="shared" si="40"/>
        <v>Unique</v>
      </c>
      <c r="E361" t="s">
        <v>622</v>
      </c>
      <c r="F361" s="3" t="str">
        <f t="shared" si="42"/>
        <v>2/12</v>
      </c>
      <c r="G361" t="s">
        <v>32</v>
      </c>
      <c r="H361" t="str">
        <f t="shared" si="43"/>
        <v>Valid</v>
      </c>
      <c r="I361" t="s">
        <v>33</v>
      </c>
      <c r="J361" t="str">
        <f t="shared" si="44"/>
        <v>Kigoma Ujiji Mc</v>
      </c>
      <c r="K361" t="s">
        <v>21</v>
      </c>
      <c r="L361" t="str" cm="1">
        <f t="array" ref="L361">_xlfn.IFS(
ISNUMBER(SEARCH("ICU",K361)), "ICU",
ISNUMBER(SEARCH("NEONATAL",K361)), PROPER("NEONATAL"),
ISNUMBER(SEARCH("LABOUR",K361)), PROPER("LABOUR"),
ISNUMBER(SEARCH("PAEDIATRIC",K361)), PROPER("PAEDIATRIC"),
ISNUMBER(SEARCH("FEMALE SURGICAL",K361)), PROPER("FEMALE SURG, ORTHO &amp; GYN"),
ISNUMBER(SEARCH("PSYCHIATRIST",K361)), PROPER("PSYCHIATRIST"),
ISNUMBER(SEARCH("GRADE 1",K361)), PROPER("GRADE 1"),
ISNUMBER(SEARCH("MALE SURGICAL",K361)), PROPER("MALE SURG &amp; ORTHOPEDIC"),
ISNUMBER(SEARCH("MALE MEDICAL",K361)), PROPER("MALE MEDICAL"),
ISNUMBER(SEARCH("GRADE 2",K361)), PROPER("GRADE 2"),
ISNUMBER(SEARCH("FEMALE WARD",K361)), PROPER("FEMALE MEDICAL"),
TRUE, "Unmapped: " &amp; K361)</f>
        <v>Neonatal</v>
      </c>
      <c r="M361" t="s">
        <v>22</v>
      </c>
      <c r="O361" t="s">
        <v>1395</v>
      </c>
      <c r="P361" t="str">
        <f t="shared" si="45"/>
        <v>Text Error</v>
      </c>
      <c r="Q361" s="5">
        <v>46029.102893518517</v>
      </c>
      <c r="R361" t="str">
        <f t="shared" si="46"/>
        <v>Valid Date</v>
      </c>
      <c r="S361" t="s">
        <v>1396</v>
      </c>
      <c r="T361" s="5">
        <v>46033.52065972222</v>
      </c>
      <c r="U361">
        <v>4</v>
      </c>
      <c r="V361" t="str">
        <f t="shared" si="47"/>
        <v>OK</v>
      </c>
      <c r="W361" t="s">
        <v>25</v>
      </c>
      <c r="Y361" t="s">
        <v>30</v>
      </c>
    </row>
    <row r="362" spans="1:25" x14ac:dyDescent="0.25">
      <c r="A362" t="s">
        <v>1397</v>
      </c>
      <c r="B362" t="str">
        <f t="shared" si="41"/>
        <v>Merina Emmanuel Charles</v>
      </c>
      <c r="C362">
        <v>127687</v>
      </c>
      <c r="D362" t="str">
        <f t="shared" si="40"/>
        <v>Unique</v>
      </c>
      <c r="E362" t="s">
        <v>215</v>
      </c>
      <c r="F362" s="3">
        <f t="shared" si="42"/>
        <v>25</v>
      </c>
      <c r="G362" t="s">
        <v>32</v>
      </c>
      <c r="H362" t="str">
        <f t="shared" si="43"/>
        <v>Valid</v>
      </c>
      <c r="I362" t="s">
        <v>33</v>
      </c>
      <c r="J362" t="str">
        <f t="shared" si="44"/>
        <v>Kigoma Ujiji Mc</v>
      </c>
      <c r="K362" t="s">
        <v>40</v>
      </c>
      <c r="L362" t="str" cm="1">
        <f t="array" ref="L362">_xlfn.IFS(
ISNUMBER(SEARCH("ICU",K362)), "ICU",
ISNUMBER(SEARCH("NEONATAL",K362)), PROPER("NEONATAL"),
ISNUMBER(SEARCH("LABOUR",K362)), PROPER("LABOUR"),
ISNUMBER(SEARCH("PAEDIATRIC",K362)), PROPER("PAEDIATRIC"),
ISNUMBER(SEARCH("FEMALE SURGICAL",K362)), PROPER("FEMALE SURG, ORTHO &amp; GYN"),
ISNUMBER(SEARCH("PSYCHIATRIST",K362)), PROPER("PSYCHIATRIST"),
ISNUMBER(SEARCH("GRADE 1",K362)), PROPER("GRADE 1"),
ISNUMBER(SEARCH("MALE SURGICAL",K362)), PROPER("MALE SURG &amp; ORTHOPEDIC"),
ISNUMBER(SEARCH("MALE MEDICAL",K362)), PROPER("MALE MEDICAL"),
ISNUMBER(SEARCH("GRADE 2",K362)), PROPER("GRADE 2"),
ISNUMBER(SEARCH("FEMALE WARD",K362)), PROPER("FEMALE MEDICAL"),
TRUE, "Unmapped: " &amp; K362)</f>
        <v>Labour</v>
      </c>
      <c r="M362" t="s">
        <v>394</v>
      </c>
      <c r="O362" t="s">
        <v>1398</v>
      </c>
      <c r="P362" t="str">
        <f t="shared" si="45"/>
        <v>Text Error</v>
      </c>
      <c r="Q362" s="5">
        <v>46029.710428240738</v>
      </c>
      <c r="R362" t="str">
        <f t="shared" si="46"/>
        <v>Valid Date</v>
      </c>
      <c r="S362" t="s">
        <v>1399</v>
      </c>
      <c r="T362" s="5">
        <v>46034.558981481481</v>
      </c>
      <c r="U362">
        <v>4</v>
      </c>
      <c r="V362" t="str">
        <f t="shared" si="47"/>
        <v>OK</v>
      </c>
      <c r="W362" t="s">
        <v>25</v>
      </c>
      <c r="Y362" t="s">
        <v>30</v>
      </c>
    </row>
    <row r="363" spans="1:25" x14ac:dyDescent="0.25">
      <c r="A363" t="s">
        <v>1400</v>
      </c>
      <c r="B363" t="str">
        <f t="shared" si="41"/>
        <v>Ally Issa Rashio</v>
      </c>
      <c r="C363">
        <v>127656</v>
      </c>
      <c r="D363" t="str">
        <f t="shared" si="40"/>
        <v>Unique</v>
      </c>
      <c r="E363" t="s">
        <v>670</v>
      </c>
      <c r="F363" s="3">
        <f t="shared" si="42"/>
        <v>14</v>
      </c>
      <c r="G363" t="s">
        <v>19</v>
      </c>
      <c r="H363" t="str">
        <f t="shared" si="43"/>
        <v>Valid</v>
      </c>
      <c r="I363" t="s">
        <v>33</v>
      </c>
      <c r="J363" t="str">
        <f t="shared" si="44"/>
        <v>Kigoma Ujiji Mc</v>
      </c>
      <c r="K363" t="s">
        <v>428</v>
      </c>
      <c r="L363" t="str" cm="1">
        <f t="array" ref="L363">_xlfn.IFS(
ISNUMBER(SEARCH("ICU",K363)), "ICU",
ISNUMBER(SEARCH("NEONATAL",K363)), PROPER("NEONATAL"),
ISNUMBER(SEARCH("LABOUR",K363)), PROPER("LABOUR"),
ISNUMBER(SEARCH("PAEDIATRIC",K363)), PROPER("PAEDIATRIC"),
ISNUMBER(SEARCH("FEMALE SURGICAL",K363)), PROPER("FEMALE SURG, ORTHO &amp; GYN"),
ISNUMBER(SEARCH("PSYCHIATRIST",K363)), PROPER("PSYCHIATRIST"),
ISNUMBER(SEARCH("GRADE 1",K363)), PROPER("GRADE 1"),
ISNUMBER(SEARCH("MALE SURGICAL",K363)), PROPER("MALE SURG &amp; ORTHOPEDIC"),
ISNUMBER(SEARCH("MALE MEDICAL",K363)), PROPER("MALE MEDICAL"),
ISNUMBER(SEARCH("GRADE 2",K363)), PROPER("GRADE 2"),
ISNUMBER(SEARCH("FEMALE WARD",K363)), PROPER("FEMALE MEDICAL"),
TRUE, "Unmapped: " &amp; K363)</f>
        <v>Male Surg &amp; Orthopedic</v>
      </c>
      <c r="M363" t="s">
        <v>22</v>
      </c>
      <c r="O363" t="s">
        <v>1401</v>
      </c>
      <c r="P363" t="str">
        <f t="shared" si="45"/>
        <v>Text Error</v>
      </c>
      <c r="Q363" s="5">
        <v>46030.333148148151</v>
      </c>
      <c r="R363" t="str">
        <f t="shared" si="46"/>
        <v>Valid Date</v>
      </c>
      <c r="S363" t="s">
        <v>1402</v>
      </c>
      <c r="T363" s="5">
        <v>46034.739340277774</v>
      </c>
      <c r="U363">
        <v>4</v>
      </c>
      <c r="V363" t="str">
        <f t="shared" si="47"/>
        <v>OK</v>
      </c>
      <c r="W363" t="s">
        <v>25</v>
      </c>
      <c r="Y363" t="s">
        <v>30</v>
      </c>
    </row>
    <row r="364" spans="1:25" x14ac:dyDescent="0.25">
      <c r="A364" t="s">
        <v>1403</v>
      </c>
      <c r="B364" t="str">
        <f t="shared" si="41"/>
        <v>Agnes Musohela Nuru</v>
      </c>
      <c r="C364">
        <v>127735</v>
      </c>
      <c r="D364" t="str">
        <f t="shared" si="40"/>
        <v>Unique</v>
      </c>
      <c r="E364" t="s">
        <v>1100</v>
      </c>
      <c r="F364" s="3">
        <f t="shared" si="42"/>
        <v>80</v>
      </c>
      <c r="G364" t="s">
        <v>32</v>
      </c>
      <c r="H364" t="str">
        <f t="shared" si="43"/>
        <v>Valid</v>
      </c>
      <c r="I364" t="s">
        <v>62</v>
      </c>
      <c r="J364" t="str">
        <f t="shared" si="44"/>
        <v>Kigoma Vijijini</v>
      </c>
      <c r="K364" t="s">
        <v>700</v>
      </c>
      <c r="L364" t="str" cm="1">
        <f t="array" ref="L364">_xlfn.IFS(
ISNUMBER(SEARCH("ICU",K364)), "ICU",
ISNUMBER(SEARCH("NEONATAL",K364)), PROPER("NEONATAL"),
ISNUMBER(SEARCH("LABOUR",K364)), PROPER("LABOUR"),
ISNUMBER(SEARCH("PAEDIATRIC",K364)), PROPER("PAEDIATRIC"),
ISNUMBER(SEARCH("FEMALE SURGICAL",K364)), PROPER("FEMALE SURG, ORTHO &amp; GYN"),
ISNUMBER(SEARCH("PSYCHIATRIST",K364)), PROPER("PSYCHIATRIST"),
ISNUMBER(SEARCH("GRADE 1",K364)), PROPER("GRADE 1"),
ISNUMBER(SEARCH("MALE SURGICAL",K364)), PROPER("MALE SURG &amp; ORTHOPEDIC"),
ISNUMBER(SEARCH("MALE MEDICAL",K364)), PROPER("MALE MEDICAL"),
ISNUMBER(SEARCH("GRADE 2",K364)), PROPER("GRADE 2"),
ISNUMBER(SEARCH("FEMALE WARD",K364)), PROPER("FEMALE MEDICAL"),
TRUE, "Unmapped: " &amp; K364)</f>
        <v>Female Medical</v>
      </c>
      <c r="M364" t="s">
        <v>22</v>
      </c>
      <c r="O364" t="s">
        <v>1404</v>
      </c>
      <c r="P364" t="str">
        <f t="shared" si="45"/>
        <v>Text Error</v>
      </c>
      <c r="Q364" s="5">
        <v>46030.634942129633</v>
      </c>
      <c r="R364" t="str">
        <f t="shared" si="46"/>
        <v>Valid Date</v>
      </c>
      <c r="S364" t="s">
        <v>1405</v>
      </c>
      <c r="T364" s="5">
        <v>46035.585925925923</v>
      </c>
      <c r="U364">
        <v>4</v>
      </c>
      <c r="V364" t="str">
        <f t="shared" si="47"/>
        <v>OK</v>
      </c>
      <c r="W364" t="s">
        <v>25</v>
      </c>
      <c r="Y364" t="s">
        <v>30</v>
      </c>
    </row>
    <row r="365" spans="1:25" x14ac:dyDescent="0.25">
      <c r="A365" t="s">
        <v>1406</v>
      </c>
      <c r="B365" t="str">
        <f t="shared" si="41"/>
        <v>Mariam Thomas Mbiaji</v>
      </c>
      <c r="C365">
        <v>127760</v>
      </c>
      <c r="D365" t="str">
        <f t="shared" si="40"/>
        <v>Unique</v>
      </c>
      <c r="E365" t="s">
        <v>281</v>
      </c>
      <c r="F365" s="3">
        <f t="shared" si="42"/>
        <v>36</v>
      </c>
      <c r="G365" t="s">
        <v>32</v>
      </c>
      <c r="H365" t="str">
        <f t="shared" si="43"/>
        <v>Valid</v>
      </c>
      <c r="I365" t="s">
        <v>33</v>
      </c>
      <c r="J365" t="str">
        <f t="shared" si="44"/>
        <v>Kigoma Ujiji Mc</v>
      </c>
      <c r="K365" t="s">
        <v>123</v>
      </c>
      <c r="L365" t="str" cm="1">
        <f t="array" ref="L365">_xlfn.IFS(
ISNUMBER(SEARCH("ICU",K365)), "ICU",
ISNUMBER(SEARCH("NEONATAL",K365)), PROPER("NEONATAL"),
ISNUMBER(SEARCH("LABOUR",K365)), PROPER("LABOUR"),
ISNUMBER(SEARCH("PAEDIATRIC",K365)), PROPER("PAEDIATRIC"),
ISNUMBER(SEARCH("FEMALE SURGICAL",K365)), PROPER("FEMALE SURG, ORTHO &amp; GYN"),
ISNUMBER(SEARCH("PSYCHIATRIST",K365)), PROPER("PSYCHIATRIST"),
ISNUMBER(SEARCH("GRADE 1",K365)), PROPER("GRADE 1"),
ISNUMBER(SEARCH("MALE SURGICAL",K365)), PROPER("MALE SURG &amp; ORTHOPEDIC"),
ISNUMBER(SEARCH("MALE MEDICAL",K365)), PROPER("MALE MEDICAL"),
ISNUMBER(SEARCH("GRADE 2",K365)), PROPER("GRADE 2"),
ISNUMBER(SEARCH("FEMALE WARD",K365)), PROPER("FEMALE MEDICAL"),
TRUE, "Unmapped: " &amp; K365)</f>
        <v>Female Surg, Ortho &amp; Gyn</v>
      </c>
      <c r="M365" t="s">
        <v>22</v>
      </c>
      <c r="O365" t="s">
        <v>1407</v>
      </c>
      <c r="P365" t="str">
        <f t="shared" si="45"/>
        <v>Text Error</v>
      </c>
      <c r="Q365" s="5">
        <v>46030.718113425923</v>
      </c>
      <c r="R365" t="str">
        <f t="shared" si="46"/>
        <v>Valid Date</v>
      </c>
      <c r="S365" t="s">
        <v>1408</v>
      </c>
      <c r="T365" s="5">
        <v>46035.574953703705</v>
      </c>
      <c r="U365">
        <v>4</v>
      </c>
      <c r="V365" t="str">
        <f t="shared" si="47"/>
        <v>OK</v>
      </c>
      <c r="W365" t="s">
        <v>25</v>
      </c>
      <c r="Y365" t="s">
        <v>30</v>
      </c>
    </row>
    <row r="366" spans="1:25" x14ac:dyDescent="0.25">
      <c r="A366" t="s">
        <v>1409</v>
      </c>
      <c r="B366" t="str">
        <f t="shared" si="41"/>
        <v>Babyof Kwimba Musa Maguja</v>
      </c>
      <c r="C366">
        <v>127810</v>
      </c>
      <c r="D366" t="str">
        <f t="shared" si="40"/>
        <v>Unique</v>
      </c>
      <c r="E366" t="s">
        <v>622</v>
      </c>
      <c r="F366" s="3" t="str">
        <f t="shared" si="42"/>
        <v>2/12</v>
      </c>
      <c r="G366" t="s">
        <v>32</v>
      </c>
      <c r="H366" t="str">
        <f t="shared" si="43"/>
        <v>Valid</v>
      </c>
      <c r="I366" t="s">
        <v>20</v>
      </c>
      <c r="J366" t="str">
        <f t="shared" si="44"/>
        <v>Uvinza</v>
      </c>
      <c r="K366" t="s">
        <v>21</v>
      </c>
      <c r="L366" t="str" cm="1">
        <f t="array" ref="L366">_xlfn.IFS(
ISNUMBER(SEARCH("ICU",K366)), "ICU",
ISNUMBER(SEARCH("NEONATAL",K366)), PROPER("NEONATAL"),
ISNUMBER(SEARCH("LABOUR",K366)), PROPER("LABOUR"),
ISNUMBER(SEARCH("PAEDIATRIC",K366)), PROPER("PAEDIATRIC"),
ISNUMBER(SEARCH("FEMALE SURGICAL",K366)), PROPER("FEMALE SURG, ORTHO &amp; GYN"),
ISNUMBER(SEARCH("PSYCHIATRIST",K366)), PROPER("PSYCHIATRIST"),
ISNUMBER(SEARCH("GRADE 1",K366)), PROPER("GRADE 1"),
ISNUMBER(SEARCH("MALE SURGICAL",K366)), PROPER("MALE SURG &amp; ORTHOPEDIC"),
ISNUMBER(SEARCH("MALE MEDICAL",K366)), PROPER("MALE MEDICAL"),
ISNUMBER(SEARCH("GRADE 2",K366)), PROPER("GRADE 2"),
ISNUMBER(SEARCH("FEMALE WARD",K366)), PROPER("FEMALE MEDICAL"),
TRUE, "Unmapped: " &amp; K366)</f>
        <v>Neonatal</v>
      </c>
      <c r="M366" t="s">
        <v>22</v>
      </c>
      <c r="O366" t="s">
        <v>1410</v>
      </c>
      <c r="P366" t="str">
        <f t="shared" si="45"/>
        <v>Text Error</v>
      </c>
      <c r="Q366" s="5">
        <v>46031.096388888887</v>
      </c>
      <c r="R366" t="str">
        <f t="shared" si="46"/>
        <v>Valid Date</v>
      </c>
      <c r="S366" t="s">
        <v>1411</v>
      </c>
      <c r="T366" s="5">
        <v>46035.676631944443</v>
      </c>
      <c r="U366">
        <v>4</v>
      </c>
      <c r="V366" t="str">
        <f t="shared" si="47"/>
        <v>OK</v>
      </c>
      <c r="W366" t="s">
        <v>112</v>
      </c>
      <c r="Y366" t="s">
        <v>30</v>
      </c>
    </row>
    <row r="367" spans="1:25" x14ac:dyDescent="0.25">
      <c r="A367" t="s">
        <v>1412</v>
      </c>
      <c r="B367" t="str">
        <f t="shared" si="41"/>
        <v>Abdulkarim Said Maulid</v>
      </c>
      <c r="C367">
        <v>127955</v>
      </c>
      <c r="D367" t="str">
        <f t="shared" si="40"/>
        <v>Unique</v>
      </c>
      <c r="E367" t="s">
        <v>646</v>
      </c>
      <c r="F367" s="3">
        <f t="shared" si="42"/>
        <v>6</v>
      </c>
      <c r="G367" t="s">
        <v>19</v>
      </c>
      <c r="H367" t="str">
        <f t="shared" si="43"/>
        <v>Valid</v>
      </c>
      <c r="I367" t="s">
        <v>33</v>
      </c>
      <c r="J367" t="str">
        <f t="shared" si="44"/>
        <v>Kigoma Ujiji Mc</v>
      </c>
      <c r="K367" t="s">
        <v>109</v>
      </c>
      <c r="L367" t="str" cm="1">
        <f t="array" ref="L367">_xlfn.IFS(
ISNUMBER(SEARCH("ICU",K367)), "ICU",
ISNUMBER(SEARCH("NEONATAL",K367)), PROPER("NEONATAL"),
ISNUMBER(SEARCH("LABOUR",K367)), PROPER("LABOUR"),
ISNUMBER(SEARCH("PAEDIATRIC",K367)), PROPER("PAEDIATRIC"),
ISNUMBER(SEARCH("FEMALE SURGICAL",K367)), PROPER("FEMALE SURG, ORTHO &amp; GYN"),
ISNUMBER(SEARCH("PSYCHIATRIST",K367)), PROPER("PSYCHIATRIST"),
ISNUMBER(SEARCH("GRADE 1",K367)), PROPER("GRADE 1"),
ISNUMBER(SEARCH("MALE SURGICAL",K367)), PROPER("MALE SURG &amp; ORTHOPEDIC"),
ISNUMBER(SEARCH("MALE MEDICAL",K367)), PROPER("MALE MEDICAL"),
ISNUMBER(SEARCH("GRADE 2",K367)), PROPER("GRADE 2"),
ISNUMBER(SEARCH("FEMALE WARD",K367)), PROPER("FEMALE MEDICAL"),
TRUE, "Unmapped: " &amp; K367)</f>
        <v>Paediatric</v>
      </c>
      <c r="M367" t="s">
        <v>22</v>
      </c>
      <c r="O367" t="s">
        <v>1413</v>
      </c>
      <c r="P367" t="str">
        <f t="shared" si="45"/>
        <v>Text Error</v>
      </c>
      <c r="Q367" s="5">
        <v>46032.094872685186</v>
      </c>
      <c r="R367" t="str">
        <f t="shared" si="46"/>
        <v>Valid Date</v>
      </c>
      <c r="S367" t="s">
        <v>1414</v>
      </c>
      <c r="T367" s="5">
        <v>46036.587754629632</v>
      </c>
      <c r="U367">
        <v>4</v>
      </c>
      <c r="V367" t="str">
        <f t="shared" si="47"/>
        <v>OK</v>
      </c>
      <c r="W367" t="s">
        <v>25</v>
      </c>
      <c r="Y367" t="s">
        <v>30</v>
      </c>
    </row>
    <row r="368" spans="1:25" x14ac:dyDescent="0.25">
      <c r="A368" t="s">
        <v>1415</v>
      </c>
      <c r="B368" t="str">
        <f t="shared" si="41"/>
        <v>Baby Of Viviani Samweli Kanyango</v>
      </c>
      <c r="C368">
        <v>127981</v>
      </c>
      <c r="D368" t="str">
        <f t="shared" si="40"/>
        <v>Unique</v>
      </c>
      <c r="E368" t="s">
        <v>622</v>
      </c>
      <c r="F368" s="3" t="str">
        <f t="shared" si="42"/>
        <v>2/12</v>
      </c>
      <c r="G368" t="s">
        <v>19</v>
      </c>
      <c r="H368" t="str">
        <f t="shared" si="43"/>
        <v>Valid</v>
      </c>
      <c r="I368" t="s">
        <v>33</v>
      </c>
      <c r="J368" t="str">
        <f t="shared" si="44"/>
        <v>Kigoma Ujiji Mc</v>
      </c>
      <c r="K368" t="s">
        <v>109</v>
      </c>
      <c r="L368" t="str" cm="1">
        <f t="array" ref="L368">_xlfn.IFS(
ISNUMBER(SEARCH("ICU",K368)), "ICU",
ISNUMBER(SEARCH("NEONATAL",K368)), PROPER("NEONATAL"),
ISNUMBER(SEARCH("LABOUR",K368)), PROPER("LABOUR"),
ISNUMBER(SEARCH("PAEDIATRIC",K368)), PROPER("PAEDIATRIC"),
ISNUMBER(SEARCH("FEMALE SURGICAL",K368)), PROPER("FEMALE SURG, ORTHO &amp; GYN"),
ISNUMBER(SEARCH("PSYCHIATRIST",K368)), PROPER("PSYCHIATRIST"),
ISNUMBER(SEARCH("GRADE 1",K368)), PROPER("GRADE 1"),
ISNUMBER(SEARCH("MALE SURGICAL",K368)), PROPER("MALE SURG &amp; ORTHOPEDIC"),
ISNUMBER(SEARCH("MALE MEDICAL",K368)), PROPER("MALE MEDICAL"),
ISNUMBER(SEARCH("GRADE 2",K368)), PROPER("GRADE 2"),
ISNUMBER(SEARCH("FEMALE WARD",K368)), PROPER("FEMALE MEDICAL"),
TRUE, "Unmapped: " &amp; K368)</f>
        <v>Paediatric</v>
      </c>
      <c r="M368" t="s">
        <v>22</v>
      </c>
      <c r="O368" t="s">
        <v>1416</v>
      </c>
      <c r="P368" t="str">
        <f t="shared" si="45"/>
        <v>Text Error</v>
      </c>
      <c r="Q368" s="5">
        <v>46032.432546296295</v>
      </c>
      <c r="R368" t="str">
        <f t="shared" si="46"/>
        <v>Valid Date</v>
      </c>
      <c r="S368" t="s">
        <v>1417</v>
      </c>
      <c r="T368" s="5">
        <v>46036.507199074076</v>
      </c>
      <c r="U368">
        <v>4</v>
      </c>
      <c r="V368" t="str">
        <f t="shared" si="47"/>
        <v>OK</v>
      </c>
      <c r="W368" t="s">
        <v>211</v>
      </c>
      <c r="Y368" t="s">
        <v>30</v>
      </c>
    </row>
    <row r="369" spans="1:25" x14ac:dyDescent="0.25">
      <c r="A369" t="s">
        <v>1418</v>
      </c>
      <c r="B369" t="str">
        <f t="shared" si="41"/>
        <v>Johari Kassim Thabit</v>
      </c>
      <c r="C369">
        <v>21507</v>
      </c>
      <c r="D369" t="str">
        <f t="shared" si="40"/>
        <v>Unique</v>
      </c>
      <c r="E369" t="s">
        <v>315</v>
      </c>
      <c r="F369" s="3">
        <f t="shared" si="42"/>
        <v>31</v>
      </c>
      <c r="G369" t="s">
        <v>32</v>
      </c>
      <c r="H369" t="str">
        <f t="shared" si="43"/>
        <v>Valid</v>
      </c>
      <c r="I369" t="s">
        <v>227</v>
      </c>
      <c r="J369" t="str">
        <f t="shared" si="44"/>
        <v>KGG</v>
      </c>
      <c r="K369" t="s">
        <v>40</v>
      </c>
      <c r="L369" t="str" cm="1">
        <f t="array" ref="L369">_xlfn.IFS(
ISNUMBER(SEARCH("ICU",K369)), "ICU",
ISNUMBER(SEARCH("NEONATAL",K369)), PROPER("NEONATAL"),
ISNUMBER(SEARCH("LABOUR",K369)), PROPER("LABOUR"),
ISNUMBER(SEARCH("PAEDIATRIC",K369)), PROPER("PAEDIATRIC"),
ISNUMBER(SEARCH("FEMALE SURGICAL",K369)), PROPER("FEMALE SURG, ORTHO &amp; GYN"),
ISNUMBER(SEARCH("PSYCHIATRIST",K369)), PROPER("PSYCHIATRIST"),
ISNUMBER(SEARCH("GRADE 1",K369)), PROPER("GRADE 1"),
ISNUMBER(SEARCH("MALE SURGICAL",K369)), PROPER("MALE SURG &amp; ORTHOPEDIC"),
ISNUMBER(SEARCH("MALE MEDICAL",K369)), PROPER("MALE MEDICAL"),
ISNUMBER(SEARCH("GRADE 2",K369)), PROPER("GRADE 2"),
ISNUMBER(SEARCH("FEMALE WARD",K369)), PROPER("FEMALE MEDICAL"),
TRUE, "Unmapped: " &amp; K369)</f>
        <v>Labour</v>
      </c>
      <c r="M369" t="s">
        <v>22</v>
      </c>
      <c r="O369" t="s">
        <v>1419</v>
      </c>
      <c r="P369" t="str">
        <f t="shared" si="45"/>
        <v>Text Error</v>
      </c>
      <c r="Q369" s="5">
        <v>46032.882037037038</v>
      </c>
      <c r="R369" t="str">
        <f t="shared" si="46"/>
        <v>Valid Date</v>
      </c>
      <c r="S369" t="s">
        <v>1420</v>
      </c>
      <c r="T369" s="5">
        <v>46037.597870370373</v>
      </c>
      <c r="U369">
        <v>4</v>
      </c>
      <c r="V369" t="str">
        <f t="shared" si="47"/>
        <v>OK</v>
      </c>
      <c r="W369" t="s">
        <v>25</v>
      </c>
      <c r="Y369" t="s">
        <v>30</v>
      </c>
    </row>
    <row r="370" spans="1:25" x14ac:dyDescent="0.25">
      <c r="A370" t="s">
        <v>1421</v>
      </c>
      <c r="B370" t="str">
        <f t="shared" si="41"/>
        <v>Anyesi George Zakaria</v>
      </c>
      <c r="C370">
        <v>128044</v>
      </c>
      <c r="D370" t="str">
        <f t="shared" si="40"/>
        <v>Unique</v>
      </c>
      <c r="E370" t="s">
        <v>80</v>
      </c>
      <c r="F370" s="3">
        <f t="shared" si="42"/>
        <v>24</v>
      </c>
      <c r="G370" t="s">
        <v>32</v>
      </c>
      <c r="H370" t="str">
        <f t="shared" si="43"/>
        <v>Valid</v>
      </c>
      <c r="I370" t="s">
        <v>33</v>
      </c>
      <c r="J370" t="str">
        <f t="shared" si="44"/>
        <v>Kigoma Ujiji Mc</v>
      </c>
      <c r="K370" t="s">
        <v>40</v>
      </c>
      <c r="L370" t="str" cm="1">
        <f t="array" ref="L370">_xlfn.IFS(
ISNUMBER(SEARCH("ICU",K370)), "ICU",
ISNUMBER(SEARCH("NEONATAL",K370)), PROPER("NEONATAL"),
ISNUMBER(SEARCH("LABOUR",K370)), PROPER("LABOUR"),
ISNUMBER(SEARCH("PAEDIATRIC",K370)), PROPER("PAEDIATRIC"),
ISNUMBER(SEARCH("FEMALE SURGICAL",K370)), PROPER("FEMALE SURG, ORTHO &amp; GYN"),
ISNUMBER(SEARCH("PSYCHIATRIST",K370)), PROPER("PSYCHIATRIST"),
ISNUMBER(SEARCH("GRADE 1",K370)), PROPER("GRADE 1"),
ISNUMBER(SEARCH("MALE SURGICAL",K370)), PROPER("MALE SURG &amp; ORTHOPEDIC"),
ISNUMBER(SEARCH("MALE MEDICAL",K370)), PROPER("MALE MEDICAL"),
ISNUMBER(SEARCH("GRADE 2",K370)), PROPER("GRADE 2"),
ISNUMBER(SEARCH("FEMALE WARD",K370)), PROPER("FEMALE MEDICAL"),
TRUE, "Unmapped: " &amp; K370)</f>
        <v>Labour</v>
      </c>
      <c r="M370" t="s">
        <v>22</v>
      </c>
      <c r="O370" t="s">
        <v>1422</v>
      </c>
      <c r="P370" t="str">
        <f t="shared" si="45"/>
        <v>Text Error</v>
      </c>
      <c r="Q370" s="5">
        <v>46033.683344907404</v>
      </c>
      <c r="R370" t="str">
        <f t="shared" si="46"/>
        <v>Valid Date</v>
      </c>
      <c r="S370" t="s">
        <v>1423</v>
      </c>
      <c r="T370" s="5">
        <v>46037.76829861111</v>
      </c>
      <c r="U370">
        <v>4</v>
      </c>
      <c r="V370" t="str">
        <f t="shared" si="47"/>
        <v>OK</v>
      </c>
      <c r="W370" t="s">
        <v>25</v>
      </c>
      <c r="Y370" t="s">
        <v>30</v>
      </c>
    </row>
    <row r="371" spans="1:25" x14ac:dyDescent="0.25">
      <c r="A371" t="s">
        <v>1424</v>
      </c>
      <c r="B371" t="str">
        <f t="shared" si="41"/>
        <v>Baby Of Anyesi G Zakayyo</v>
      </c>
      <c r="C371">
        <v>128056</v>
      </c>
      <c r="D371" t="str">
        <f t="shared" si="40"/>
        <v>Unique</v>
      </c>
      <c r="E371" t="s">
        <v>622</v>
      </c>
      <c r="F371" s="3" t="str">
        <f t="shared" si="42"/>
        <v>2/12</v>
      </c>
      <c r="G371" t="s">
        <v>19</v>
      </c>
      <c r="H371" t="str">
        <f t="shared" si="43"/>
        <v>Valid</v>
      </c>
      <c r="I371" t="s">
        <v>33</v>
      </c>
      <c r="J371" t="str">
        <f t="shared" si="44"/>
        <v>Kigoma Ujiji Mc</v>
      </c>
      <c r="K371" t="s">
        <v>21</v>
      </c>
      <c r="L371" t="str" cm="1">
        <f t="array" ref="L371">_xlfn.IFS(
ISNUMBER(SEARCH("ICU",K371)), "ICU",
ISNUMBER(SEARCH("NEONATAL",K371)), PROPER("NEONATAL"),
ISNUMBER(SEARCH("LABOUR",K371)), PROPER("LABOUR"),
ISNUMBER(SEARCH("PAEDIATRIC",K371)), PROPER("PAEDIATRIC"),
ISNUMBER(SEARCH("FEMALE SURGICAL",K371)), PROPER("FEMALE SURG, ORTHO &amp; GYN"),
ISNUMBER(SEARCH("PSYCHIATRIST",K371)), PROPER("PSYCHIATRIST"),
ISNUMBER(SEARCH("GRADE 1",K371)), PROPER("GRADE 1"),
ISNUMBER(SEARCH("MALE SURGICAL",K371)), PROPER("MALE SURG &amp; ORTHOPEDIC"),
ISNUMBER(SEARCH("MALE MEDICAL",K371)), PROPER("MALE MEDICAL"),
ISNUMBER(SEARCH("GRADE 2",K371)), PROPER("GRADE 2"),
ISNUMBER(SEARCH("FEMALE WARD",K371)), PROPER("FEMALE MEDICAL"),
TRUE, "Unmapped: " &amp; K371)</f>
        <v>Neonatal</v>
      </c>
      <c r="M371" t="s">
        <v>22</v>
      </c>
      <c r="O371" t="s">
        <v>1425</v>
      </c>
      <c r="P371" t="str">
        <f t="shared" si="45"/>
        <v>Text Error</v>
      </c>
      <c r="Q371" s="5">
        <v>46033.910196759258</v>
      </c>
      <c r="R371" t="str">
        <f t="shared" si="46"/>
        <v>Valid Date</v>
      </c>
      <c r="S371" t="s">
        <v>1426</v>
      </c>
      <c r="T371" s="5">
        <v>46038.632604166669</v>
      </c>
      <c r="U371">
        <v>4</v>
      </c>
      <c r="V371" t="str">
        <f t="shared" si="47"/>
        <v>OK</v>
      </c>
      <c r="W371" t="s">
        <v>25</v>
      </c>
      <c r="Y371" t="s">
        <v>30</v>
      </c>
    </row>
    <row r="372" spans="1:25" x14ac:dyDescent="0.25">
      <c r="A372" t="s">
        <v>1427</v>
      </c>
      <c r="B372" t="str">
        <f t="shared" si="41"/>
        <v>Baruani A Songoro</v>
      </c>
      <c r="C372">
        <v>45072</v>
      </c>
      <c r="D372" t="str">
        <f t="shared" si="40"/>
        <v>Unique</v>
      </c>
      <c r="E372" t="s">
        <v>285</v>
      </c>
      <c r="F372" s="3">
        <f t="shared" si="42"/>
        <v>38</v>
      </c>
      <c r="G372" t="s">
        <v>19</v>
      </c>
      <c r="H372" t="str">
        <f t="shared" si="43"/>
        <v>Valid</v>
      </c>
      <c r="I372" t="s">
        <v>227</v>
      </c>
      <c r="J372" t="str">
        <f t="shared" si="44"/>
        <v>KGG</v>
      </c>
      <c r="K372" t="s">
        <v>685</v>
      </c>
      <c r="L372" t="str" cm="1">
        <f t="array" ref="L372">_xlfn.IFS(
ISNUMBER(SEARCH("ICU",K372)), "ICU",
ISNUMBER(SEARCH("NEONATAL",K372)), PROPER("NEONATAL"),
ISNUMBER(SEARCH("LABOUR",K372)), PROPER("LABOUR"),
ISNUMBER(SEARCH("PAEDIATRIC",K372)), PROPER("PAEDIATRIC"),
ISNUMBER(SEARCH("FEMALE SURGICAL",K372)), PROPER("FEMALE SURG, ORTHO &amp; GYN"),
ISNUMBER(SEARCH("PSYCHIATRIST",K372)), PROPER("PSYCHIATRIST"),
ISNUMBER(SEARCH("GRADE 1",K372)), PROPER("GRADE 1"),
ISNUMBER(SEARCH("MALE SURGICAL",K372)), PROPER("MALE SURG &amp; ORTHOPEDIC"),
ISNUMBER(SEARCH("MALE MEDICAL",K372)), PROPER("MALE MEDICAL"),
ISNUMBER(SEARCH("GRADE 2",K372)), PROPER("GRADE 2"),
ISNUMBER(SEARCH("FEMALE WARD",K372)), PROPER("FEMALE MEDICAL"),
TRUE, "Unmapped: " &amp; K372)</f>
        <v>Grade 2</v>
      </c>
      <c r="M372" t="s">
        <v>394</v>
      </c>
      <c r="O372" t="s">
        <v>1428</v>
      </c>
      <c r="P372" t="str">
        <f t="shared" si="45"/>
        <v>Text Error</v>
      </c>
      <c r="Q372" s="5">
        <v>46035.718692129631</v>
      </c>
      <c r="R372" t="str">
        <f t="shared" si="46"/>
        <v>Valid Date</v>
      </c>
      <c r="S372" t="s">
        <v>1429</v>
      </c>
      <c r="T372" s="5">
        <v>46040.638194444444</v>
      </c>
      <c r="U372">
        <v>4</v>
      </c>
      <c r="V372" t="str">
        <f t="shared" si="47"/>
        <v>OK</v>
      </c>
      <c r="W372" t="s">
        <v>25</v>
      </c>
      <c r="Y372" t="s">
        <v>30</v>
      </c>
    </row>
    <row r="373" spans="1:25" x14ac:dyDescent="0.25">
      <c r="A373" t="s">
        <v>1430</v>
      </c>
      <c r="B373" t="str">
        <f t="shared" si="41"/>
        <v>Baby Of Sakina Mussa Iddi</v>
      </c>
      <c r="C373">
        <v>128293</v>
      </c>
      <c r="D373" t="str">
        <f t="shared" si="40"/>
        <v>Unique</v>
      </c>
      <c r="E373" t="s">
        <v>622</v>
      </c>
      <c r="F373" s="3" t="str">
        <f t="shared" si="42"/>
        <v>2/12</v>
      </c>
      <c r="G373" t="s">
        <v>19</v>
      </c>
      <c r="H373" t="str">
        <f t="shared" si="43"/>
        <v>Valid</v>
      </c>
      <c r="I373" t="s">
        <v>33</v>
      </c>
      <c r="J373" t="str">
        <f t="shared" si="44"/>
        <v>Kigoma Ujiji Mc</v>
      </c>
      <c r="K373" t="s">
        <v>21</v>
      </c>
      <c r="L373" t="str" cm="1">
        <f t="array" ref="L373">_xlfn.IFS(
ISNUMBER(SEARCH("ICU",K373)), "ICU",
ISNUMBER(SEARCH("NEONATAL",K373)), PROPER("NEONATAL"),
ISNUMBER(SEARCH("LABOUR",K373)), PROPER("LABOUR"),
ISNUMBER(SEARCH("PAEDIATRIC",K373)), PROPER("PAEDIATRIC"),
ISNUMBER(SEARCH("FEMALE SURGICAL",K373)), PROPER("FEMALE SURG, ORTHO &amp; GYN"),
ISNUMBER(SEARCH("PSYCHIATRIST",K373)), PROPER("PSYCHIATRIST"),
ISNUMBER(SEARCH("GRADE 1",K373)), PROPER("GRADE 1"),
ISNUMBER(SEARCH("MALE SURGICAL",K373)), PROPER("MALE SURG &amp; ORTHOPEDIC"),
ISNUMBER(SEARCH("MALE MEDICAL",K373)), PROPER("MALE MEDICAL"),
ISNUMBER(SEARCH("GRADE 2",K373)), PROPER("GRADE 2"),
ISNUMBER(SEARCH("FEMALE WARD",K373)), PROPER("FEMALE MEDICAL"),
TRUE, "Unmapped: " &amp; K373)</f>
        <v>Neonatal</v>
      </c>
      <c r="M373" t="s">
        <v>22</v>
      </c>
      <c r="O373" t="s">
        <v>1431</v>
      </c>
      <c r="P373" t="str">
        <f t="shared" si="45"/>
        <v>Text Error</v>
      </c>
      <c r="Q373" s="5">
        <v>46035.767685185187</v>
      </c>
      <c r="R373" t="str">
        <f t="shared" si="46"/>
        <v>Valid Date</v>
      </c>
      <c r="S373" t="s">
        <v>1432</v>
      </c>
      <c r="T373" s="5">
        <v>46039.797824074078</v>
      </c>
      <c r="U373">
        <v>4</v>
      </c>
      <c r="V373" t="str">
        <f t="shared" si="47"/>
        <v>OK</v>
      </c>
      <c r="W373" t="s">
        <v>25</v>
      </c>
      <c r="Y373" t="s">
        <v>30</v>
      </c>
    </row>
    <row r="374" spans="1:25" x14ac:dyDescent="0.25">
      <c r="A374" t="s">
        <v>1433</v>
      </c>
      <c r="B374" t="str">
        <f t="shared" si="41"/>
        <v>Raymond M Mchau</v>
      </c>
      <c r="C374">
        <v>77394</v>
      </c>
      <c r="D374" t="str">
        <f t="shared" si="40"/>
        <v>Unique</v>
      </c>
      <c r="E374" t="s">
        <v>454</v>
      </c>
      <c r="F374" s="3">
        <f t="shared" si="42"/>
        <v>3</v>
      </c>
      <c r="G374" t="s">
        <v>19</v>
      </c>
      <c r="H374" t="str">
        <f t="shared" si="43"/>
        <v>Valid</v>
      </c>
      <c r="I374" t="s">
        <v>260</v>
      </c>
      <c r="J374" t="str">
        <f t="shared" si="44"/>
        <v>Kasulu</v>
      </c>
      <c r="K374" t="s">
        <v>109</v>
      </c>
      <c r="L374" t="str" cm="1">
        <f t="array" ref="L374">_xlfn.IFS(
ISNUMBER(SEARCH("ICU",K374)), "ICU",
ISNUMBER(SEARCH("NEONATAL",K374)), PROPER("NEONATAL"),
ISNUMBER(SEARCH("LABOUR",K374)), PROPER("LABOUR"),
ISNUMBER(SEARCH("PAEDIATRIC",K374)), PROPER("PAEDIATRIC"),
ISNUMBER(SEARCH("FEMALE SURGICAL",K374)), PROPER("FEMALE SURG, ORTHO &amp; GYN"),
ISNUMBER(SEARCH("PSYCHIATRIST",K374)), PROPER("PSYCHIATRIST"),
ISNUMBER(SEARCH("GRADE 1",K374)), PROPER("GRADE 1"),
ISNUMBER(SEARCH("MALE SURGICAL",K374)), PROPER("MALE SURG &amp; ORTHOPEDIC"),
ISNUMBER(SEARCH("MALE MEDICAL",K374)), PROPER("MALE MEDICAL"),
ISNUMBER(SEARCH("GRADE 2",K374)), PROPER("GRADE 2"),
ISNUMBER(SEARCH("FEMALE WARD",K374)), PROPER("FEMALE MEDICAL"),
TRUE, "Unmapped: " &amp; K374)</f>
        <v>Paediatric</v>
      </c>
      <c r="M374" t="s">
        <v>394</v>
      </c>
      <c r="O374" t="s">
        <v>1434</v>
      </c>
      <c r="P374" t="str">
        <f t="shared" si="45"/>
        <v>Text Error</v>
      </c>
      <c r="Q374" s="5">
        <v>46035.806469907409</v>
      </c>
      <c r="R374" t="str">
        <f t="shared" si="46"/>
        <v>Valid Date</v>
      </c>
      <c r="S374" t="s">
        <v>1435</v>
      </c>
      <c r="T374" s="5">
        <v>46040.699780092589</v>
      </c>
      <c r="U374">
        <v>4</v>
      </c>
      <c r="V374" t="str">
        <f t="shared" si="47"/>
        <v>OK</v>
      </c>
      <c r="W374" t="s">
        <v>25</v>
      </c>
      <c r="Y374" t="s">
        <v>30</v>
      </c>
    </row>
    <row r="375" spans="1:25" x14ac:dyDescent="0.25">
      <c r="A375" t="s">
        <v>1436</v>
      </c>
      <c r="B375" t="str">
        <f t="shared" si="41"/>
        <v>Sauli Mnazi Mwilembe</v>
      </c>
      <c r="C375">
        <v>128339</v>
      </c>
      <c r="D375" t="str">
        <f t="shared" si="40"/>
        <v>Unique</v>
      </c>
      <c r="E375" t="s">
        <v>816</v>
      </c>
      <c r="F375" s="3">
        <f t="shared" si="42"/>
        <v>63</v>
      </c>
      <c r="G375" t="s">
        <v>19</v>
      </c>
      <c r="H375" t="str">
        <f t="shared" si="43"/>
        <v>Valid</v>
      </c>
      <c r="I375" t="s">
        <v>130</v>
      </c>
      <c r="J375" t="str">
        <f t="shared" si="44"/>
        <v>Buhigwe</v>
      </c>
      <c r="K375" t="s">
        <v>484</v>
      </c>
      <c r="L375" t="str" cm="1">
        <f t="array" ref="L375">_xlfn.IFS(
ISNUMBER(SEARCH("ICU",K375)), "ICU",
ISNUMBER(SEARCH("NEONATAL",K375)), PROPER("NEONATAL"),
ISNUMBER(SEARCH("LABOUR",K375)), PROPER("LABOUR"),
ISNUMBER(SEARCH("PAEDIATRIC",K375)), PROPER("PAEDIATRIC"),
ISNUMBER(SEARCH("FEMALE SURGICAL",K375)), PROPER("FEMALE SURG, ORTHO &amp; GYN"),
ISNUMBER(SEARCH("PSYCHIATRIST",K375)), PROPER("PSYCHIATRIST"),
ISNUMBER(SEARCH("GRADE 1",K375)), PROPER("GRADE 1"),
ISNUMBER(SEARCH("MALE SURGICAL",K375)), PROPER("MALE SURG &amp; ORTHOPEDIC"),
ISNUMBER(SEARCH("MALE MEDICAL",K375)), PROPER("MALE MEDICAL"),
ISNUMBER(SEARCH("GRADE 2",K375)), PROPER("GRADE 2"),
ISNUMBER(SEARCH("FEMALE WARD",K375)), PROPER("FEMALE MEDICAL"),
TRUE, "Unmapped: " &amp; K375)</f>
        <v>Male Medical</v>
      </c>
      <c r="M375" t="s">
        <v>22</v>
      </c>
      <c r="O375" t="s">
        <v>1437</v>
      </c>
      <c r="P375" t="str">
        <f t="shared" si="45"/>
        <v>Text Error</v>
      </c>
      <c r="Q375" s="5">
        <v>46036.501631944448</v>
      </c>
      <c r="R375" t="str">
        <f t="shared" si="46"/>
        <v>Valid Date</v>
      </c>
      <c r="S375" t="s">
        <v>1438</v>
      </c>
      <c r="T375" s="5">
        <v>46040.540578703702</v>
      </c>
      <c r="U375">
        <v>4</v>
      </c>
      <c r="V375" t="str">
        <f t="shared" si="47"/>
        <v>OK</v>
      </c>
      <c r="W375" t="s">
        <v>25</v>
      </c>
      <c r="Y375" t="s">
        <v>30</v>
      </c>
    </row>
    <row r="376" spans="1:25" x14ac:dyDescent="0.25">
      <c r="A376" t="s">
        <v>1440</v>
      </c>
      <c r="B376" t="str">
        <f t="shared" si="41"/>
        <v>Zainab Deogratias Malilo</v>
      </c>
      <c r="C376">
        <v>128443</v>
      </c>
      <c r="D376" t="str">
        <f t="shared" si="40"/>
        <v>Unique</v>
      </c>
      <c r="E376" t="s">
        <v>400</v>
      </c>
      <c r="F376" s="3">
        <f t="shared" si="42"/>
        <v>39</v>
      </c>
      <c r="G376" t="s">
        <v>32</v>
      </c>
      <c r="H376" t="str">
        <f t="shared" si="43"/>
        <v>Valid</v>
      </c>
      <c r="I376" t="s">
        <v>33</v>
      </c>
      <c r="J376" t="str">
        <f t="shared" si="44"/>
        <v>Kigoma Ujiji Mc</v>
      </c>
      <c r="K376" t="s">
        <v>40</v>
      </c>
      <c r="L376" t="str" cm="1">
        <f t="array" ref="L376">_xlfn.IFS(
ISNUMBER(SEARCH("ICU",K376)), "ICU",
ISNUMBER(SEARCH("NEONATAL",K376)), PROPER("NEONATAL"),
ISNUMBER(SEARCH("LABOUR",K376)), PROPER("LABOUR"),
ISNUMBER(SEARCH("PAEDIATRIC",K376)), PROPER("PAEDIATRIC"),
ISNUMBER(SEARCH("FEMALE SURGICAL",K376)), PROPER("FEMALE SURG, ORTHO &amp; GYN"),
ISNUMBER(SEARCH("PSYCHIATRIST",K376)), PROPER("PSYCHIATRIST"),
ISNUMBER(SEARCH("GRADE 1",K376)), PROPER("GRADE 1"),
ISNUMBER(SEARCH("MALE SURGICAL",K376)), PROPER("MALE SURG &amp; ORTHOPEDIC"),
ISNUMBER(SEARCH("MALE MEDICAL",K376)), PROPER("MALE MEDICAL"),
ISNUMBER(SEARCH("GRADE 2",K376)), PROPER("GRADE 2"),
ISNUMBER(SEARCH("FEMALE WARD",K376)), PROPER("FEMALE MEDICAL"),
TRUE, "Unmapped: " &amp; K376)</f>
        <v>Labour</v>
      </c>
      <c r="M376" t="s">
        <v>22</v>
      </c>
      <c r="O376" t="s">
        <v>1441</v>
      </c>
      <c r="P376" t="str">
        <f t="shared" si="45"/>
        <v>Text Error</v>
      </c>
      <c r="Q376" s="5">
        <v>46036.669907407406</v>
      </c>
      <c r="R376" t="str">
        <f t="shared" si="46"/>
        <v>Valid Date</v>
      </c>
      <c r="S376" t="s">
        <v>1442</v>
      </c>
      <c r="T376" s="5">
        <v>46041.535451388889</v>
      </c>
      <c r="U376">
        <v>4</v>
      </c>
      <c r="V376" t="str">
        <f t="shared" si="47"/>
        <v>OK</v>
      </c>
      <c r="W376" t="s">
        <v>25</v>
      </c>
      <c r="Y376" t="s">
        <v>30</v>
      </c>
    </row>
    <row r="377" spans="1:25" x14ac:dyDescent="0.25">
      <c r="A377" t="s">
        <v>1443</v>
      </c>
      <c r="B377" t="str">
        <f t="shared" si="41"/>
        <v>Prisca Hamenya Joseph</v>
      </c>
      <c r="C377">
        <v>126670</v>
      </c>
      <c r="D377" t="str">
        <f t="shared" si="40"/>
        <v>Unique</v>
      </c>
      <c r="E377" t="s">
        <v>622</v>
      </c>
      <c r="F377" s="3" t="str">
        <f t="shared" si="42"/>
        <v>2/12</v>
      </c>
      <c r="G377" t="s">
        <v>32</v>
      </c>
      <c r="H377" t="str">
        <f t="shared" si="43"/>
        <v>Valid</v>
      </c>
      <c r="I377" t="s">
        <v>260</v>
      </c>
      <c r="J377" t="str">
        <f t="shared" si="44"/>
        <v>Kasulu</v>
      </c>
      <c r="K377" t="s">
        <v>21</v>
      </c>
      <c r="L377" t="str" cm="1">
        <f t="array" ref="L377">_xlfn.IFS(
ISNUMBER(SEARCH("ICU",K377)), "ICU",
ISNUMBER(SEARCH("NEONATAL",K377)), PROPER("NEONATAL"),
ISNUMBER(SEARCH("LABOUR",K377)), PROPER("LABOUR"),
ISNUMBER(SEARCH("PAEDIATRIC",K377)), PROPER("PAEDIATRIC"),
ISNUMBER(SEARCH("FEMALE SURGICAL",K377)), PROPER("FEMALE SURG, ORTHO &amp; GYN"),
ISNUMBER(SEARCH("PSYCHIATRIST",K377)), PROPER("PSYCHIATRIST"),
ISNUMBER(SEARCH("GRADE 1",K377)), PROPER("GRADE 1"),
ISNUMBER(SEARCH("MALE SURGICAL",K377)), PROPER("MALE SURG &amp; ORTHOPEDIC"),
ISNUMBER(SEARCH("MALE MEDICAL",K377)), PROPER("MALE MEDICAL"),
ISNUMBER(SEARCH("GRADE 2",K377)), PROPER("GRADE 2"),
ISNUMBER(SEARCH("FEMALE WARD",K377)), PROPER("FEMALE MEDICAL"),
TRUE, "Unmapped: " &amp; K377)</f>
        <v>Neonatal</v>
      </c>
      <c r="M377" t="s">
        <v>22</v>
      </c>
      <c r="O377" t="s">
        <v>1444</v>
      </c>
      <c r="P377" t="str">
        <f t="shared" si="45"/>
        <v>Text Error</v>
      </c>
      <c r="Q377" s="5">
        <v>46036.699247685188</v>
      </c>
      <c r="R377" t="str">
        <f t="shared" si="46"/>
        <v>Valid Date</v>
      </c>
      <c r="S377" t="s">
        <v>1445</v>
      </c>
      <c r="T377" s="5">
        <v>46041.513622685183</v>
      </c>
      <c r="U377">
        <v>4</v>
      </c>
      <c r="V377" t="str">
        <f t="shared" si="47"/>
        <v>OK</v>
      </c>
      <c r="W377" t="s">
        <v>25</v>
      </c>
      <c r="Y377" t="s">
        <v>30</v>
      </c>
    </row>
    <row r="378" spans="1:25" x14ac:dyDescent="0.25">
      <c r="A378" t="s">
        <v>1446</v>
      </c>
      <c r="B378" t="str">
        <f t="shared" si="41"/>
        <v>Gerald Wilbert Ndembeka</v>
      </c>
      <c r="C378">
        <v>128378</v>
      </c>
      <c r="D378" t="str">
        <f t="shared" si="40"/>
        <v>Unique</v>
      </c>
      <c r="E378" t="s">
        <v>554</v>
      </c>
      <c r="F378" s="3">
        <f t="shared" si="42"/>
        <v>56</v>
      </c>
      <c r="G378" t="s">
        <v>19</v>
      </c>
      <c r="H378" t="str">
        <f t="shared" si="43"/>
        <v>Valid</v>
      </c>
      <c r="I378" t="s">
        <v>33</v>
      </c>
      <c r="J378" t="str">
        <f t="shared" si="44"/>
        <v>Kigoma Ujiji Mc</v>
      </c>
      <c r="K378" t="s">
        <v>484</v>
      </c>
      <c r="L378" t="str" cm="1">
        <f t="array" ref="L378">_xlfn.IFS(
ISNUMBER(SEARCH("ICU",K378)), "ICU",
ISNUMBER(SEARCH("NEONATAL",K378)), PROPER("NEONATAL"),
ISNUMBER(SEARCH("LABOUR",K378)), PROPER("LABOUR"),
ISNUMBER(SEARCH("PAEDIATRIC",K378)), PROPER("PAEDIATRIC"),
ISNUMBER(SEARCH("FEMALE SURGICAL",K378)), PROPER("FEMALE SURG, ORTHO &amp; GYN"),
ISNUMBER(SEARCH("PSYCHIATRIST",K378)), PROPER("PSYCHIATRIST"),
ISNUMBER(SEARCH("GRADE 1",K378)), PROPER("GRADE 1"),
ISNUMBER(SEARCH("MALE SURGICAL",K378)), PROPER("MALE SURG &amp; ORTHOPEDIC"),
ISNUMBER(SEARCH("MALE MEDICAL",K378)), PROPER("MALE MEDICAL"),
ISNUMBER(SEARCH("GRADE 2",K378)), PROPER("GRADE 2"),
ISNUMBER(SEARCH("FEMALE WARD",K378)), PROPER("FEMALE MEDICAL"),
TRUE, "Unmapped: " &amp; K378)</f>
        <v>Male Medical</v>
      </c>
      <c r="M378" t="s">
        <v>22</v>
      </c>
      <c r="O378" t="s">
        <v>1447</v>
      </c>
      <c r="P378" t="str">
        <f t="shared" si="45"/>
        <v>Text Error</v>
      </c>
      <c r="Q378" s="5">
        <v>46036.806238425925</v>
      </c>
      <c r="R378" t="str">
        <f t="shared" si="46"/>
        <v>Valid Date</v>
      </c>
      <c r="S378" t="s">
        <v>1448</v>
      </c>
      <c r="T378" s="5">
        <v>46041.633368055554</v>
      </c>
      <c r="U378">
        <v>4</v>
      </c>
      <c r="V378" t="str">
        <f t="shared" si="47"/>
        <v>OK</v>
      </c>
      <c r="W378" t="s">
        <v>211</v>
      </c>
      <c r="Y378" t="s">
        <v>30</v>
      </c>
    </row>
    <row r="379" spans="1:25" x14ac:dyDescent="0.25">
      <c r="A379" t="s">
        <v>1449</v>
      </c>
      <c r="B379" t="str">
        <f t="shared" si="41"/>
        <v>Faudhia Abdul Hilali</v>
      </c>
      <c r="C379">
        <v>128278</v>
      </c>
      <c r="D379" t="str">
        <f t="shared" si="40"/>
        <v>Unique</v>
      </c>
      <c r="E379" t="s">
        <v>361</v>
      </c>
      <c r="F379" s="3">
        <f t="shared" si="42"/>
        <v>27</v>
      </c>
      <c r="G379" t="s">
        <v>32</v>
      </c>
      <c r="H379" t="str">
        <f t="shared" si="43"/>
        <v>Valid</v>
      </c>
      <c r="I379" t="s">
        <v>33</v>
      </c>
      <c r="J379" t="str">
        <f t="shared" si="44"/>
        <v>Kigoma Ujiji Mc</v>
      </c>
      <c r="K379" t="s">
        <v>123</v>
      </c>
      <c r="L379" t="str" cm="1">
        <f t="array" ref="L379">_xlfn.IFS(
ISNUMBER(SEARCH("ICU",K379)), "ICU",
ISNUMBER(SEARCH("NEONATAL",K379)), PROPER("NEONATAL"),
ISNUMBER(SEARCH("LABOUR",K379)), PROPER("LABOUR"),
ISNUMBER(SEARCH("PAEDIATRIC",K379)), PROPER("PAEDIATRIC"),
ISNUMBER(SEARCH("FEMALE SURGICAL",K379)), PROPER("FEMALE SURG, ORTHO &amp; GYN"),
ISNUMBER(SEARCH("PSYCHIATRIST",K379)), PROPER("PSYCHIATRIST"),
ISNUMBER(SEARCH("GRADE 1",K379)), PROPER("GRADE 1"),
ISNUMBER(SEARCH("MALE SURGICAL",K379)), PROPER("MALE SURG &amp; ORTHOPEDIC"),
ISNUMBER(SEARCH("MALE MEDICAL",K379)), PROPER("MALE MEDICAL"),
ISNUMBER(SEARCH("GRADE 2",K379)), PROPER("GRADE 2"),
ISNUMBER(SEARCH("FEMALE WARD",K379)), PROPER("FEMALE MEDICAL"),
TRUE, "Unmapped: " &amp; K379)</f>
        <v>Female Surg, Ortho &amp; Gyn</v>
      </c>
      <c r="M379" t="s">
        <v>1062</v>
      </c>
      <c r="O379" t="s">
        <v>1450</v>
      </c>
      <c r="P379" t="str">
        <f t="shared" si="45"/>
        <v>Text Error</v>
      </c>
      <c r="Q379" s="5">
        <v>46036.846284722225</v>
      </c>
      <c r="R379" t="str">
        <f t="shared" si="46"/>
        <v>Valid Date</v>
      </c>
      <c r="S379" t="s">
        <v>1451</v>
      </c>
      <c r="T379" s="5">
        <v>46041.426863425928</v>
      </c>
      <c r="U379">
        <v>4</v>
      </c>
      <c r="V379" t="str">
        <f t="shared" si="47"/>
        <v>OK</v>
      </c>
      <c r="W379" t="s">
        <v>25</v>
      </c>
      <c r="Y379" t="s">
        <v>30</v>
      </c>
    </row>
    <row r="380" spans="1:25" x14ac:dyDescent="0.25">
      <c r="A380" t="s">
        <v>1452</v>
      </c>
      <c r="B380" t="str">
        <f t="shared" si="41"/>
        <v>Babyof Zainab Deogratias Malilo</v>
      </c>
      <c r="C380">
        <v>128452</v>
      </c>
      <c r="D380" t="str">
        <f t="shared" si="40"/>
        <v>Unique</v>
      </c>
      <c r="E380" t="s">
        <v>622</v>
      </c>
      <c r="F380" s="3" t="str">
        <f t="shared" si="42"/>
        <v>2/12</v>
      </c>
      <c r="G380" t="s">
        <v>19</v>
      </c>
      <c r="H380" t="str">
        <f t="shared" si="43"/>
        <v>Valid</v>
      </c>
      <c r="I380" t="s">
        <v>33</v>
      </c>
      <c r="J380" t="str">
        <f t="shared" si="44"/>
        <v>Kigoma Ujiji Mc</v>
      </c>
      <c r="K380" t="s">
        <v>21</v>
      </c>
      <c r="L380" t="str" cm="1">
        <f t="array" ref="L380">_xlfn.IFS(
ISNUMBER(SEARCH("ICU",K380)), "ICU",
ISNUMBER(SEARCH("NEONATAL",K380)), PROPER("NEONATAL"),
ISNUMBER(SEARCH("LABOUR",K380)), PROPER("LABOUR"),
ISNUMBER(SEARCH("PAEDIATRIC",K380)), PROPER("PAEDIATRIC"),
ISNUMBER(SEARCH("FEMALE SURGICAL",K380)), PROPER("FEMALE SURG, ORTHO &amp; GYN"),
ISNUMBER(SEARCH("PSYCHIATRIST",K380)), PROPER("PSYCHIATRIST"),
ISNUMBER(SEARCH("GRADE 1",K380)), PROPER("GRADE 1"),
ISNUMBER(SEARCH("MALE SURGICAL",K380)), PROPER("MALE SURG &amp; ORTHOPEDIC"),
ISNUMBER(SEARCH("MALE MEDICAL",K380)), PROPER("MALE MEDICAL"),
ISNUMBER(SEARCH("GRADE 2",K380)), PROPER("GRADE 2"),
ISNUMBER(SEARCH("FEMALE WARD",K380)), PROPER("FEMALE MEDICAL"),
TRUE, "Unmapped: " &amp; K380)</f>
        <v>Neonatal</v>
      </c>
      <c r="M380" t="s">
        <v>22</v>
      </c>
      <c r="O380" t="s">
        <v>1453</v>
      </c>
      <c r="P380" t="str">
        <f t="shared" si="45"/>
        <v>Text Error</v>
      </c>
      <c r="Q380" s="5">
        <v>46036.967233796298</v>
      </c>
      <c r="R380" t="str">
        <f t="shared" si="46"/>
        <v>Valid Date</v>
      </c>
      <c r="S380" t="s">
        <v>1454</v>
      </c>
      <c r="T380" s="5">
        <v>46041.536134259259</v>
      </c>
      <c r="U380">
        <v>4</v>
      </c>
      <c r="V380" t="str">
        <f t="shared" si="47"/>
        <v>OK</v>
      </c>
      <c r="W380" t="s">
        <v>25</v>
      </c>
      <c r="Y380" t="s">
        <v>30</v>
      </c>
    </row>
    <row r="381" spans="1:25" x14ac:dyDescent="0.25">
      <c r="A381" t="s">
        <v>1455</v>
      </c>
      <c r="B381" t="str">
        <f t="shared" si="41"/>
        <v>Halima Sudi Omary</v>
      </c>
      <c r="C381">
        <v>128295</v>
      </c>
      <c r="D381" t="str">
        <f t="shared" si="40"/>
        <v>Unique</v>
      </c>
      <c r="E381" t="s">
        <v>122</v>
      </c>
      <c r="F381" s="3">
        <f t="shared" si="42"/>
        <v>40</v>
      </c>
      <c r="G381" t="s">
        <v>32</v>
      </c>
      <c r="H381" t="str">
        <f t="shared" si="43"/>
        <v>Valid</v>
      </c>
      <c r="I381" t="s">
        <v>33</v>
      </c>
      <c r="J381" t="str">
        <f t="shared" si="44"/>
        <v>Kigoma Ujiji Mc</v>
      </c>
      <c r="K381" t="s">
        <v>40</v>
      </c>
      <c r="L381" t="str" cm="1">
        <f t="array" ref="L381">_xlfn.IFS(
ISNUMBER(SEARCH("ICU",K381)), "ICU",
ISNUMBER(SEARCH("NEONATAL",K381)), PROPER("NEONATAL"),
ISNUMBER(SEARCH("LABOUR",K381)), PROPER("LABOUR"),
ISNUMBER(SEARCH("PAEDIATRIC",K381)), PROPER("PAEDIATRIC"),
ISNUMBER(SEARCH("FEMALE SURGICAL",K381)), PROPER("FEMALE SURG, ORTHO &amp; GYN"),
ISNUMBER(SEARCH("PSYCHIATRIST",K381)), PROPER("PSYCHIATRIST"),
ISNUMBER(SEARCH("GRADE 1",K381)), PROPER("GRADE 1"),
ISNUMBER(SEARCH("MALE SURGICAL",K381)), PROPER("MALE SURG &amp; ORTHOPEDIC"),
ISNUMBER(SEARCH("MALE MEDICAL",K381)), PROPER("MALE MEDICAL"),
ISNUMBER(SEARCH("GRADE 2",K381)), PROPER("GRADE 2"),
ISNUMBER(SEARCH("FEMALE WARD",K381)), PROPER("FEMALE MEDICAL"),
TRUE, "Unmapped: " &amp; K381)</f>
        <v>Labour</v>
      </c>
      <c r="M381" t="s">
        <v>22</v>
      </c>
      <c r="O381" t="s">
        <v>1456</v>
      </c>
      <c r="P381" t="str">
        <f t="shared" si="45"/>
        <v>Text Error</v>
      </c>
      <c r="Q381" s="5">
        <v>46037.378923611112</v>
      </c>
      <c r="R381" t="str">
        <f t="shared" si="46"/>
        <v>Valid Date</v>
      </c>
      <c r="S381" t="s">
        <v>1457</v>
      </c>
      <c r="T381" s="5">
        <v>46042.345416666663</v>
      </c>
      <c r="U381">
        <v>4</v>
      </c>
      <c r="V381" t="str">
        <f t="shared" si="47"/>
        <v>OK</v>
      </c>
      <c r="W381" t="s">
        <v>25</v>
      </c>
      <c r="Y381" t="s">
        <v>30</v>
      </c>
    </row>
    <row r="382" spans="1:25" x14ac:dyDescent="0.25">
      <c r="A382" t="s">
        <v>1458</v>
      </c>
      <c r="B382" t="str">
        <f t="shared" si="41"/>
        <v>Baby Of Bertha James Kidaha</v>
      </c>
      <c r="C382">
        <v>128477</v>
      </c>
      <c r="D382" t="str">
        <f t="shared" si="40"/>
        <v>Unique</v>
      </c>
      <c r="E382" t="s">
        <v>622</v>
      </c>
      <c r="F382" s="3" t="str">
        <f t="shared" si="42"/>
        <v>2/12</v>
      </c>
      <c r="G382" t="s">
        <v>19</v>
      </c>
      <c r="H382" t="str">
        <f t="shared" si="43"/>
        <v>Valid</v>
      </c>
      <c r="I382" t="s">
        <v>33</v>
      </c>
      <c r="J382" t="str">
        <f t="shared" si="44"/>
        <v>Kigoma Ujiji Mc</v>
      </c>
      <c r="K382" t="s">
        <v>21</v>
      </c>
      <c r="L382" t="str" cm="1">
        <f t="array" ref="L382">_xlfn.IFS(
ISNUMBER(SEARCH("ICU",K382)), "ICU",
ISNUMBER(SEARCH("NEONATAL",K382)), PROPER("NEONATAL"),
ISNUMBER(SEARCH("LABOUR",K382)), PROPER("LABOUR"),
ISNUMBER(SEARCH("PAEDIATRIC",K382)), PROPER("PAEDIATRIC"),
ISNUMBER(SEARCH("FEMALE SURGICAL",K382)), PROPER("FEMALE SURG, ORTHO &amp; GYN"),
ISNUMBER(SEARCH("PSYCHIATRIST",K382)), PROPER("PSYCHIATRIST"),
ISNUMBER(SEARCH("GRADE 1",K382)), PROPER("GRADE 1"),
ISNUMBER(SEARCH("MALE SURGICAL",K382)), PROPER("MALE SURG &amp; ORTHOPEDIC"),
ISNUMBER(SEARCH("MALE MEDICAL",K382)), PROPER("MALE MEDICAL"),
ISNUMBER(SEARCH("GRADE 2",K382)), PROPER("GRADE 2"),
ISNUMBER(SEARCH("FEMALE WARD",K382)), PROPER("FEMALE MEDICAL"),
TRUE, "Unmapped: " &amp; K382)</f>
        <v>Neonatal</v>
      </c>
      <c r="M382" t="s">
        <v>22</v>
      </c>
      <c r="O382" t="s">
        <v>1459</v>
      </c>
      <c r="P382" t="str">
        <f t="shared" si="45"/>
        <v>Text Error</v>
      </c>
      <c r="Q382" s="5">
        <v>46037.503113425926</v>
      </c>
      <c r="R382" t="str">
        <f t="shared" si="46"/>
        <v>Valid Date</v>
      </c>
      <c r="S382" t="s">
        <v>1460</v>
      </c>
      <c r="T382" s="5">
        <v>46041.554780092592</v>
      </c>
      <c r="U382">
        <v>4</v>
      </c>
      <c r="V382" t="str">
        <f t="shared" si="47"/>
        <v>OK</v>
      </c>
      <c r="W382" t="s">
        <v>25</v>
      </c>
      <c r="Y382" t="s">
        <v>30</v>
      </c>
    </row>
    <row r="383" spans="1:25" x14ac:dyDescent="0.25">
      <c r="A383" t="s">
        <v>1461</v>
      </c>
      <c r="B383" t="str">
        <f t="shared" si="41"/>
        <v>Babyof Queen Ahmad</v>
      </c>
      <c r="C383">
        <v>128503</v>
      </c>
      <c r="D383" t="str">
        <f t="shared" si="40"/>
        <v>Unique</v>
      </c>
      <c r="E383" t="s">
        <v>622</v>
      </c>
      <c r="F383" s="3" t="str">
        <f t="shared" si="42"/>
        <v>2/12</v>
      </c>
      <c r="G383" t="s">
        <v>32</v>
      </c>
      <c r="H383" t="str">
        <f t="shared" si="43"/>
        <v>Valid</v>
      </c>
      <c r="I383" t="s">
        <v>33</v>
      </c>
      <c r="J383" t="str">
        <f t="shared" si="44"/>
        <v>Kigoma Ujiji Mc</v>
      </c>
      <c r="K383" t="s">
        <v>21</v>
      </c>
      <c r="L383" t="str" cm="1">
        <f t="array" ref="L383">_xlfn.IFS(
ISNUMBER(SEARCH("ICU",K383)), "ICU",
ISNUMBER(SEARCH("NEONATAL",K383)), PROPER("NEONATAL"),
ISNUMBER(SEARCH("LABOUR",K383)), PROPER("LABOUR"),
ISNUMBER(SEARCH("PAEDIATRIC",K383)), PROPER("PAEDIATRIC"),
ISNUMBER(SEARCH("FEMALE SURGICAL",K383)), PROPER("FEMALE SURG, ORTHO &amp; GYN"),
ISNUMBER(SEARCH("PSYCHIATRIST",K383)), PROPER("PSYCHIATRIST"),
ISNUMBER(SEARCH("GRADE 1",K383)), PROPER("GRADE 1"),
ISNUMBER(SEARCH("MALE SURGICAL",K383)), PROPER("MALE SURG &amp; ORTHOPEDIC"),
ISNUMBER(SEARCH("MALE MEDICAL",K383)), PROPER("MALE MEDICAL"),
ISNUMBER(SEARCH("GRADE 2",K383)), PROPER("GRADE 2"),
ISNUMBER(SEARCH("FEMALE WARD",K383)), PROPER("FEMALE MEDICAL"),
TRUE, "Unmapped: " &amp; K383)</f>
        <v>Neonatal</v>
      </c>
      <c r="M383" t="s">
        <v>22</v>
      </c>
      <c r="O383" t="s">
        <v>1462</v>
      </c>
      <c r="P383" t="str">
        <f t="shared" si="45"/>
        <v>Text Error</v>
      </c>
      <c r="Q383" s="5">
        <v>46037.524583333332</v>
      </c>
      <c r="R383" t="str">
        <f t="shared" si="46"/>
        <v>Valid Date</v>
      </c>
      <c r="S383" t="s">
        <v>1463</v>
      </c>
      <c r="T383" s="5">
        <v>46041.67355324074</v>
      </c>
      <c r="U383">
        <v>4</v>
      </c>
      <c r="V383" t="str">
        <f t="shared" si="47"/>
        <v>OK</v>
      </c>
      <c r="W383" t="s">
        <v>25</v>
      </c>
      <c r="Y383" t="s">
        <v>30</v>
      </c>
    </row>
    <row r="384" spans="1:25" x14ac:dyDescent="0.25">
      <c r="A384" t="s">
        <v>1464</v>
      </c>
      <c r="B384" t="str">
        <f t="shared" si="41"/>
        <v>Aman Hamis Baruti</v>
      </c>
      <c r="C384">
        <v>13901</v>
      </c>
      <c r="D384" t="str">
        <f t="shared" si="40"/>
        <v>Duplicate</v>
      </c>
      <c r="E384" t="s">
        <v>74</v>
      </c>
      <c r="F384" s="3">
        <f t="shared" si="42"/>
        <v>35</v>
      </c>
      <c r="G384" t="s">
        <v>19</v>
      </c>
      <c r="H384" t="str">
        <f t="shared" si="43"/>
        <v>Valid</v>
      </c>
      <c r="I384" t="s">
        <v>754</v>
      </c>
      <c r="J384" t="str">
        <f t="shared" si="44"/>
        <v>KG</v>
      </c>
      <c r="K384" t="s">
        <v>685</v>
      </c>
      <c r="L384" t="str" cm="1">
        <f t="array" ref="L384">_xlfn.IFS(
ISNUMBER(SEARCH("ICU",K384)), "ICU",
ISNUMBER(SEARCH("NEONATAL",K384)), PROPER("NEONATAL"),
ISNUMBER(SEARCH("LABOUR",K384)), PROPER("LABOUR"),
ISNUMBER(SEARCH("PAEDIATRIC",K384)), PROPER("PAEDIATRIC"),
ISNUMBER(SEARCH("FEMALE SURGICAL",K384)), PROPER("FEMALE SURG, ORTHO &amp; GYN"),
ISNUMBER(SEARCH("PSYCHIATRIST",K384)), PROPER("PSYCHIATRIST"),
ISNUMBER(SEARCH("GRADE 1",K384)), PROPER("GRADE 1"),
ISNUMBER(SEARCH("MALE SURGICAL",K384)), PROPER("MALE SURG &amp; ORTHOPEDIC"),
ISNUMBER(SEARCH("MALE MEDICAL",K384)), PROPER("MALE MEDICAL"),
ISNUMBER(SEARCH("GRADE 2",K384)), PROPER("GRADE 2"),
ISNUMBER(SEARCH("FEMALE WARD",K384)), PROPER("FEMALE MEDICAL"),
TRUE, "Unmapped: " &amp; K384)</f>
        <v>Grade 2</v>
      </c>
      <c r="M384" t="s">
        <v>394</v>
      </c>
      <c r="O384" t="s">
        <v>1465</v>
      </c>
      <c r="P384" t="str">
        <f t="shared" si="45"/>
        <v>Text Error</v>
      </c>
      <c r="Q384" s="5">
        <v>46037.675821759258</v>
      </c>
      <c r="R384" t="str">
        <f t="shared" si="46"/>
        <v>Valid Date</v>
      </c>
      <c r="S384" t="s">
        <v>1466</v>
      </c>
      <c r="T384" s="5">
        <v>46042.588842592595</v>
      </c>
      <c r="U384">
        <v>4</v>
      </c>
      <c r="V384" t="str">
        <f t="shared" si="47"/>
        <v>OK</v>
      </c>
      <c r="W384" t="s">
        <v>25</v>
      </c>
      <c r="Y384" t="s">
        <v>30</v>
      </c>
    </row>
    <row r="385" spans="1:25" x14ac:dyDescent="0.25">
      <c r="A385" t="s">
        <v>1467</v>
      </c>
      <c r="B385" t="str">
        <f t="shared" si="41"/>
        <v>Ratifa Simon Kigozi</v>
      </c>
      <c r="C385">
        <v>128551</v>
      </c>
      <c r="D385" t="str">
        <f t="shared" si="40"/>
        <v>Unique</v>
      </c>
      <c r="E385" t="s">
        <v>108</v>
      </c>
      <c r="F385" s="3">
        <f t="shared" si="42"/>
        <v>2</v>
      </c>
      <c r="G385" t="s">
        <v>32</v>
      </c>
      <c r="H385" t="str">
        <f t="shared" si="43"/>
        <v>Valid</v>
      </c>
      <c r="I385" t="s">
        <v>20</v>
      </c>
      <c r="J385" t="str">
        <f t="shared" si="44"/>
        <v>Uvinza</v>
      </c>
      <c r="K385" t="s">
        <v>109</v>
      </c>
      <c r="L385" t="str" cm="1">
        <f t="array" ref="L385">_xlfn.IFS(
ISNUMBER(SEARCH("ICU",K385)), "ICU",
ISNUMBER(SEARCH("NEONATAL",K385)), PROPER("NEONATAL"),
ISNUMBER(SEARCH("LABOUR",K385)), PROPER("LABOUR"),
ISNUMBER(SEARCH("PAEDIATRIC",K385)), PROPER("PAEDIATRIC"),
ISNUMBER(SEARCH("FEMALE SURGICAL",K385)), PROPER("FEMALE SURG, ORTHO &amp; GYN"),
ISNUMBER(SEARCH("PSYCHIATRIST",K385)), PROPER("PSYCHIATRIST"),
ISNUMBER(SEARCH("GRADE 1",K385)), PROPER("GRADE 1"),
ISNUMBER(SEARCH("MALE SURGICAL",K385)), PROPER("MALE SURG &amp; ORTHOPEDIC"),
ISNUMBER(SEARCH("MALE MEDICAL",K385)), PROPER("MALE MEDICAL"),
ISNUMBER(SEARCH("GRADE 2",K385)), PROPER("GRADE 2"),
ISNUMBER(SEARCH("FEMALE WARD",K385)), PROPER("FEMALE MEDICAL"),
TRUE, "Unmapped: " &amp; K385)</f>
        <v>Paediatric</v>
      </c>
      <c r="M385" t="s">
        <v>22</v>
      </c>
      <c r="O385" t="s">
        <v>1468</v>
      </c>
      <c r="P385" t="str">
        <f t="shared" si="45"/>
        <v>Text Error</v>
      </c>
      <c r="Q385" s="5">
        <v>46037.796481481484</v>
      </c>
      <c r="R385" t="str">
        <f t="shared" si="46"/>
        <v>Valid Date</v>
      </c>
      <c r="S385" t="s">
        <v>1469</v>
      </c>
      <c r="T385" s="5">
        <v>46042.349236111113</v>
      </c>
      <c r="U385">
        <v>4</v>
      </c>
      <c r="V385" t="str">
        <f t="shared" si="47"/>
        <v>OK</v>
      </c>
      <c r="W385" t="s">
        <v>25</v>
      </c>
      <c r="Y385" t="s">
        <v>30</v>
      </c>
    </row>
    <row r="386" spans="1:25" x14ac:dyDescent="0.25">
      <c r="A386" t="s">
        <v>1470</v>
      </c>
      <c r="B386" t="str">
        <f t="shared" si="41"/>
        <v>Shamsa Issa Galula</v>
      </c>
      <c r="C386">
        <v>33736</v>
      </c>
      <c r="D386" t="str">
        <f t="shared" ref="D386:D449" si="48">IF(COUNTIF($C$2:$C$905,C386)&gt;1,"Duplicate","Unique")</f>
        <v>Unique</v>
      </c>
      <c r="E386" t="s">
        <v>281</v>
      </c>
      <c r="F386" s="3">
        <f t="shared" si="42"/>
        <v>36</v>
      </c>
      <c r="G386" t="s">
        <v>32</v>
      </c>
      <c r="H386" t="str">
        <f t="shared" si="43"/>
        <v>Valid</v>
      </c>
      <c r="I386" t="s">
        <v>33</v>
      </c>
      <c r="J386" t="str">
        <f t="shared" si="44"/>
        <v>Kigoma Ujiji Mc</v>
      </c>
      <c r="K386" t="s">
        <v>40</v>
      </c>
      <c r="L386" t="str" cm="1">
        <f t="array" ref="L386">_xlfn.IFS(
ISNUMBER(SEARCH("ICU",K386)), "ICU",
ISNUMBER(SEARCH("NEONATAL",K386)), PROPER("NEONATAL"),
ISNUMBER(SEARCH("LABOUR",K386)), PROPER("LABOUR"),
ISNUMBER(SEARCH("PAEDIATRIC",K386)), PROPER("PAEDIATRIC"),
ISNUMBER(SEARCH("FEMALE SURGICAL",K386)), PROPER("FEMALE SURG, ORTHO &amp; GYN"),
ISNUMBER(SEARCH("PSYCHIATRIST",K386)), PROPER("PSYCHIATRIST"),
ISNUMBER(SEARCH("GRADE 1",K386)), PROPER("GRADE 1"),
ISNUMBER(SEARCH("MALE SURGICAL",K386)), PROPER("MALE SURG &amp; ORTHOPEDIC"),
ISNUMBER(SEARCH("MALE MEDICAL",K386)), PROPER("MALE MEDICAL"),
ISNUMBER(SEARCH("GRADE 2",K386)), PROPER("GRADE 2"),
ISNUMBER(SEARCH("FEMALE WARD",K386)), PROPER("FEMALE MEDICAL"),
TRUE, "Unmapped: " &amp; K386)</f>
        <v>Labour</v>
      </c>
      <c r="M386" t="s">
        <v>22</v>
      </c>
      <c r="O386" t="s">
        <v>1471</v>
      </c>
      <c r="P386" t="str">
        <f t="shared" si="45"/>
        <v>Text Error</v>
      </c>
      <c r="Q386" s="5">
        <v>46038.547314814816</v>
      </c>
      <c r="R386" t="str">
        <f t="shared" si="46"/>
        <v>Valid Date</v>
      </c>
      <c r="S386" t="s">
        <v>1472</v>
      </c>
      <c r="T386" s="5">
        <v>46042.634513888886</v>
      </c>
      <c r="U386">
        <v>4</v>
      </c>
      <c r="V386" t="str">
        <f t="shared" si="47"/>
        <v>OK</v>
      </c>
      <c r="W386" t="s">
        <v>112</v>
      </c>
      <c r="Y386" t="s">
        <v>30</v>
      </c>
    </row>
    <row r="387" spans="1:25" x14ac:dyDescent="0.25">
      <c r="A387" t="s">
        <v>1473</v>
      </c>
      <c r="B387" t="str">
        <f t="shared" ref="B387:B450" si="49">IF(LEN(TRIM(A387))-LEN(SUBSTITUTE(TRIM(A387)," ",""))&gt;=1,TRIM(A387),"⚠ Only 1 name: "&amp;TRIM(A387))</f>
        <v>Issa F Makoa</v>
      </c>
      <c r="C387">
        <v>96467</v>
      </c>
      <c r="D387" t="str">
        <f t="shared" si="48"/>
        <v>Unique</v>
      </c>
      <c r="E387" t="s">
        <v>108</v>
      </c>
      <c r="F387" s="3">
        <f t="shared" ref="F387:F450" si="50">IF(ISNUMBER(SEARCH("month",E387)), LEFT(E387,FIND(" ",E387)-1)&amp;"/12", VALUE(LEFT(E387,FIND(" ",E387)-1)))</f>
        <v>2</v>
      </c>
      <c r="G387" t="s">
        <v>19</v>
      </c>
      <c r="H387" t="str">
        <f t="shared" ref="H387:H450" si="51">IF(OR(TRIM(G387)="Male", TRIM(G387)="Female"), "Valid", "Inconsistent")</f>
        <v>Valid</v>
      </c>
      <c r="I387" t="s">
        <v>33</v>
      </c>
      <c r="J387" t="str">
        <f t="shared" ref="J387:J450" si="52">SUBSTITUTE(SUBSTITUTE(TRIM(CLEAN(I387)),"Manisipaa ya kigoma ujiji","Kigoma Ujiji Mc"),"Buhingwe","Buhigwe")</f>
        <v>Kigoma Ujiji Mc</v>
      </c>
      <c r="K387" t="s">
        <v>109</v>
      </c>
      <c r="L387" t="str" cm="1">
        <f t="array" ref="L387">_xlfn.IFS(
ISNUMBER(SEARCH("ICU",K387)), "ICU",
ISNUMBER(SEARCH("NEONATAL",K387)), PROPER("NEONATAL"),
ISNUMBER(SEARCH("LABOUR",K387)), PROPER("LABOUR"),
ISNUMBER(SEARCH("PAEDIATRIC",K387)), PROPER("PAEDIATRIC"),
ISNUMBER(SEARCH("FEMALE SURGICAL",K387)), PROPER("FEMALE SURG, ORTHO &amp; GYN"),
ISNUMBER(SEARCH("PSYCHIATRIST",K387)), PROPER("PSYCHIATRIST"),
ISNUMBER(SEARCH("GRADE 1",K387)), PROPER("GRADE 1"),
ISNUMBER(SEARCH("MALE SURGICAL",K387)), PROPER("MALE SURG &amp; ORTHOPEDIC"),
ISNUMBER(SEARCH("MALE MEDICAL",K387)), PROPER("MALE MEDICAL"),
ISNUMBER(SEARCH("GRADE 2",K387)), PROPER("GRADE 2"),
ISNUMBER(SEARCH("FEMALE WARD",K387)), PROPER("FEMALE MEDICAL"),
TRUE, "Unmapped: " &amp; K387)</f>
        <v>Paediatric</v>
      </c>
      <c r="M387" t="s">
        <v>394</v>
      </c>
      <c r="O387" t="s">
        <v>1474</v>
      </c>
      <c r="P387" t="str">
        <f t="shared" ref="P387:P450" si="53">IF(ISNUMBER(O387), "Valid Date", "Text Error")</f>
        <v>Text Error</v>
      </c>
      <c r="Q387" s="5">
        <v>46038.569490740738</v>
      </c>
      <c r="R387" t="str">
        <f t="shared" ref="R387:R450" si="54">IF(ISNUMBER(Q387), "Valid Date", "Text Error")</f>
        <v>Valid Date</v>
      </c>
      <c r="S387" t="s">
        <v>1475</v>
      </c>
      <c r="T387" s="5">
        <v>46042.748611111114</v>
      </c>
      <c r="U387">
        <v>4</v>
      </c>
      <c r="V387" t="str">
        <f t="shared" ref="V387:V450" si="55">IF(NOT(ISNUMBER(U387)), "Text Error", IF(U387&lt;0, "Negative", "OK"))</f>
        <v>OK</v>
      </c>
      <c r="W387" t="s">
        <v>25</v>
      </c>
      <c r="Y387" t="s">
        <v>30</v>
      </c>
    </row>
    <row r="388" spans="1:25" x14ac:dyDescent="0.25">
      <c r="A388" t="s">
        <v>1476</v>
      </c>
      <c r="B388" t="str">
        <f t="shared" si="49"/>
        <v>Jenifa Wilson Yohana</v>
      </c>
      <c r="C388">
        <v>128676</v>
      </c>
      <c r="D388" t="str">
        <f t="shared" si="48"/>
        <v>Unique</v>
      </c>
      <c r="E388" t="s">
        <v>80</v>
      </c>
      <c r="F388" s="3">
        <f t="shared" si="50"/>
        <v>24</v>
      </c>
      <c r="G388" t="s">
        <v>32</v>
      </c>
      <c r="H388" t="str">
        <f t="shared" si="51"/>
        <v>Valid</v>
      </c>
      <c r="I388" t="s">
        <v>62</v>
      </c>
      <c r="J388" t="str">
        <f t="shared" si="52"/>
        <v>Kigoma Vijijini</v>
      </c>
      <c r="K388" t="s">
        <v>40</v>
      </c>
      <c r="L388" t="str" cm="1">
        <f t="array" ref="L388">_xlfn.IFS(
ISNUMBER(SEARCH("ICU",K388)), "ICU",
ISNUMBER(SEARCH("NEONATAL",K388)), PROPER("NEONATAL"),
ISNUMBER(SEARCH("LABOUR",K388)), PROPER("LABOUR"),
ISNUMBER(SEARCH("PAEDIATRIC",K388)), PROPER("PAEDIATRIC"),
ISNUMBER(SEARCH("FEMALE SURGICAL",K388)), PROPER("FEMALE SURG, ORTHO &amp; GYN"),
ISNUMBER(SEARCH("PSYCHIATRIST",K388)), PROPER("PSYCHIATRIST"),
ISNUMBER(SEARCH("GRADE 1",K388)), PROPER("GRADE 1"),
ISNUMBER(SEARCH("MALE SURGICAL",K388)), PROPER("MALE SURG &amp; ORTHOPEDIC"),
ISNUMBER(SEARCH("MALE MEDICAL",K388)), PROPER("MALE MEDICAL"),
ISNUMBER(SEARCH("GRADE 2",K388)), PROPER("GRADE 2"),
ISNUMBER(SEARCH("FEMALE WARD",K388)), PROPER("FEMALE MEDICAL"),
TRUE, "Unmapped: " &amp; K388)</f>
        <v>Labour</v>
      </c>
      <c r="M388" t="s">
        <v>22</v>
      </c>
      <c r="O388" t="s">
        <v>1477</v>
      </c>
      <c r="P388" t="str">
        <f t="shared" si="53"/>
        <v>Text Error</v>
      </c>
      <c r="Q388" s="5">
        <v>46039.38652777778</v>
      </c>
      <c r="R388" t="str">
        <f t="shared" si="54"/>
        <v>Valid Date</v>
      </c>
      <c r="S388" t="s">
        <v>1478</v>
      </c>
      <c r="T388" s="5">
        <v>46043.718344907407</v>
      </c>
      <c r="U388">
        <v>4</v>
      </c>
      <c r="V388" t="str">
        <f t="shared" si="55"/>
        <v>OK</v>
      </c>
      <c r="W388" t="s">
        <v>25</v>
      </c>
      <c r="Y388" t="s">
        <v>30</v>
      </c>
    </row>
    <row r="389" spans="1:25" x14ac:dyDescent="0.25">
      <c r="A389" t="s">
        <v>1479</v>
      </c>
      <c r="B389" t="str">
        <f t="shared" si="49"/>
        <v>Aisha Mohamed Athuman</v>
      </c>
      <c r="C389">
        <v>33310</v>
      </c>
      <c r="D389" t="str">
        <f t="shared" si="48"/>
        <v>Unique</v>
      </c>
      <c r="E389" t="s">
        <v>61</v>
      </c>
      <c r="F389" s="3">
        <f t="shared" si="50"/>
        <v>29</v>
      </c>
      <c r="G389" t="s">
        <v>32</v>
      </c>
      <c r="H389" t="str">
        <f t="shared" si="51"/>
        <v>Valid</v>
      </c>
      <c r="I389" t="s">
        <v>227</v>
      </c>
      <c r="J389" t="str">
        <f t="shared" si="52"/>
        <v>KGG</v>
      </c>
      <c r="K389" t="s">
        <v>40</v>
      </c>
      <c r="L389" t="str" cm="1">
        <f t="array" ref="L389">_xlfn.IFS(
ISNUMBER(SEARCH("ICU",K389)), "ICU",
ISNUMBER(SEARCH("NEONATAL",K389)), PROPER("NEONATAL"),
ISNUMBER(SEARCH("LABOUR",K389)), PROPER("LABOUR"),
ISNUMBER(SEARCH("PAEDIATRIC",K389)), PROPER("PAEDIATRIC"),
ISNUMBER(SEARCH("FEMALE SURGICAL",K389)), PROPER("FEMALE SURG, ORTHO &amp; GYN"),
ISNUMBER(SEARCH("PSYCHIATRIST",K389)), PROPER("PSYCHIATRIST"),
ISNUMBER(SEARCH("GRADE 1",K389)), PROPER("GRADE 1"),
ISNUMBER(SEARCH("MALE SURGICAL",K389)), PROPER("MALE SURG &amp; ORTHOPEDIC"),
ISNUMBER(SEARCH("MALE MEDICAL",K389)), PROPER("MALE MEDICAL"),
ISNUMBER(SEARCH("GRADE 2",K389)), PROPER("GRADE 2"),
ISNUMBER(SEARCH("FEMALE WARD",K389)), PROPER("FEMALE MEDICAL"),
TRUE, "Unmapped: " &amp; K389)</f>
        <v>Labour</v>
      </c>
      <c r="M389" t="s">
        <v>22</v>
      </c>
      <c r="O389" t="s">
        <v>1480</v>
      </c>
      <c r="P389" t="str">
        <f t="shared" si="53"/>
        <v>Text Error</v>
      </c>
      <c r="Q389" s="5">
        <v>46039.595960648148</v>
      </c>
      <c r="R389" t="str">
        <f t="shared" si="54"/>
        <v>Valid Date</v>
      </c>
      <c r="S389" t="s">
        <v>1481</v>
      </c>
      <c r="T389" s="5">
        <v>46043.647291666668</v>
      </c>
      <c r="U389">
        <v>4</v>
      </c>
      <c r="V389" t="str">
        <f t="shared" si="55"/>
        <v>OK</v>
      </c>
      <c r="W389" t="s">
        <v>25</v>
      </c>
      <c r="Y389" t="s">
        <v>30</v>
      </c>
    </row>
    <row r="390" spans="1:25" x14ac:dyDescent="0.25">
      <c r="A390" t="s">
        <v>1482</v>
      </c>
      <c r="B390" t="str">
        <f t="shared" si="49"/>
        <v>Thabit Jumanne Rashid</v>
      </c>
      <c r="C390">
        <v>128103</v>
      </c>
      <c r="D390" t="str">
        <f t="shared" si="48"/>
        <v>Unique</v>
      </c>
      <c r="E390" t="s">
        <v>601</v>
      </c>
      <c r="F390" s="3">
        <f t="shared" si="50"/>
        <v>17</v>
      </c>
      <c r="G390" t="s">
        <v>19</v>
      </c>
      <c r="H390" t="str">
        <f t="shared" si="51"/>
        <v>Valid</v>
      </c>
      <c r="I390" t="s">
        <v>33</v>
      </c>
      <c r="J390" t="str">
        <f t="shared" si="52"/>
        <v>Kigoma Ujiji Mc</v>
      </c>
      <c r="K390" t="s">
        <v>428</v>
      </c>
      <c r="L390" t="str" cm="1">
        <f t="array" ref="L390">_xlfn.IFS(
ISNUMBER(SEARCH("ICU",K390)), "ICU",
ISNUMBER(SEARCH("NEONATAL",K390)), PROPER("NEONATAL"),
ISNUMBER(SEARCH("LABOUR",K390)), PROPER("LABOUR"),
ISNUMBER(SEARCH("PAEDIATRIC",K390)), PROPER("PAEDIATRIC"),
ISNUMBER(SEARCH("FEMALE SURGICAL",K390)), PROPER("FEMALE SURG, ORTHO &amp; GYN"),
ISNUMBER(SEARCH("PSYCHIATRIST",K390)), PROPER("PSYCHIATRIST"),
ISNUMBER(SEARCH("GRADE 1",K390)), PROPER("GRADE 1"),
ISNUMBER(SEARCH("MALE SURGICAL",K390)), PROPER("MALE SURG &amp; ORTHOPEDIC"),
ISNUMBER(SEARCH("MALE MEDICAL",K390)), PROPER("MALE MEDICAL"),
ISNUMBER(SEARCH("GRADE 2",K390)), PROPER("GRADE 2"),
ISNUMBER(SEARCH("FEMALE WARD",K390)), PROPER("FEMALE MEDICAL"),
TRUE, "Unmapped: " &amp; K390)</f>
        <v>Male Surg &amp; Orthopedic</v>
      </c>
      <c r="M390" t="s">
        <v>22</v>
      </c>
      <c r="O390" t="s">
        <v>1483</v>
      </c>
      <c r="P390" t="str">
        <f t="shared" si="53"/>
        <v>Text Error</v>
      </c>
      <c r="Q390" s="5">
        <v>46039.635648148149</v>
      </c>
      <c r="R390" t="str">
        <f t="shared" si="54"/>
        <v>Valid Date</v>
      </c>
      <c r="S390" t="s">
        <v>1484</v>
      </c>
      <c r="T390" s="5">
        <v>46043.680949074071</v>
      </c>
      <c r="U390">
        <v>4</v>
      </c>
      <c r="V390" t="str">
        <f t="shared" si="55"/>
        <v>OK</v>
      </c>
      <c r="W390" t="s">
        <v>25</v>
      </c>
      <c r="Y390" t="s">
        <v>30</v>
      </c>
    </row>
    <row r="391" spans="1:25" x14ac:dyDescent="0.25">
      <c r="A391" t="s">
        <v>1485</v>
      </c>
      <c r="B391" t="str">
        <f t="shared" si="49"/>
        <v>Tabu B Self</v>
      </c>
      <c r="C391">
        <v>128736</v>
      </c>
      <c r="D391" t="str">
        <f t="shared" si="48"/>
        <v>Unique</v>
      </c>
      <c r="E391" t="s">
        <v>778</v>
      </c>
      <c r="F391" s="3">
        <f t="shared" si="50"/>
        <v>52</v>
      </c>
      <c r="G391" t="s">
        <v>32</v>
      </c>
      <c r="H391" t="str">
        <f t="shared" si="51"/>
        <v>Valid</v>
      </c>
      <c r="I391" t="s">
        <v>62</v>
      </c>
      <c r="J391" t="str">
        <f t="shared" si="52"/>
        <v>Kigoma Vijijini</v>
      </c>
      <c r="K391" t="s">
        <v>700</v>
      </c>
      <c r="L391" t="str" cm="1">
        <f t="array" ref="L391">_xlfn.IFS(
ISNUMBER(SEARCH("ICU",K391)), "ICU",
ISNUMBER(SEARCH("NEONATAL",K391)), PROPER("NEONATAL"),
ISNUMBER(SEARCH("LABOUR",K391)), PROPER("LABOUR"),
ISNUMBER(SEARCH("PAEDIATRIC",K391)), PROPER("PAEDIATRIC"),
ISNUMBER(SEARCH("FEMALE SURGICAL",K391)), PROPER("FEMALE SURG, ORTHO &amp; GYN"),
ISNUMBER(SEARCH("PSYCHIATRIST",K391)), PROPER("PSYCHIATRIST"),
ISNUMBER(SEARCH("GRADE 1",K391)), PROPER("GRADE 1"),
ISNUMBER(SEARCH("MALE SURGICAL",K391)), PROPER("MALE SURG &amp; ORTHOPEDIC"),
ISNUMBER(SEARCH("MALE MEDICAL",K391)), PROPER("MALE MEDICAL"),
ISNUMBER(SEARCH("GRADE 2",K391)), PROPER("GRADE 2"),
ISNUMBER(SEARCH("FEMALE WARD",K391)), PROPER("FEMALE MEDICAL"),
TRUE, "Unmapped: " &amp; K391)</f>
        <v>Female Medical</v>
      </c>
      <c r="M391" t="s">
        <v>394</v>
      </c>
      <c r="O391" t="s">
        <v>1486</v>
      </c>
      <c r="P391" t="str">
        <f t="shared" si="53"/>
        <v>Text Error</v>
      </c>
      <c r="Q391" s="5">
        <v>46039.888368055559</v>
      </c>
      <c r="R391" t="str">
        <f t="shared" si="54"/>
        <v>Valid Date</v>
      </c>
      <c r="S391" t="s">
        <v>1487</v>
      </c>
      <c r="T391" s="5">
        <v>46044.664398148147</v>
      </c>
      <c r="U391">
        <v>4</v>
      </c>
      <c r="V391" t="str">
        <f t="shared" si="55"/>
        <v>OK</v>
      </c>
      <c r="W391" t="s">
        <v>25</v>
      </c>
      <c r="Y391" t="s">
        <v>30</v>
      </c>
    </row>
    <row r="392" spans="1:25" x14ac:dyDescent="0.25">
      <c r="A392" t="s">
        <v>1488</v>
      </c>
      <c r="B392" t="str">
        <f t="shared" si="49"/>
        <v>Second Baby Of Jenipher Wilson Yohana</v>
      </c>
      <c r="C392">
        <v>128834</v>
      </c>
      <c r="D392" t="str">
        <f t="shared" si="48"/>
        <v>Unique</v>
      </c>
      <c r="E392" t="s">
        <v>622</v>
      </c>
      <c r="F392" s="3" t="str">
        <f t="shared" si="50"/>
        <v>2/12</v>
      </c>
      <c r="G392" t="s">
        <v>19</v>
      </c>
      <c r="H392" t="str">
        <f t="shared" si="51"/>
        <v>Valid</v>
      </c>
      <c r="I392" t="s">
        <v>62</v>
      </c>
      <c r="J392" t="str">
        <f t="shared" si="52"/>
        <v>Kigoma Vijijini</v>
      </c>
      <c r="K392" t="s">
        <v>21</v>
      </c>
      <c r="L392" t="str" cm="1">
        <f t="array" ref="L392">_xlfn.IFS(
ISNUMBER(SEARCH("ICU",K392)), "ICU",
ISNUMBER(SEARCH("NEONATAL",K392)), PROPER("NEONATAL"),
ISNUMBER(SEARCH("LABOUR",K392)), PROPER("LABOUR"),
ISNUMBER(SEARCH("PAEDIATRIC",K392)), PROPER("PAEDIATRIC"),
ISNUMBER(SEARCH("FEMALE SURGICAL",K392)), PROPER("FEMALE SURG, ORTHO &amp; GYN"),
ISNUMBER(SEARCH("PSYCHIATRIST",K392)), PROPER("PSYCHIATRIST"),
ISNUMBER(SEARCH("GRADE 1",K392)), PROPER("GRADE 1"),
ISNUMBER(SEARCH("MALE SURGICAL",K392)), PROPER("MALE SURG &amp; ORTHOPEDIC"),
ISNUMBER(SEARCH("MALE MEDICAL",K392)), PROPER("MALE MEDICAL"),
ISNUMBER(SEARCH("GRADE 2",K392)), PROPER("GRADE 2"),
ISNUMBER(SEARCH("FEMALE WARD",K392)), PROPER("FEMALE MEDICAL"),
TRUE, "Unmapped: " &amp; K392)</f>
        <v>Neonatal</v>
      </c>
      <c r="M392" t="s">
        <v>22</v>
      </c>
      <c r="O392" t="s">
        <v>1489</v>
      </c>
      <c r="P392" t="str">
        <f t="shared" si="53"/>
        <v>Text Error</v>
      </c>
      <c r="Q392" s="5">
        <v>46041.488668981481</v>
      </c>
      <c r="R392" t="str">
        <f t="shared" si="54"/>
        <v>Valid Date</v>
      </c>
      <c r="S392" t="s">
        <v>1490</v>
      </c>
      <c r="T392" s="5">
        <v>46045.621805555558</v>
      </c>
      <c r="U392">
        <v>4</v>
      </c>
      <c r="V392" t="str">
        <f t="shared" si="55"/>
        <v>OK</v>
      </c>
      <c r="W392" t="s">
        <v>25</v>
      </c>
      <c r="Y392" t="s">
        <v>30</v>
      </c>
    </row>
    <row r="393" spans="1:25" x14ac:dyDescent="0.25">
      <c r="A393" t="s">
        <v>1491</v>
      </c>
      <c r="B393" t="str">
        <f t="shared" si="49"/>
        <v>First Baby Of Jenipher Wilson Yohana</v>
      </c>
      <c r="C393">
        <v>128832</v>
      </c>
      <c r="D393" t="str">
        <f t="shared" si="48"/>
        <v>Unique</v>
      </c>
      <c r="E393" t="s">
        <v>622</v>
      </c>
      <c r="F393" s="3" t="str">
        <f t="shared" si="50"/>
        <v>2/12</v>
      </c>
      <c r="G393" t="s">
        <v>19</v>
      </c>
      <c r="H393" t="str">
        <f t="shared" si="51"/>
        <v>Valid</v>
      </c>
      <c r="I393" t="s">
        <v>62</v>
      </c>
      <c r="J393" t="str">
        <f t="shared" si="52"/>
        <v>Kigoma Vijijini</v>
      </c>
      <c r="K393" t="s">
        <v>21</v>
      </c>
      <c r="L393" t="str" cm="1">
        <f t="array" ref="L393">_xlfn.IFS(
ISNUMBER(SEARCH("ICU",K393)), "ICU",
ISNUMBER(SEARCH("NEONATAL",K393)), PROPER("NEONATAL"),
ISNUMBER(SEARCH("LABOUR",K393)), PROPER("LABOUR"),
ISNUMBER(SEARCH("PAEDIATRIC",K393)), PROPER("PAEDIATRIC"),
ISNUMBER(SEARCH("FEMALE SURGICAL",K393)), PROPER("FEMALE SURG, ORTHO &amp; GYN"),
ISNUMBER(SEARCH("PSYCHIATRIST",K393)), PROPER("PSYCHIATRIST"),
ISNUMBER(SEARCH("GRADE 1",K393)), PROPER("GRADE 1"),
ISNUMBER(SEARCH("MALE SURGICAL",K393)), PROPER("MALE SURG &amp; ORTHOPEDIC"),
ISNUMBER(SEARCH("MALE MEDICAL",K393)), PROPER("MALE MEDICAL"),
ISNUMBER(SEARCH("GRADE 2",K393)), PROPER("GRADE 2"),
ISNUMBER(SEARCH("FEMALE WARD",K393)), PROPER("FEMALE MEDICAL"),
TRUE, "Unmapped: " &amp; K393)</f>
        <v>Neonatal</v>
      </c>
      <c r="M393" t="s">
        <v>22</v>
      </c>
      <c r="O393" t="s">
        <v>1492</v>
      </c>
      <c r="P393" t="str">
        <f t="shared" si="53"/>
        <v>Text Error</v>
      </c>
      <c r="Q393" s="5">
        <v>46041.488958333335</v>
      </c>
      <c r="R393" t="str">
        <f t="shared" si="54"/>
        <v>Valid Date</v>
      </c>
      <c r="S393" t="s">
        <v>1493</v>
      </c>
      <c r="T393" s="5">
        <v>46045.618657407409</v>
      </c>
      <c r="U393">
        <v>4</v>
      </c>
      <c r="V393" t="str">
        <f t="shared" si="55"/>
        <v>OK</v>
      </c>
      <c r="W393" t="s">
        <v>25</v>
      </c>
      <c r="Y393" t="s">
        <v>30</v>
      </c>
    </row>
    <row r="394" spans="1:25" x14ac:dyDescent="0.25">
      <c r="A394" t="s">
        <v>1494</v>
      </c>
      <c r="B394" t="str">
        <f t="shared" si="49"/>
        <v>Abeli Gabriel Dangwa</v>
      </c>
      <c r="C394">
        <v>128806</v>
      </c>
      <c r="D394" t="str">
        <f t="shared" si="48"/>
        <v>Unique</v>
      </c>
      <c r="E394" t="s">
        <v>122</v>
      </c>
      <c r="F394" s="3">
        <f t="shared" si="50"/>
        <v>40</v>
      </c>
      <c r="G394" t="s">
        <v>19</v>
      </c>
      <c r="H394" t="str">
        <f t="shared" si="51"/>
        <v>Valid</v>
      </c>
      <c r="I394" t="s">
        <v>33</v>
      </c>
      <c r="J394" t="str">
        <f t="shared" si="52"/>
        <v>Kigoma Ujiji Mc</v>
      </c>
      <c r="K394" t="s">
        <v>484</v>
      </c>
      <c r="L394" t="str" cm="1">
        <f t="array" ref="L394">_xlfn.IFS(
ISNUMBER(SEARCH("ICU",K394)), "ICU",
ISNUMBER(SEARCH("NEONATAL",K394)), PROPER("NEONATAL"),
ISNUMBER(SEARCH("LABOUR",K394)), PROPER("LABOUR"),
ISNUMBER(SEARCH("PAEDIATRIC",K394)), PROPER("PAEDIATRIC"),
ISNUMBER(SEARCH("FEMALE SURGICAL",K394)), PROPER("FEMALE SURG, ORTHO &amp; GYN"),
ISNUMBER(SEARCH("PSYCHIATRIST",K394)), PROPER("PSYCHIATRIST"),
ISNUMBER(SEARCH("GRADE 1",K394)), PROPER("GRADE 1"),
ISNUMBER(SEARCH("MALE SURGICAL",K394)), PROPER("MALE SURG &amp; ORTHOPEDIC"),
ISNUMBER(SEARCH("MALE MEDICAL",K394)), PROPER("MALE MEDICAL"),
ISNUMBER(SEARCH("GRADE 2",K394)), PROPER("GRADE 2"),
ISNUMBER(SEARCH("FEMALE WARD",K394)), PROPER("FEMALE MEDICAL"),
TRUE, "Unmapped: " &amp; K394)</f>
        <v>Male Medical</v>
      </c>
      <c r="M394" t="s">
        <v>22</v>
      </c>
      <c r="O394" t="s">
        <v>1495</v>
      </c>
      <c r="P394" t="str">
        <f t="shared" si="53"/>
        <v>Text Error</v>
      </c>
      <c r="Q394" s="5">
        <v>46041.614340277774</v>
      </c>
      <c r="R394" t="str">
        <f t="shared" si="54"/>
        <v>Valid Date</v>
      </c>
      <c r="S394" t="s">
        <v>1496</v>
      </c>
      <c r="T394" s="5">
        <v>46045.649016203701</v>
      </c>
      <c r="U394">
        <v>4</v>
      </c>
      <c r="V394" t="str">
        <f t="shared" si="55"/>
        <v>OK</v>
      </c>
      <c r="W394" t="s">
        <v>25</v>
      </c>
      <c r="Y394" t="s">
        <v>30</v>
      </c>
    </row>
    <row r="395" spans="1:25" x14ac:dyDescent="0.25">
      <c r="A395" t="s">
        <v>1498</v>
      </c>
      <c r="B395" t="str">
        <f t="shared" si="49"/>
        <v>Nusra Ibrahim Vinje</v>
      </c>
      <c r="C395">
        <v>115416</v>
      </c>
      <c r="D395" t="str">
        <f t="shared" si="48"/>
        <v>Unique</v>
      </c>
      <c r="E395" t="s">
        <v>343</v>
      </c>
      <c r="F395" s="3" t="str">
        <f t="shared" si="50"/>
        <v>7/12</v>
      </c>
      <c r="G395" t="s">
        <v>32</v>
      </c>
      <c r="H395" t="str">
        <f t="shared" si="51"/>
        <v>Valid</v>
      </c>
      <c r="I395" t="s">
        <v>33</v>
      </c>
      <c r="J395" t="str">
        <f t="shared" si="52"/>
        <v>Kigoma Ujiji Mc</v>
      </c>
      <c r="K395" t="s">
        <v>109</v>
      </c>
      <c r="L395" t="str" cm="1">
        <f t="array" ref="L395">_xlfn.IFS(
ISNUMBER(SEARCH("ICU",K395)), "ICU",
ISNUMBER(SEARCH("NEONATAL",K395)), PROPER("NEONATAL"),
ISNUMBER(SEARCH("LABOUR",K395)), PROPER("LABOUR"),
ISNUMBER(SEARCH("PAEDIATRIC",K395)), PROPER("PAEDIATRIC"),
ISNUMBER(SEARCH("FEMALE SURGICAL",K395)), PROPER("FEMALE SURG, ORTHO &amp; GYN"),
ISNUMBER(SEARCH("PSYCHIATRIST",K395)), PROPER("PSYCHIATRIST"),
ISNUMBER(SEARCH("GRADE 1",K395)), PROPER("GRADE 1"),
ISNUMBER(SEARCH("MALE SURGICAL",K395)), PROPER("MALE SURG &amp; ORTHOPEDIC"),
ISNUMBER(SEARCH("MALE MEDICAL",K395)), PROPER("MALE MEDICAL"),
ISNUMBER(SEARCH("GRADE 2",K395)), PROPER("GRADE 2"),
ISNUMBER(SEARCH("FEMALE WARD",K395)), PROPER("FEMALE MEDICAL"),
TRUE, "Unmapped: " &amp; K395)</f>
        <v>Paediatric</v>
      </c>
      <c r="M395" t="s">
        <v>22</v>
      </c>
      <c r="O395" t="s">
        <v>1499</v>
      </c>
      <c r="P395" t="str">
        <f t="shared" si="53"/>
        <v>Text Error</v>
      </c>
      <c r="Q395" s="5">
        <v>46041.637349537035</v>
      </c>
      <c r="R395" t="str">
        <f t="shared" si="54"/>
        <v>Valid Date</v>
      </c>
      <c r="S395" t="s">
        <v>1500</v>
      </c>
      <c r="T395" s="5">
        <v>46045.771435185183</v>
      </c>
      <c r="U395">
        <v>4</v>
      </c>
      <c r="V395" t="str">
        <f t="shared" si="55"/>
        <v>OK</v>
      </c>
      <c r="W395" t="s">
        <v>25</v>
      </c>
      <c r="Y395" t="s">
        <v>30</v>
      </c>
    </row>
    <row r="396" spans="1:25" x14ac:dyDescent="0.25">
      <c r="A396" t="s">
        <v>1501</v>
      </c>
      <c r="B396" t="str">
        <f t="shared" si="49"/>
        <v>Labani Mathayo Malabe</v>
      </c>
      <c r="C396">
        <v>128951</v>
      </c>
      <c r="D396" t="str">
        <f t="shared" si="48"/>
        <v>Unique</v>
      </c>
      <c r="E396" t="s">
        <v>147</v>
      </c>
      <c r="F396" s="3">
        <f t="shared" si="50"/>
        <v>30</v>
      </c>
      <c r="G396" t="s">
        <v>19</v>
      </c>
      <c r="H396" t="str">
        <f t="shared" si="51"/>
        <v>Valid</v>
      </c>
      <c r="I396" t="s">
        <v>130</v>
      </c>
      <c r="J396" t="str">
        <f t="shared" si="52"/>
        <v>Buhigwe</v>
      </c>
      <c r="K396" t="s">
        <v>484</v>
      </c>
      <c r="L396" t="str" cm="1">
        <f t="array" ref="L396">_xlfn.IFS(
ISNUMBER(SEARCH("ICU",K396)), "ICU",
ISNUMBER(SEARCH("NEONATAL",K396)), PROPER("NEONATAL"),
ISNUMBER(SEARCH("LABOUR",K396)), PROPER("LABOUR"),
ISNUMBER(SEARCH("PAEDIATRIC",K396)), PROPER("PAEDIATRIC"),
ISNUMBER(SEARCH("FEMALE SURGICAL",K396)), PROPER("FEMALE SURG, ORTHO &amp; GYN"),
ISNUMBER(SEARCH("PSYCHIATRIST",K396)), PROPER("PSYCHIATRIST"),
ISNUMBER(SEARCH("GRADE 1",K396)), PROPER("GRADE 1"),
ISNUMBER(SEARCH("MALE SURGICAL",K396)), PROPER("MALE SURG &amp; ORTHOPEDIC"),
ISNUMBER(SEARCH("MALE MEDICAL",K396)), PROPER("MALE MEDICAL"),
ISNUMBER(SEARCH("GRADE 2",K396)), PROPER("GRADE 2"),
ISNUMBER(SEARCH("FEMALE WARD",K396)), PROPER("FEMALE MEDICAL"),
TRUE, "Unmapped: " &amp; K396)</f>
        <v>Male Medical</v>
      </c>
      <c r="M396" t="s">
        <v>22</v>
      </c>
      <c r="O396" t="s">
        <v>1502</v>
      </c>
      <c r="P396" t="str">
        <f t="shared" si="53"/>
        <v>Text Error</v>
      </c>
      <c r="Q396" s="5">
        <v>46041.877465277779</v>
      </c>
      <c r="R396" t="str">
        <f t="shared" si="54"/>
        <v>Valid Date</v>
      </c>
      <c r="S396" t="s">
        <v>1503</v>
      </c>
      <c r="T396" s="5">
        <v>46046.724780092591</v>
      </c>
      <c r="U396">
        <v>4</v>
      </c>
      <c r="V396" t="str">
        <f t="shared" si="55"/>
        <v>OK</v>
      </c>
      <c r="W396" t="s">
        <v>25</v>
      </c>
      <c r="Y396" t="s">
        <v>30</v>
      </c>
    </row>
    <row r="397" spans="1:25" x14ac:dyDescent="0.25">
      <c r="A397" t="s">
        <v>1504</v>
      </c>
      <c r="B397" t="str">
        <f t="shared" si="49"/>
        <v>Josephina James Elias</v>
      </c>
      <c r="C397">
        <v>128967</v>
      </c>
      <c r="D397" t="str">
        <f t="shared" si="48"/>
        <v>Unique</v>
      </c>
      <c r="E397" t="s">
        <v>68</v>
      </c>
      <c r="F397" s="3">
        <f t="shared" si="50"/>
        <v>32</v>
      </c>
      <c r="G397" t="s">
        <v>32</v>
      </c>
      <c r="H397" t="str">
        <f t="shared" si="51"/>
        <v>Valid</v>
      </c>
      <c r="I397" t="s">
        <v>260</v>
      </c>
      <c r="J397" t="str">
        <f t="shared" si="52"/>
        <v>Kasulu</v>
      </c>
      <c r="K397" t="s">
        <v>40</v>
      </c>
      <c r="L397" t="str" cm="1">
        <f t="array" ref="L397">_xlfn.IFS(
ISNUMBER(SEARCH("ICU",K397)), "ICU",
ISNUMBER(SEARCH("NEONATAL",K397)), PROPER("NEONATAL"),
ISNUMBER(SEARCH("LABOUR",K397)), PROPER("LABOUR"),
ISNUMBER(SEARCH("PAEDIATRIC",K397)), PROPER("PAEDIATRIC"),
ISNUMBER(SEARCH("FEMALE SURGICAL",K397)), PROPER("FEMALE SURG, ORTHO &amp; GYN"),
ISNUMBER(SEARCH("PSYCHIATRIST",K397)), PROPER("PSYCHIATRIST"),
ISNUMBER(SEARCH("GRADE 1",K397)), PROPER("GRADE 1"),
ISNUMBER(SEARCH("MALE SURGICAL",K397)), PROPER("MALE SURG &amp; ORTHOPEDIC"),
ISNUMBER(SEARCH("MALE MEDICAL",K397)), PROPER("MALE MEDICAL"),
ISNUMBER(SEARCH("GRADE 2",K397)), PROPER("GRADE 2"),
ISNUMBER(SEARCH("FEMALE WARD",K397)), PROPER("FEMALE MEDICAL"),
TRUE, "Unmapped: " &amp; K397)</f>
        <v>Labour</v>
      </c>
      <c r="M397" t="s">
        <v>22</v>
      </c>
      <c r="O397" t="s">
        <v>1505</v>
      </c>
      <c r="P397" t="str">
        <f t="shared" si="53"/>
        <v>Text Error</v>
      </c>
      <c r="Q397" s="5">
        <v>46042.017928240741</v>
      </c>
      <c r="R397" t="str">
        <f t="shared" si="54"/>
        <v>Valid Date</v>
      </c>
      <c r="S397" t="s">
        <v>1506</v>
      </c>
      <c r="T397" s="5">
        <v>46046.622569444444</v>
      </c>
      <c r="U397">
        <v>4</v>
      </c>
      <c r="V397" t="str">
        <f t="shared" si="55"/>
        <v>OK</v>
      </c>
      <c r="W397" t="s">
        <v>25</v>
      </c>
      <c r="Y397" t="s">
        <v>30</v>
      </c>
    </row>
    <row r="398" spans="1:25" x14ac:dyDescent="0.25">
      <c r="A398" t="s">
        <v>1507</v>
      </c>
      <c r="B398" t="str">
        <f t="shared" si="49"/>
        <v>Joyce Faida Sinzagi</v>
      </c>
      <c r="C398">
        <v>129067</v>
      </c>
      <c r="D398" t="str">
        <f t="shared" si="48"/>
        <v>Unique</v>
      </c>
      <c r="E398" t="s">
        <v>138</v>
      </c>
      <c r="F398" s="3">
        <f t="shared" si="50"/>
        <v>18</v>
      </c>
      <c r="G398" t="s">
        <v>32</v>
      </c>
      <c r="H398" t="str">
        <f t="shared" si="51"/>
        <v>Valid</v>
      </c>
      <c r="I398" t="s">
        <v>260</v>
      </c>
      <c r="J398" t="str">
        <f t="shared" si="52"/>
        <v>Kasulu</v>
      </c>
      <c r="K398" t="s">
        <v>40</v>
      </c>
      <c r="L398" t="str" cm="1">
        <f t="array" ref="L398">_xlfn.IFS(
ISNUMBER(SEARCH("ICU",K398)), "ICU",
ISNUMBER(SEARCH("NEONATAL",K398)), PROPER("NEONATAL"),
ISNUMBER(SEARCH("LABOUR",K398)), PROPER("LABOUR"),
ISNUMBER(SEARCH("PAEDIATRIC",K398)), PROPER("PAEDIATRIC"),
ISNUMBER(SEARCH("FEMALE SURGICAL",K398)), PROPER("FEMALE SURG, ORTHO &amp; GYN"),
ISNUMBER(SEARCH("PSYCHIATRIST",K398)), PROPER("PSYCHIATRIST"),
ISNUMBER(SEARCH("GRADE 1",K398)), PROPER("GRADE 1"),
ISNUMBER(SEARCH("MALE SURGICAL",K398)), PROPER("MALE SURG &amp; ORTHOPEDIC"),
ISNUMBER(SEARCH("MALE MEDICAL",K398)), PROPER("MALE MEDICAL"),
ISNUMBER(SEARCH("GRADE 2",K398)), PROPER("GRADE 2"),
ISNUMBER(SEARCH("FEMALE WARD",K398)), PROPER("FEMALE MEDICAL"),
TRUE, "Unmapped: " &amp; K398)</f>
        <v>Labour</v>
      </c>
      <c r="M398" t="s">
        <v>22</v>
      </c>
      <c r="O398" t="s">
        <v>1508</v>
      </c>
      <c r="P398" t="str">
        <f t="shared" si="53"/>
        <v>Text Error</v>
      </c>
      <c r="Q398" s="5">
        <v>46042.723761574074</v>
      </c>
      <c r="R398" t="str">
        <f t="shared" si="54"/>
        <v>Valid Date</v>
      </c>
      <c r="S398" t="s">
        <v>1509</v>
      </c>
      <c r="T398" s="5">
        <v>46047.338101851848</v>
      </c>
      <c r="U398">
        <v>4</v>
      </c>
      <c r="V398" t="str">
        <f t="shared" si="55"/>
        <v>OK</v>
      </c>
      <c r="W398" t="s">
        <v>25</v>
      </c>
      <c r="Y398" t="s">
        <v>30</v>
      </c>
    </row>
    <row r="399" spans="1:25" x14ac:dyDescent="0.25">
      <c r="A399" t="s">
        <v>1510</v>
      </c>
      <c r="B399" t="str">
        <f t="shared" si="49"/>
        <v>Osilida Ruben Lima</v>
      </c>
      <c r="C399">
        <v>128989</v>
      </c>
      <c r="D399" t="str">
        <f t="shared" si="48"/>
        <v>Unique</v>
      </c>
      <c r="E399" t="s">
        <v>74</v>
      </c>
      <c r="F399" s="3">
        <f t="shared" si="50"/>
        <v>35</v>
      </c>
      <c r="G399" t="s">
        <v>32</v>
      </c>
      <c r="H399" t="str">
        <f t="shared" si="51"/>
        <v>Valid</v>
      </c>
      <c r="I399" t="s">
        <v>62</v>
      </c>
      <c r="J399" t="str">
        <f t="shared" si="52"/>
        <v>Kigoma Vijijini</v>
      </c>
      <c r="K399" t="s">
        <v>123</v>
      </c>
      <c r="L399" t="str" cm="1">
        <f t="array" ref="L399">_xlfn.IFS(
ISNUMBER(SEARCH("ICU",K399)), "ICU",
ISNUMBER(SEARCH("NEONATAL",K399)), PROPER("NEONATAL"),
ISNUMBER(SEARCH("LABOUR",K399)), PROPER("LABOUR"),
ISNUMBER(SEARCH("PAEDIATRIC",K399)), PROPER("PAEDIATRIC"),
ISNUMBER(SEARCH("FEMALE SURGICAL",K399)), PROPER("FEMALE SURG, ORTHO &amp; GYN"),
ISNUMBER(SEARCH("PSYCHIATRIST",K399)), PROPER("PSYCHIATRIST"),
ISNUMBER(SEARCH("GRADE 1",K399)), PROPER("GRADE 1"),
ISNUMBER(SEARCH("MALE SURGICAL",K399)), PROPER("MALE SURG &amp; ORTHOPEDIC"),
ISNUMBER(SEARCH("MALE MEDICAL",K399)), PROPER("MALE MEDICAL"),
ISNUMBER(SEARCH("GRADE 2",K399)), PROPER("GRADE 2"),
ISNUMBER(SEARCH("FEMALE WARD",K399)), PROPER("FEMALE MEDICAL"),
TRUE, "Unmapped: " &amp; K399)</f>
        <v>Female Surg, Ortho &amp; Gyn</v>
      </c>
      <c r="M399" t="s">
        <v>22</v>
      </c>
      <c r="O399" t="s">
        <v>1511</v>
      </c>
      <c r="P399" t="str">
        <f t="shared" si="53"/>
        <v>Text Error</v>
      </c>
      <c r="Q399" s="5">
        <v>46042.760185185187</v>
      </c>
      <c r="R399" t="str">
        <f t="shared" si="54"/>
        <v>Valid Date</v>
      </c>
      <c r="S399" t="s">
        <v>1512</v>
      </c>
      <c r="T399" s="5">
        <v>46047.527905092589</v>
      </c>
      <c r="U399">
        <v>4</v>
      </c>
      <c r="V399" t="str">
        <f t="shared" si="55"/>
        <v>OK</v>
      </c>
      <c r="W399" t="s">
        <v>25</v>
      </c>
      <c r="Y399" t="s">
        <v>30</v>
      </c>
    </row>
    <row r="400" spans="1:25" x14ac:dyDescent="0.25">
      <c r="A400" t="s">
        <v>1513</v>
      </c>
      <c r="B400" t="str">
        <f t="shared" si="49"/>
        <v>Valelia Venas Mshingo</v>
      </c>
      <c r="C400">
        <v>129089</v>
      </c>
      <c r="D400" t="str">
        <f t="shared" si="48"/>
        <v>Unique</v>
      </c>
      <c r="E400" t="s">
        <v>39</v>
      </c>
      <c r="F400" s="3">
        <f t="shared" si="50"/>
        <v>33</v>
      </c>
      <c r="G400" t="s">
        <v>32</v>
      </c>
      <c r="H400" t="str">
        <f t="shared" si="51"/>
        <v>Valid</v>
      </c>
      <c r="I400" t="s">
        <v>33</v>
      </c>
      <c r="J400" t="str">
        <f t="shared" si="52"/>
        <v>Kigoma Ujiji Mc</v>
      </c>
      <c r="K400" t="s">
        <v>40</v>
      </c>
      <c r="L400" t="str" cm="1">
        <f t="array" ref="L400">_xlfn.IFS(
ISNUMBER(SEARCH("ICU",K400)), "ICU",
ISNUMBER(SEARCH("NEONATAL",K400)), PROPER("NEONATAL"),
ISNUMBER(SEARCH("LABOUR",K400)), PROPER("LABOUR"),
ISNUMBER(SEARCH("PAEDIATRIC",K400)), PROPER("PAEDIATRIC"),
ISNUMBER(SEARCH("FEMALE SURGICAL",K400)), PROPER("FEMALE SURG, ORTHO &amp; GYN"),
ISNUMBER(SEARCH("PSYCHIATRIST",K400)), PROPER("PSYCHIATRIST"),
ISNUMBER(SEARCH("GRADE 1",K400)), PROPER("GRADE 1"),
ISNUMBER(SEARCH("MALE SURGICAL",K400)), PROPER("MALE SURG &amp; ORTHOPEDIC"),
ISNUMBER(SEARCH("MALE MEDICAL",K400)), PROPER("MALE MEDICAL"),
ISNUMBER(SEARCH("GRADE 2",K400)), PROPER("GRADE 2"),
ISNUMBER(SEARCH("FEMALE WARD",K400)), PROPER("FEMALE MEDICAL"),
TRUE, "Unmapped: " &amp; K400)</f>
        <v>Labour</v>
      </c>
      <c r="M400" t="s">
        <v>22</v>
      </c>
      <c r="O400" t="s">
        <v>1514</v>
      </c>
      <c r="P400" t="str">
        <f t="shared" si="53"/>
        <v>Text Error</v>
      </c>
      <c r="Q400" s="5">
        <v>46042.951307870368</v>
      </c>
      <c r="R400" t="str">
        <f t="shared" si="54"/>
        <v>Valid Date</v>
      </c>
      <c r="S400" t="s">
        <v>1515</v>
      </c>
      <c r="T400" s="5">
        <v>46047.76289351852</v>
      </c>
      <c r="U400">
        <v>4</v>
      </c>
      <c r="V400" t="str">
        <f t="shared" si="55"/>
        <v>OK</v>
      </c>
      <c r="W400" t="s">
        <v>25</v>
      </c>
      <c r="Y400" t="s">
        <v>30</v>
      </c>
    </row>
    <row r="401" spans="1:25" x14ac:dyDescent="0.25">
      <c r="A401" t="s">
        <v>1516</v>
      </c>
      <c r="B401" t="str">
        <f t="shared" si="49"/>
        <v>Zainabu Ramadhani Ramadhani</v>
      </c>
      <c r="C401">
        <v>129095</v>
      </c>
      <c r="D401" t="str">
        <f t="shared" si="48"/>
        <v>Unique</v>
      </c>
      <c r="E401" t="s">
        <v>208</v>
      </c>
      <c r="F401" s="3">
        <f t="shared" si="50"/>
        <v>50</v>
      </c>
      <c r="G401" t="s">
        <v>32</v>
      </c>
      <c r="H401" t="str">
        <f t="shared" si="51"/>
        <v>Valid</v>
      </c>
      <c r="I401" t="s">
        <v>20</v>
      </c>
      <c r="J401" t="str">
        <f t="shared" si="52"/>
        <v>Uvinza</v>
      </c>
      <c r="K401" t="s">
        <v>123</v>
      </c>
      <c r="L401" t="str" cm="1">
        <f t="array" ref="L401">_xlfn.IFS(
ISNUMBER(SEARCH("ICU",K401)), "ICU",
ISNUMBER(SEARCH("NEONATAL",K401)), PROPER("NEONATAL"),
ISNUMBER(SEARCH("LABOUR",K401)), PROPER("LABOUR"),
ISNUMBER(SEARCH("PAEDIATRIC",K401)), PROPER("PAEDIATRIC"),
ISNUMBER(SEARCH("FEMALE SURGICAL",K401)), PROPER("FEMALE SURG, ORTHO &amp; GYN"),
ISNUMBER(SEARCH("PSYCHIATRIST",K401)), PROPER("PSYCHIATRIST"),
ISNUMBER(SEARCH("GRADE 1",K401)), PROPER("GRADE 1"),
ISNUMBER(SEARCH("MALE SURGICAL",K401)), PROPER("MALE SURG &amp; ORTHOPEDIC"),
ISNUMBER(SEARCH("MALE MEDICAL",K401)), PROPER("MALE MEDICAL"),
ISNUMBER(SEARCH("GRADE 2",K401)), PROPER("GRADE 2"),
ISNUMBER(SEARCH("FEMALE WARD",K401)), PROPER("FEMALE MEDICAL"),
TRUE, "Unmapped: " &amp; K401)</f>
        <v>Female Surg, Ortho &amp; Gyn</v>
      </c>
      <c r="M401" t="s">
        <v>22</v>
      </c>
      <c r="O401" t="s">
        <v>1517</v>
      </c>
      <c r="P401" t="str">
        <f t="shared" si="53"/>
        <v>Text Error</v>
      </c>
      <c r="Q401" s="5">
        <v>46043.144687499997</v>
      </c>
      <c r="R401" t="str">
        <f t="shared" si="54"/>
        <v>Valid Date</v>
      </c>
      <c r="S401" t="s">
        <v>1518</v>
      </c>
      <c r="T401" s="5">
        <v>46047.727256944447</v>
      </c>
      <c r="U401">
        <v>4</v>
      </c>
      <c r="V401" t="str">
        <f t="shared" si="55"/>
        <v>OK</v>
      </c>
      <c r="W401" t="s">
        <v>112</v>
      </c>
      <c r="Y401" t="s">
        <v>30</v>
      </c>
    </row>
    <row r="402" spans="1:25" x14ac:dyDescent="0.25">
      <c r="A402" t="s">
        <v>1519</v>
      </c>
      <c r="B402" t="str">
        <f t="shared" si="49"/>
        <v>Amosi Elisha Amoni</v>
      </c>
      <c r="C402">
        <v>129168</v>
      </c>
      <c r="D402" t="str">
        <f t="shared" si="48"/>
        <v>Unique</v>
      </c>
      <c r="E402" t="s">
        <v>348</v>
      </c>
      <c r="F402" s="3" t="str">
        <f t="shared" si="50"/>
        <v>6/12</v>
      </c>
      <c r="G402" t="s">
        <v>19</v>
      </c>
      <c r="H402" t="str">
        <f t="shared" si="51"/>
        <v>Valid</v>
      </c>
      <c r="I402" t="s">
        <v>33</v>
      </c>
      <c r="J402" t="str">
        <f t="shared" si="52"/>
        <v>Kigoma Ujiji Mc</v>
      </c>
      <c r="K402" t="s">
        <v>109</v>
      </c>
      <c r="L402" t="str" cm="1">
        <f t="array" ref="L402">_xlfn.IFS(
ISNUMBER(SEARCH("ICU",K402)), "ICU",
ISNUMBER(SEARCH("NEONATAL",K402)), PROPER("NEONATAL"),
ISNUMBER(SEARCH("LABOUR",K402)), PROPER("LABOUR"),
ISNUMBER(SEARCH("PAEDIATRIC",K402)), PROPER("PAEDIATRIC"),
ISNUMBER(SEARCH("FEMALE SURGICAL",K402)), PROPER("FEMALE SURG, ORTHO &amp; GYN"),
ISNUMBER(SEARCH("PSYCHIATRIST",K402)), PROPER("PSYCHIATRIST"),
ISNUMBER(SEARCH("GRADE 1",K402)), PROPER("GRADE 1"),
ISNUMBER(SEARCH("MALE SURGICAL",K402)), PROPER("MALE SURG &amp; ORTHOPEDIC"),
ISNUMBER(SEARCH("MALE MEDICAL",K402)), PROPER("MALE MEDICAL"),
ISNUMBER(SEARCH("GRADE 2",K402)), PROPER("GRADE 2"),
ISNUMBER(SEARCH("FEMALE WARD",K402)), PROPER("FEMALE MEDICAL"),
TRUE, "Unmapped: " &amp; K402)</f>
        <v>Paediatric</v>
      </c>
      <c r="M402" t="s">
        <v>22</v>
      </c>
      <c r="O402" t="s">
        <v>1520</v>
      </c>
      <c r="P402" t="str">
        <f t="shared" si="53"/>
        <v>Text Error</v>
      </c>
      <c r="Q402" s="5">
        <v>46043.625636574077</v>
      </c>
      <c r="R402" t="str">
        <f t="shared" si="54"/>
        <v>Valid Date</v>
      </c>
      <c r="S402" t="s">
        <v>1521</v>
      </c>
      <c r="T402" s="5">
        <v>46047.758055555554</v>
      </c>
      <c r="U402">
        <v>4</v>
      </c>
      <c r="V402" t="str">
        <f t="shared" si="55"/>
        <v>OK</v>
      </c>
      <c r="W402" t="s">
        <v>25</v>
      </c>
      <c r="Y402" t="s">
        <v>30</v>
      </c>
    </row>
    <row r="403" spans="1:25" x14ac:dyDescent="0.25">
      <c r="A403" t="s">
        <v>1522</v>
      </c>
      <c r="B403" t="str">
        <f t="shared" si="49"/>
        <v>Rahma Omary Issa</v>
      </c>
      <c r="C403">
        <v>129198</v>
      </c>
      <c r="D403" t="str">
        <f t="shared" si="48"/>
        <v>Unique</v>
      </c>
      <c r="E403" t="s">
        <v>142</v>
      </c>
      <c r="F403" s="3">
        <f t="shared" si="50"/>
        <v>20</v>
      </c>
      <c r="G403" t="s">
        <v>32</v>
      </c>
      <c r="H403" t="str">
        <f t="shared" si="51"/>
        <v>Valid</v>
      </c>
      <c r="I403" t="s">
        <v>33</v>
      </c>
      <c r="J403" t="str">
        <f t="shared" si="52"/>
        <v>Kigoma Ujiji Mc</v>
      </c>
      <c r="K403" t="s">
        <v>40</v>
      </c>
      <c r="L403" t="str" cm="1">
        <f t="array" ref="L403">_xlfn.IFS(
ISNUMBER(SEARCH("ICU",K403)), "ICU",
ISNUMBER(SEARCH("NEONATAL",K403)), PROPER("NEONATAL"),
ISNUMBER(SEARCH("LABOUR",K403)), PROPER("LABOUR"),
ISNUMBER(SEARCH("PAEDIATRIC",K403)), PROPER("PAEDIATRIC"),
ISNUMBER(SEARCH("FEMALE SURGICAL",K403)), PROPER("FEMALE SURG, ORTHO &amp; GYN"),
ISNUMBER(SEARCH("PSYCHIATRIST",K403)), PROPER("PSYCHIATRIST"),
ISNUMBER(SEARCH("GRADE 1",K403)), PROPER("GRADE 1"),
ISNUMBER(SEARCH("MALE SURGICAL",K403)), PROPER("MALE SURG &amp; ORTHOPEDIC"),
ISNUMBER(SEARCH("MALE MEDICAL",K403)), PROPER("MALE MEDICAL"),
ISNUMBER(SEARCH("GRADE 2",K403)), PROPER("GRADE 2"),
ISNUMBER(SEARCH("FEMALE WARD",K403)), PROPER("FEMALE MEDICAL"),
TRUE, "Unmapped: " &amp; K403)</f>
        <v>Labour</v>
      </c>
      <c r="M403" t="s">
        <v>22</v>
      </c>
      <c r="O403" t="s">
        <v>1523</v>
      </c>
      <c r="P403" t="str">
        <f t="shared" si="53"/>
        <v>Text Error</v>
      </c>
      <c r="Q403" s="5">
        <v>46044.008553240739</v>
      </c>
      <c r="R403" t="str">
        <f t="shared" si="54"/>
        <v>Valid Date</v>
      </c>
      <c r="S403" t="s">
        <v>1524</v>
      </c>
      <c r="T403" s="5">
        <v>46048.348761574074</v>
      </c>
      <c r="U403">
        <v>4</v>
      </c>
      <c r="V403" t="str">
        <f t="shared" si="55"/>
        <v>OK</v>
      </c>
      <c r="W403" t="s">
        <v>25</v>
      </c>
      <c r="Y403" t="s">
        <v>30</v>
      </c>
    </row>
    <row r="404" spans="1:25" x14ac:dyDescent="0.25">
      <c r="A404" t="s">
        <v>1525</v>
      </c>
      <c r="B404" t="str">
        <f t="shared" si="49"/>
        <v>Devotha P Mallya</v>
      </c>
      <c r="C404">
        <v>129204</v>
      </c>
      <c r="D404" t="str">
        <f t="shared" si="48"/>
        <v>Unique</v>
      </c>
      <c r="E404" t="s">
        <v>315</v>
      </c>
      <c r="F404" s="3">
        <f t="shared" si="50"/>
        <v>31</v>
      </c>
      <c r="G404" t="s">
        <v>32</v>
      </c>
      <c r="H404" t="str">
        <f t="shared" si="51"/>
        <v>Valid</v>
      </c>
      <c r="I404" t="s">
        <v>33</v>
      </c>
      <c r="J404" t="str">
        <f t="shared" si="52"/>
        <v>Kigoma Ujiji Mc</v>
      </c>
      <c r="K404" t="s">
        <v>40</v>
      </c>
      <c r="L404" t="str" cm="1">
        <f t="array" ref="L404">_xlfn.IFS(
ISNUMBER(SEARCH("ICU",K404)), "ICU",
ISNUMBER(SEARCH("NEONATAL",K404)), PROPER("NEONATAL"),
ISNUMBER(SEARCH("LABOUR",K404)), PROPER("LABOUR"),
ISNUMBER(SEARCH("PAEDIATRIC",K404)), PROPER("PAEDIATRIC"),
ISNUMBER(SEARCH("FEMALE SURGICAL",K404)), PROPER("FEMALE SURG, ORTHO &amp; GYN"),
ISNUMBER(SEARCH("PSYCHIATRIST",K404)), PROPER("PSYCHIATRIST"),
ISNUMBER(SEARCH("GRADE 1",K404)), PROPER("GRADE 1"),
ISNUMBER(SEARCH("MALE SURGICAL",K404)), PROPER("MALE SURG &amp; ORTHOPEDIC"),
ISNUMBER(SEARCH("MALE MEDICAL",K404)), PROPER("MALE MEDICAL"),
ISNUMBER(SEARCH("GRADE 2",K404)), PROPER("GRADE 2"),
ISNUMBER(SEARCH("FEMALE WARD",K404)), PROPER("FEMALE MEDICAL"),
TRUE, "Unmapped: " &amp; K404)</f>
        <v>Labour</v>
      </c>
      <c r="M404" t="s">
        <v>292</v>
      </c>
      <c r="O404" t="s">
        <v>1526</v>
      </c>
      <c r="P404" t="str">
        <f t="shared" si="53"/>
        <v>Text Error</v>
      </c>
      <c r="Q404" s="5">
        <v>46044.414270833331</v>
      </c>
      <c r="R404" t="str">
        <f t="shared" si="54"/>
        <v>Valid Date</v>
      </c>
      <c r="S404" t="s">
        <v>1527</v>
      </c>
      <c r="T404" s="5">
        <v>46048.559942129628</v>
      </c>
      <c r="U404">
        <v>4</v>
      </c>
      <c r="V404" t="str">
        <f t="shared" si="55"/>
        <v>OK</v>
      </c>
      <c r="W404" t="s">
        <v>25</v>
      </c>
      <c r="Y404" t="s">
        <v>30</v>
      </c>
    </row>
    <row r="405" spans="1:25" x14ac:dyDescent="0.25">
      <c r="A405" t="s">
        <v>1529</v>
      </c>
      <c r="B405" t="str">
        <f t="shared" si="49"/>
        <v>Tausi Kayagwa Kachina</v>
      </c>
      <c r="C405">
        <v>129216</v>
      </c>
      <c r="D405" t="str">
        <f t="shared" si="48"/>
        <v>Unique</v>
      </c>
      <c r="E405" t="s">
        <v>1530</v>
      </c>
      <c r="F405" s="3">
        <f t="shared" si="50"/>
        <v>116</v>
      </c>
      <c r="G405" t="s">
        <v>32</v>
      </c>
      <c r="H405" t="str">
        <f t="shared" si="51"/>
        <v>Valid</v>
      </c>
      <c r="I405" t="s">
        <v>33</v>
      </c>
      <c r="J405" t="str">
        <f t="shared" si="52"/>
        <v>Kigoma Ujiji Mc</v>
      </c>
      <c r="K405" t="s">
        <v>700</v>
      </c>
      <c r="L405" t="str" cm="1">
        <f t="array" ref="L405">_xlfn.IFS(
ISNUMBER(SEARCH("ICU",K405)), "ICU",
ISNUMBER(SEARCH("NEONATAL",K405)), PROPER("NEONATAL"),
ISNUMBER(SEARCH("LABOUR",K405)), PROPER("LABOUR"),
ISNUMBER(SEARCH("PAEDIATRIC",K405)), PROPER("PAEDIATRIC"),
ISNUMBER(SEARCH("FEMALE SURGICAL",K405)), PROPER("FEMALE SURG, ORTHO &amp; GYN"),
ISNUMBER(SEARCH("PSYCHIATRIST",K405)), PROPER("PSYCHIATRIST"),
ISNUMBER(SEARCH("GRADE 1",K405)), PROPER("GRADE 1"),
ISNUMBER(SEARCH("MALE SURGICAL",K405)), PROPER("MALE SURG &amp; ORTHOPEDIC"),
ISNUMBER(SEARCH("MALE MEDICAL",K405)), PROPER("MALE MEDICAL"),
ISNUMBER(SEARCH("GRADE 2",K405)), PROPER("GRADE 2"),
ISNUMBER(SEARCH("FEMALE WARD",K405)), PROPER("FEMALE MEDICAL"),
TRUE, "Unmapped: " &amp; K405)</f>
        <v>Female Medical</v>
      </c>
      <c r="M405" t="s">
        <v>22</v>
      </c>
      <c r="O405" t="s">
        <v>1531</v>
      </c>
      <c r="P405" t="str">
        <f t="shared" si="53"/>
        <v>Text Error</v>
      </c>
      <c r="Q405" s="5">
        <v>46044.575752314813</v>
      </c>
      <c r="R405" t="str">
        <f t="shared" si="54"/>
        <v>Valid Date</v>
      </c>
      <c r="S405" t="s">
        <v>1532</v>
      </c>
      <c r="T405" s="5">
        <v>46048.603703703702</v>
      </c>
      <c r="U405">
        <v>4</v>
      </c>
      <c r="V405" t="str">
        <f t="shared" si="55"/>
        <v>OK</v>
      </c>
      <c r="W405" t="s">
        <v>112</v>
      </c>
      <c r="Y405" t="s">
        <v>30</v>
      </c>
    </row>
    <row r="406" spans="1:25" x14ac:dyDescent="0.25">
      <c r="A406" t="s">
        <v>1533</v>
      </c>
      <c r="B406" t="str">
        <f t="shared" si="49"/>
        <v>Danieli Lukula Toyi</v>
      </c>
      <c r="C406">
        <v>129290</v>
      </c>
      <c r="D406" t="str">
        <f t="shared" si="48"/>
        <v>Unique</v>
      </c>
      <c r="E406" t="s">
        <v>1378</v>
      </c>
      <c r="F406" s="3">
        <f t="shared" si="50"/>
        <v>75</v>
      </c>
      <c r="G406" t="s">
        <v>19</v>
      </c>
      <c r="H406" t="str">
        <f t="shared" si="51"/>
        <v>Valid</v>
      </c>
      <c r="I406" t="s">
        <v>260</v>
      </c>
      <c r="J406" t="str">
        <f t="shared" si="52"/>
        <v>Kasulu</v>
      </c>
      <c r="K406" t="s">
        <v>484</v>
      </c>
      <c r="L406" t="str" cm="1">
        <f t="array" ref="L406">_xlfn.IFS(
ISNUMBER(SEARCH("ICU",K406)), "ICU",
ISNUMBER(SEARCH("NEONATAL",K406)), PROPER("NEONATAL"),
ISNUMBER(SEARCH("LABOUR",K406)), PROPER("LABOUR"),
ISNUMBER(SEARCH("PAEDIATRIC",K406)), PROPER("PAEDIATRIC"),
ISNUMBER(SEARCH("FEMALE SURGICAL",K406)), PROPER("FEMALE SURG, ORTHO &amp; GYN"),
ISNUMBER(SEARCH("PSYCHIATRIST",K406)), PROPER("PSYCHIATRIST"),
ISNUMBER(SEARCH("GRADE 1",K406)), PROPER("GRADE 1"),
ISNUMBER(SEARCH("MALE SURGICAL",K406)), PROPER("MALE SURG &amp; ORTHOPEDIC"),
ISNUMBER(SEARCH("MALE MEDICAL",K406)), PROPER("MALE MEDICAL"),
ISNUMBER(SEARCH("GRADE 2",K406)), PROPER("GRADE 2"),
ISNUMBER(SEARCH("FEMALE WARD",K406)), PROPER("FEMALE MEDICAL"),
TRUE, "Unmapped: " &amp; K406)</f>
        <v>Male Medical</v>
      </c>
      <c r="M406" t="s">
        <v>22</v>
      </c>
      <c r="O406" t="s">
        <v>1534</v>
      </c>
      <c r="P406" t="str">
        <f t="shared" si="53"/>
        <v>Text Error</v>
      </c>
      <c r="Q406" s="5">
        <v>46044.799988425926</v>
      </c>
      <c r="R406" t="str">
        <f t="shared" si="54"/>
        <v>Valid Date</v>
      </c>
      <c r="S406" t="s">
        <v>1535</v>
      </c>
      <c r="T406" s="5">
        <v>46049.463240740741</v>
      </c>
      <c r="U406">
        <v>4</v>
      </c>
      <c r="V406" t="str">
        <f t="shared" si="55"/>
        <v>OK</v>
      </c>
      <c r="W406" t="s">
        <v>211</v>
      </c>
      <c r="Y406" t="s">
        <v>30</v>
      </c>
    </row>
    <row r="407" spans="1:25" x14ac:dyDescent="0.25">
      <c r="A407" t="s">
        <v>1536</v>
      </c>
      <c r="B407" t="str">
        <f t="shared" si="49"/>
        <v>Terezia Marko Minani</v>
      </c>
      <c r="C407">
        <v>129311</v>
      </c>
      <c r="D407" t="str">
        <f t="shared" si="48"/>
        <v>Unique</v>
      </c>
      <c r="E407" t="s">
        <v>530</v>
      </c>
      <c r="F407" s="3">
        <f t="shared" si="50"/>
        <v>34</v>
      </c>
      <c r="G407" t="s">
        <v>32</v>
      </c>
      <c r="H407" t="str">
        <f t="shared" si="51"/>
        <v>Valid</v>
      </c>
      <c r="I407" t="s">
        <v>20</v>
      </c>
      <c r="J407" t="str">
        <f t="shared" si="52"/>
        <v>Uvinza</v>
      </c>
      <c r="K407" t="s">
        <v>700</v>
      </c>
      <c r="L407" t="str" cm="1">
        <f t="array" ref="L407">_xlfn.IFS(
ISNUMBER(SEARCH("ICU",K407)), "ICU",
ISNUMBER(SEARCH("NEONATAL",K407)), PROPER("NEONATAL"),
ISNUMBER(SEARCH("LABOUR",K407)), PROPER("LABOUR"),
ISNUMBER(SEARCH("PAEDIATRIC",K407)), PROPER("PAEDIATRIC"),
ISNUMBER(SEARCH("FEMALE SURGICAL",K407)), PROPER("FEMALE SURG, ORTHO &amp; GYN"),
ISNUMBER(SEARCH("PSYCHIATRIST",K407)), PROPER("PSYCHIATRIST"),
ISNUMBER(SEARCH("GRADE 1",K407)), PROPER("GRADE 1"),
ISNUMBER(SEARCH("MALE SURGICAL",K407)), PROPER("MALE SURG &amp; ORTHOPEDIC"),
ISNUMBER(SEARCH("MALE MEDICAL",K407)), PROPER("MALE MEDICAL"),
ISNUMBER(SEARCH("GRADE 2",K407)), PROPER("GRADE 2"),
ISNUMBER(SEARCH("FEMALE WARD",K407)), PROPER("FEMALE MEDICAL"),
TRUE, "Unmapped: " &amp; K407)</f>
        <v>Female Medical</v>
      </c>
      <c r="M407" t="s">
        <v>22</v>
      </c>
      <c r="O407" t="s">
        <v>1537</v>
      </c>
      <c r="P407" t="str">
        <f t="shared" si="53"/>
        <v>Text Error</v>
      </c>
      <c r="Q407" s="5">
        <v>46044.975011574075</v>
      </c>
      <c r="R407" t="str">
        <f t="shared" si="54"/>
        <v>Valid Date</v>
      </c>
      <c r="S407" t="s">
        <v>1538</v>
      </c>
      <c r="T407" s="5">
        <v>46049.579467592594</v>
      </c>
      <c r="U407">
        <v>4</v>
      </c>
      <c r="V407" t="str">
        <f t="shared" si="55"/>
        <v>OK</v>
      </c>
      <c r="W407" t="s">
        <v>112</v>
      </c>
      <c r="Y407" t="s">
        <v>30</v>
      </c>
    </row>
    <row r="408" spans="1:25" x14ac:dyDescent="0.25">
      <c r="A408" t="s">
        <v>1539</v>
      </c>
      <c r="B408" t="str">
        <f t="shared" si="49"/>
        <v>Mariam Baraza Alfan</v>
      </c>
      <c r="C408">
        <v>129300</v>
      </c>
      <c r="D408" t="str">
        <f t="shared" si="48"/>
        <v>Unique</v>
      </c>
      <c r="E408" t="s">
        <v>601</v>
      </c>
      <c r="F408" s="3">
        <f t="shared" si="50"/>
        <v>17</v>
      </c>
      <c r="G408" t="s">
        <v>32</v>
      </c>
      <c r="H408" t="str">
        <f t="shared" si="51"/>
        <v>Valid</v>
      </c>
      <c r="I408" t="s">
        <v>62</v>
      </c>
      <c r="J408" t="str">
        <f t="shared" si="52"/>
        <v>Kigoma Vijijini</v>
      </c>
      <c r="K408" t="s">
        <v>40</v>
      </c>
      <c r="L408" t="str" cm="1">
        <f t="array" ref="L408">_xlfn.IFS(
ISNUMBER(SEARCH("ICU",K408)), "ICU",
ISNUMBER(SEARCH("NEONATAL",K408)), PROPER("NEONATAL"),
ISNUMBER(SEARCH("LABOUR",K408)), PROPER("LABOUR"),
ISNUMBER(SEARCH("PAEDIATRIC",K408)), PROPER("PAEDIATRIC"),
ISNUMBER(SEARCH("FEMALE SURGICAL",K408)), PROPER("FEMALE SURG, ORTHO &amp; GYN"),
ISNUMBER(SEARCH("PSYCHIATRIST",K408)), PROPER("PSYCHIATRIST"),
ISNUMBER(SEARCH("GRADE 1",K408)), PROPER("GRADE 1"),
ISNUMBER(SEARCH("MALE SURGICAL",K408)), PROPER("MALE SURG &amp; ORTHOPEDIC"),
ISNUMBER(SEARCH("MALE MEDICAL",K408)), PROPER("MALE MEDICAL"),
ISNUMBER(SEARCH("GRADE 2",K408)), PROPER("GRADE 2"),
ISNUMBER(SEARCH("FEMALE WARD",K408)), PROPER("FEMALE MEDICAL"),
TRUE, "Unmapped: " &amp; K408)</f>
        <v>Labour</v>
      </c>
      <c r="M408" t="s">
        <v>22</v>
      </c>
      <c r="O408" t="s">
        <v>1540</v>
      </c>
      <c r="P408" t="str">
        <f t="shared" si="53"/>
        <v>Text Error</v>
      </c>
      <c r="Q408" s="5">
        <v>46045.392060185186</v>
      </c>
      <c r="R408" t="str">
        <f t="shared" si="54"/>
        <v>Valid Date</v>
      </c>
      <c r="S408" t="s">
        <v>1541</v>
      </c>
      <c r="T408" s="5">
        <v>46049.475057870368</v>
      </c>
      <c r="U408">
        <v>4</v>
      </c>
      <c r="V408" t="str">
        <f t="shared" si="55"/>
        <v>OK</v>
      </c>
      <c r="W408" t="s">
        <v>25</v>
      </c>
      <c r="Y408" t="s">
        <v>30</v>
      </c>
    </row>
    <row r="409" spans="1:25" x14ac:dyDescent="0.25">
      <c r="A409" t="s">
        <v>1542</v>
      </c>
      <c r="B409" t="str">
        <f t="shared" si="49"/>
        <v>Alex Mabula Jonijo</v>
      </c>
      <c r="C409">
        <v>129442</v>
      </c>
      <c r="D409" t="str">
        <f t="shared" si="48"/>
        <v>Unique</v>
      </c>
      <c r="E409" t="s">
        <v>788</v>
      </c>
      <c r="F409" s="3">
        <f t="shared" si="50"/>
        <v>72</v>
      </c>
      <c r="G409" t="s">
        <v>19</v>
      </c>
      <c r="H409" t="str">
        <f t="shared" si="51"/>
        <v>Valid</v>
      </c>
      <c r="I409" t="s">
        <v>260</v>
      </c>
      <c r="J409" t="str">
        <f t="shared" si="52"/>
        <v>Kasulu</v>
      </c>
      <c r="K409" t="s">
        <v>484</v>
      </c>
      <c r="L409" t="str" cm="1">
        <f t="array" ref="L409">_xlfn.IFS(
ISNUMBER(SEARCH("ICU",K409)), "ICU",
ISNUMBER(SEARCH("NEONATAL",K409)), PROPER("NEONATAL"),
ISNUMBER(SEARCH("LABOUR",K409)), PROPER("LABOUR"),
ISNUMBER(SEARCH("PAEDIATRIC",K409)), PROPER("PAEDIATRIC"),
ISNUMBER(SEARCH("FEMALE SURGICAL",K409)), PROPER("FEMALE SURG, ORTHO &amp; GYN"),
ISNUMBER(SEARCH("PSYCHIATRIST",K409)), PROPER("PSYCHIATRIST"),
ISNUMBER(SEARCH("GRADE 1",K409)), PROPER("GRADE 1"),
ISNUMBER(SEARCH("MALE SURGICAL",K409)), PROPER("MALE SURG &amp; ORTHOPEDIC"),
ISNUMBER(SEARCH("MALE MEDICAL",K409)), PROPER("MALE MEDICAL"),
ISNUMBER(SEARCH("GRADE 2",K409)), PROPER("GRADE 2"),
ISNUMBER(SEARCH("FEMALE WARD",K409)), PROPER("FEMALE MEDICAL"),
TRUE, "Unmapped: " &amp; K409)</f>
        <v>Male Medical</v>
      </c>
      <c r="M409" t="s">
        <v>22</v>
      </c>
      <c r="O409" t="s">
        <v>1543</v>
      </c>
      <c r="P409" t="str">
        <f t="shared" si="53"/>
        <v>Text Error</v>
      </c>
      <c r="Q409" s="5">
        <v>46045.927569444444</v>
      </c>
      <c r="R409" t="str">
        <f t="shared" si="54"/>
        <v>Valid Date</v>
      </c>
      <c r="S409" t="s">
        <v>1544</v>
      </c>
      <c r="T409" s="5">
        <v>46050.663101851853</v>
      </c>
      <c r="U409">
        <v>4</v>
      </c>
      <c r="V409" t="str">
        <f t="shared" si="55"/>
        <v>OK</v>
      </c>
      <c r="W409" t="s">
        <v>25</v>
      </c>
      <c r="Y409" t="s">
        <v>30</v>
      </c>
    </row>
    <row r="410" spans="1:25" x14ac:dyDescent="0.25">
      <c r="A410" t="s">
        <v>1545</v>
      </c>
      <c r="B410" t="str">
        <f t="shared" si="49"/>
        <v>Jefta Kefasoni James</v>
      </c>
      <c r="C410">
        <v>129440</v>
      </c>
      <c r="D410" t="str">
        <f t="shared" si="48"/>
        <v>Unique</v>
      </c>
      <c r="E410" t="s">
        <v>454</v>
      </c>
      <c r="F410" s="3">
        <f t="shared" si="50"/>
        <v>3</v>
      </c>
      <c r="G410" t="s">
        <v>19</v>
      </c>
      <c r="H410" t="str">
        <f t="shared" si="51"/>
        <v>Valid</v>
      </c>
      <c r="I410" t="s">
        <v>20</v>
      </c>
      <c r="J410" t="str">
        <f t="shared" si="52"/>
        <v>Uvinza</v>
      </c>
      <c r="K410" t="s">
        <v>109</v>
      </c>
      <c r="L410" t="str" cm="1">
        <f t="array" ref="L410">_xlfn.IFS(
ISNUMBER(SEARCH("ICU",K410)), "ICU",
ISNUMBER(SEARCH("NEONATAL",K410)), PROPER("NEONATAL"),
ISNUMBER(SEARCH("LABOUR",K410)), PROPER("LABOUR"),
ISNUMBER(SEARCH("PAEDIATRIC",K410)), PROPER("PAEDIATRIC"),
ISNUMBER(SEARCH("FEMALE SURGICAL",K410)), PROPER("FEMALE SURG, ORTHO &amp; GYN"),
ISNUMBER(SEARCH("PSYCHIATRIST",K410)), PROPER("PSYCHIATRIST"),
ISNUMBER(SEARCH("GRADE 1",K410)), PROPER("GRADE 1"),
ISNUMBER(SEARCH("MALE SURGICAL",K410)), PROPER("MALE SURG &amp; ORTHOPEDIC"),
ISNUMBER(SEARCH("MALE MEDICAL",K410)), PROPER("MALE MEDICAL"),
ISNUMBER(SEARCH("GRADE 2",K410)), PROPER("GRADE 2"),
ISNUMBER(SEARCH("FEMALE WARD",K410)), PROPER("FEMALE MEDICAL"),
TRUE, "Unmapped: " &amp; K410)</f>
        <v>Paediatric</v>
      </c>
      <c r="M410" t="s">
        <v>22</v>
      </c>
      <c r="O410" t="s">
        <v>1546</v>
      </c>
      <c r="P410" t="str">
        <f t="shared" si="53"/>
        <v>Text Error</v>
      </c>
      <c r="Q410" s="5">
        <v>46045.929537037038</v>
      </c>
      <c r="R410" t="str">
        <f t="shared" si="54"/>
        <v>Valid Date</v>
      </c>
      <c r="S410" t="s">
        <v>1547</v>
      </c>
      <c r="T410" s="5">
        <v>46050.750787037039</v>
      </c>
      <c r="U410">
        <v>4</v>
      </c>
      <c r="V410" t="str">
        <f t="shared" si="55"/>
        <v>OK</v>
      </c>
      <c r="W410" t="s">
        <v>25</v>
      </c>
      <c r="Y410" t="s">
        <v>30</v>
      </c>
    </row>
    <row r="411" spans="1:25" x14ac:dyDescent="0.25">
      <c r="A411" t="s">
        <v>1548</v>
      </c>
      <c r="B411" t="str">
        <f t="shared" si="49"/>
        <v>Baby Of Christina Marwa Wariyoba</v>
      </c>
      <c r="C411">
        <v>129449</v>
      </c>
      <c r="D411" t="str">
        <f t="shared" si="48"/>
        <v>Unique</v>
      </c>
      <c r="E411" t="s">
        <v>1172</v>
      </c>
      <c r="F411" s="3" t="str">
        <f t="shared" si="50"/>
        <v>1/12</v>
      </c>
      <c r="G411" t="s">
        <v>32</v>
      </c>
      <c r="H411" t="str">
        <f t="shared" si="51"/>
        <v>Valid</v>
      </c>
      <c r="I411" t="s">
        <v>33</v>
      </c>
      <c r="J411" t="str">
        <f t="shared" si="52"/>
        <v>Kigoma Ujiji Mc</v>
      </c>
      <c r="K411" t="s">
        <v>21</v>
      </c>
      <c r="L411" t="str" cm="1">
        <f t="array" ref="L411">_xlfn.IFS(
ISNUMBER(SEARCH("ICU",K411)), "ICU",
ISNUMBER(SEARCH("NEONATAL",K411)), PROPER("NEONATAL"),
ISNUMBER(SEARCH("LABOUR",K411)), PROPER("LABOUR"),
ISNUMBER(SEARCH("PAEDIATRIC",K411)), PROPER("PAEDIATRIC"),
ISNUMBER(SEARCH("FEMALE SURGICAL",K411)), PROPER("FEMALE SURG, ORTHO &amp; GYN"),
ISNUMBER(SEARCH("PSYCHIATRIST",K411)), PROPER("PSYCHIATRIST"),
ISNUMBER(SEARCH("GRADE 1",K411)), PROPER("GRADE 1"),
ISNUMBER(SEARCH("MALE SURGICAL",K411)), PROPER("MALE SURG &amp; ORTHOPEDIC"),
ISNUMBER(SEARCH("MALE MEDICAL",K411)), PROPER("MALE MEDICAL"),
ISNUMBER(SEARCH("GRADE 2",K411)), PROPER("GRADE 2"),
ISNUMBER(SEARCH("FEMALE WARD",K411)), PROPER("FEMALE MEDICAL"),
TRUE, "Unmapped: " &amp; K411)</f>
        <v>Neonatal</v>
      </c>
      <c r="M411" t="s">
        <v>22</v>
      </c>
      <c r="O411" t="s">
        <v>1549</v>
      </c>
      <c r="P411" t="str">
        <f t="shared" si="53"/>
        <v>Text Error</v>
      </c>
      <c r="Q411" s="5">
        <v>46046.331342592595</v>
      </c>
      <c r="R411" t="str">
        <f t="shared" si="54"/>
        <v>Valid Date</v>
      </c>
      <c r="S411" t="s">
        <v>1550</v>
      </c>
      <c r="T411" s="5">
        <v>46050.528032407405</v>
      </c>
      <c r="U411">
        <v>4</v>
      </c>
      <c r="V411" t="str">
        <f t="shared" si="55"/>
        <v>OK</v>
      </c>
      <c r="W411" t="s">
        <v>25</v>
      </c>
      <c r="Y411" t="s">
        <v>30</v>
      </c>
    </row>
    <row r="412" spans="1:25" x14ac:dyDescent="0.25">
      <c r="A412" t="s">
        <v>1551</v>
      </c>
      <c r="B412" t="str">
        <f t="shared" si="49"/>
        <v>Jackline Humphrey Mpembeni</v>
      </c>
      <c r="C412">
        <v>102525</v>
      </c>
      <c r="D412" t="str">
        <f t="shared" si="48"/>
        <v>Unique</v>
      </c>
      <c r="E412" t="s">
        <v>296</v>
      </c>
      <c r="F412" s="3">
        <f t="shared" si="50"/>
        <v>26</v>
      </c>
      <c r="G412" t="s">
        <v>32</v>
      </c>
      <c r="H412" t="str">
        <f t="shared" si="51"/>
        <v>Valid</v>
      </c>
      <c r="I412" t="s">
        <v>33</v>
      </c>
      <c r="J412" t="str">
        <f t="shared" si="52"/>
        <v>Kigoma Ujiji Mc</v>
      </c>
      <c r="K412" t="s">
        <v>685</v>
      </c>
      <c r="L412" t="str" cm="1">
        <f t="array" ref="L412">_xlfn.IFS(
ISNUMBER(SEARCH("ICU",K412)), "ICU",
ISNUMBER(SEARCH("NEONATAL",K412)), PROPER("NEONATAL"),
ISNUMBER(SEARCH("LABOUR",K412)), PROPER("LABOUR"),
ISNUMBER(SEARCH("PAEDIATRIC",K412)), PROPER("PAEDIATRIC"),
ISNUMBER(SEARCH("FEMALE SURGICAL",K412)), PROPER("FEMALE SURG, ORTHO &amp; GYN"),
ISNUMBER(SEARCH("PSYCHIATRIST",K412)), PROPER("PSYCHIATRIST"),
ISNUMBER(SEARCH("GRADE 1",K412)), PROPER("GRADE 1"),
ISNUMBER(SEARCH("MALE SURGICAL",K412)), PROPER("MALE SURG &amp; ORTHOPEDIC"),
ISNUMBER(SEARCH("MALE MEDICAL",K412)), PROPER("MALE MEDICAL"),
ISNUMBER(SEARCH("GRADE 2",K412)), PROPER("GRADE 2"),
ISNUMBER(SEARCH("FEMALE WARD",K412)), PROPER("FEMALE MEDICAL"),
TRUE, "Unmapped: " &amp; K412)</f>
        <v>Grade 2</v>
      </c>
      <c r="M412" t="s">
        <v>394</v>
      </c>
      <c r="O412" t="s">
        <v>1552</v>
      </c>
      <c r="P412" t="str">
        <f t="shared" si="53"/>
        <v>Text Error</v>
      </c>
      <c r="Q412" s="5">
        <v>46046.519768518519</v>
      </c>
      <c r="R412" t="str">
        <f t="shared" si="54"/>
        <v>Valid Date</v>
      </c>
      <c r="S412" t="s">
        <v>1553</v>
      </c>
      <c r="T412" s="5">
        <v>46050.668553240743</v>
      </c>
      <c r="U412">
        <v>4</v>
      </c>
      <c r="V412" t="str">
        <f t="shared" si="55"/>
        <v>OK</v>
      </c>
      <c r="W412" t="s">
        <v>25</v>
      </c>
      <c r="Y412" t="s">
        <v>30</v>
      </c>
    </row>
    <row r="413" spans="1:25" x14ac:dyDescent="0.25">
      <c r="A413" t="s">
        <v>1555</v>
      </c>
      <c r="B413" t="str">
        <f t="shared" si="49"/>
        <v>Hadija S Mkandama</v>
      </c>
      <c r="C413">
        <v>129009</v>
      </c>
      <c r="D413" t="str">
        <f t="shared" si="48"/>
        <v>Unique</v>
      </c>
      <c r="E413" t="s">
        <v>1556</v>
      </c>
      <c r="F413" s="3">
        <f t="shared" si="50"/>
        <v>67</v>
      </c>
      <c r="G413" t="s">
        <v>32</v>
      </c>
      <c r="H413" t="str">
        <f t="shared" si="51"/>
        <v>Valid</v>
      </c>
      <c r="I413" t="s">
        <v>33</v>
      </c>
      <c r="J413" t="str">
        <f t="shared" si="52"/>
        <v>Kigoma Ujiji Mc</v>
      </c>
      <c r="K413" t="s">
        <v>685</v>
      </c>
      <c r="L413" t="str" cm="1">
        <f t="array" ref="L413">_xlfn.IFS(
ISNUMBER(SEARCH("ICU",K413)), "ICU",
ISNUMBER(SEARCH("NEONATAL",K413)), PROPER("NEONATAL"),
ISNUMBER(SEARCH("LABOUR",K413)), PROPER("LABOUR"),
ISNUMBER(SEARCH("PAEDIATRIC",K413)), PROPER("PAEDIATRIC"),
ISNUMBER(SEARCH("FEMALE SURGICAL",K413)), PROPER("FEMALE SURG, ORTHO &amp; GYN"),
ISNUMBER(SEARCH("PSYCHIATRIST",K413)), PROPER("PSYCHIATRIST"),
ISNUMBER(SEARCH("GRADE 1",K413)), PROPER("GRADE 1"),
ISNUMBER(SEARCH("MALE SURGICAL",K413)), PROPER("MALE SURG &amp; ORTHOPEDIC"),
ISNUMBER(SEARCH("MALE MEDICAL",K413)), PROPER("MALE MEDICAL"),
ISNUMBER(SEARCH("GRADE 2",K413)), PROPER("GRADE 2"),
ISNUMBER(SEARCH("FEMALE WARD",K413)), PROPER("FEMALE MEDICAL"),
TRUE, "Unmapped: " &amp; K413)</f>
        <v>Grade 2</v>
      </c>
      <c r="M413" t="s">
        <v>394</v>
      </c>
      <c r="O413" t="s">
        <v>1557</v>
      </c>
      <c r="P413" t="str">
        <f t="shared" si="53"/>
        <v>Text Error</v>
      </c>
      <c r="Q413" s="5">
        <v>46046.63385416667</v>
      </c>
      <c r="R413" t="str">
        <f t="shared" si="54"/>
        <v>Valid Date</v>
      </c>
      <c r="S413" t="s">
        <v>1558</v>
      </c>
      <c r="T413" s="5">
        <v>46051.541238425925</v>
      </c>
      <c r="U413">
        <v>4</v>
      </c>
      <c r="V413" t="str">
        <f t="shared" si="55"/>
        <v>OK</v>
      </c>
      <c r="W413" t="s">
        <v>25</v>
      </c>
      <c r="Y413" t="s">
        <v>30</v>
      </c>
    </row>
    <row r="414" spans="1:25" x14ac:dyDescent="0.25">
      <c r="A414" t="s">
        <v>1560</v>
      </c>
      <c r="B414" t="str">
        <f t="shared" si="49"/>
        <v>Hairath Mbaruku Omary</v>
      </c>
      <c r="C414">
        <v>129496</v>
      </c>
      <c r="D414" t="str">
        <f t="shared" si="48"/>
        <v>Unique</v>
      </c>
      <c r="E414" t="s">
        <v>142</v>
      </c>
      <c r="F414" s="3">
        <f t="shared" si="50"/>
        <v>20</v>
      </c>
      <c r="G414" t="s">
        <v>32</v>
      </c>
      <c r="H414" t="str">
        <f t="shared" si="51"/>
        <v>Valid</v>
      </c>
      <c r="I414" t="s">
        <v>33</v>
      </c>
      <c r="J414" t="str">
        <f t="shared" si="52"/>
        <v>Kigoma Ujiji Mc</v>
      </c>
      <c r="K414" t="s">
        <v>40</v>
      </c>
      <c r="L414" t="str" cm="1">
        <f t="array" ref="L414">_xlfn.IFS(
ISNUMBER(SEARCH("ICU",K414)), "ICU",
ISNUMBER(SEARCH("NEONATAL",K414)), PROPER("NEONATAL"),
ISNUMBER(SEARCH("LABOUR",K414)), PROPER("LABOUR"),
ISNUMBER(SEARCH("PAEDIATRIC",K414)), PROPER("PAEDIATRIC"),
ISNUMBER(SEARCH("FEMALE SURGICAL",K414)), PROPER("FEMALE SURG, ORTHO &amp; GYN"),
ISNUMBER(SEARCH("PSYCHIATRIST",K414)), PROPER("PSYCHIATRIST"),
ISNUMBER(SEARCH("GRADE 1",K414)), PROPER("GRADE 1"),
ISNUMBER(SEARCH("MALE SURGICAL",K414)), PROPER("MALE SURG &amp; ORTHOPEDIC"),
ISNUMBER(SEARCH("MALE MEDICAL",K414)), PROPER("MALE MEDICAL"),
ISNUMBER(SEARCH("GRADE 2",K414)), PROPER("GRADE 2"),
ISNUMBER(SEARCH("FEMALE WARD",K414)), PROPER("FEMALE MEDICAL"),
TRUE, "Unmapped: " &amp; K414)</f>
        <v>Labour</v>
      </c>
      <c r="M414" t="s">
        <v>22</v>
      </c>
      <c r="O414" t="s">
        <v>1561</v>
      </c>
      <c r="P414" t="str">
        <f t="shared" si="53"/>
        <v>Text Error</v>
      </c>
      <c r="Q414" s="5">
        <v>46046.943425925929</v>
      </c>
      <c r="R414" t="str">
        <f t="shared" si="54"/>
        <v>Valid Date</v>
      </c>
      <c r="S414" t="s">
        <v>1562</v>
      </c>
      <c r="T414" s="5">
        <v>46051.658750000002</v>
      </c>
      <c r="U414">
        <v>4</v>
      </c>
      <c r="V414" t="str">
        <f t="shared" si="55"/>
        <v>OK</v>
      </c>
      <c r="W414" t="s">
        <v>25</v>
      </c>
      <c r="Y414" t="s">
        <v>30</v>
      </c>
    </row>
    <row r="415" spans="1:25" x14ac:dyDescent="0.25">
      <c r="A415" t="s">
        <v>1563</v>
      </c>
      <c r="B415" t="str">
        <f t="shared" si="49"/>
        <v>Jamila Sadi Walidi</v>
      </c>
      <c r="C415">
        <v>129511</v>
      </c>
      <c r="D415" t="str">
        <f t="shared" si="48"/>
        <v>Unique</v>
      </c>
      <c r="E415" t="s">
        <v>301</v>
      </c>
      <c r="F415" s="3">
        <f t="shared" si="50"/>
        <v>16</v>
      </c>
      <c r="G415" t="s">
        <v>32</v>
      </c>
      <c r="H415" t="str">
        <f t="shared" si="51"/>
        <v>Valid</v>
      </c>
      <c r="I415" t="s">
        <v>33</v>
      </c>
      <c r="J415" t="str">
        <f t="shared" si="52"/>
        <v>Kigoma Ujiji Mc</v>
      </c>
      <c r="K415" t="s">
        <v>40</v>
      </c>
      <c r="L415" t="str" cm="1">
        <f t="array" ref="L415">_xlfn.IFS(
ISNUMBER(SEARCH("ICU",K415)), "ICU",
ISNUMBER(SEARCH("NEONATAL",K415)), PROPER("NEONATAL"),
ISNUMBER(SEARCH("LABOUR",K415)), PROPER("LABOUR"),
ISNUMBER(SEARCH("PAEDIATRIC",K415)), PROPER("PAEDIATRIC"),
ISNUMBER(SEARCH("FEMALE SURGICAL",K415)), PROPER("FEMALE SURG, ORTHO &amp; GYN"),
ISNUMBER(SEARCH("PSYCHIATRIST",K415)), PROPER("PSYCHIATRIST"),
ISNUMBER(SEARCH("GRADE 1",K415)), PROPER("GRADE 1"),
ISNUMBER(SEARCH("MALE SURGICAL",K415)), PROPER("MALE SURG &amp; ORTHOPEDIC"),
ISNUMBER(SEARCH("MALE MEDICAL",K415)), PROPER("MALE MEDICAL"),
ISNUMBER(SEARCH("GRADE 2",K415)), PROPER("GRADE 2"),
ISNUMBER(SEARCH("FEMALE WARD",K415)), PROPER("FEMALE MEDICAL"),
TRUE, "Unmapped: " &amp; K415)</f>
        <v>Labour</v>
      </c>
      <c r="M415" t="s">
        <v>22</v>
      </c>
      <c r="O415" t="s">
        <v>1564</v>
      </c>
      <c r="P415" t="str">
        <f t="shared" si="53"/>
        <v>Text Error</v>
      </c>
      <c r="Q415" s="5">
        <v>46047.127025462964</v>
      </c>
      <c r="R415" t="str">
        <f t="shared" si="54"/>
        <v>Valid Date</v>
      </c>
      <c r="S415" t="s">
        <v>1565</v>
      </c>
      <c r="T415" s="5">
        <v>46051.363159722219</v>
      </c>
      <c r="U415">
        <v>4</v>
      </c>
      <c r="V415" t="str">
        <f t="shared" si="55"/>
        <v>OK</v>
      </c>
      <c r="W415" t="s">
        <v>25</v>
      </c>
      <c r="Y415" t="s">
        <v>30</v>
      </c>
    </row>
    <row r="416" spans="1:25" x14ac:dyDescent="0.25">
      <c r="A416" t="s">
        <v>1566</v>
      </c>
      <c r="B416" t="str">
        <f t="shared" si="49"/>
        <v>Jefta Joseph Shimikilo</v>
      </c>
      <c r="C416">
        <v>129533</v>
      </c>
      <c r="D416" t="str">
        <f t="shared" si="48"/>
        <v>Unique</v>
      </c>
      <c r="E416" t="s">
        <v>634</v>
      </c>
      <c r="F416" s="3" t="str">
        <f t="shared" si="50"/>
        <v>3/12</v>
      </c>
      <c r="G416" t="s">
        <v>32</v>
      </c>
      <c r="H416" t="str">
        <f t="shared" si="51"/>
        <v>Valid</v>
      </c>
      <c r="I416" t="s">
        <v>33</v>
      </c>
      <c r="J416" t="str">
        <f t="shared" si="52"/>
        <v>Kigoma Ujiji Mc</v>
      </c>
      <c r="K416" t="s">
        <v>109</v>
      </c>
      <c r="L416" t="str" cm="1">
        <f t="array" ref="L416">_xlfn.IFS(
ISNUMBER(SEARCH("ICU",K416)), "ICU",
ISNUMBER(SEARCH("NEONATAL",K416)), PROPER("NEONATAL"),
ISNUMBER(SEARCH("LABOUR",K416)), PROPER("LABOUR"),
ISNUMBER(SEARCH("PAEDIATRIC",K416)), PROPER("PAEDIATRIC"),
ISNUMBER(SEARCH("FEMALE SURGICAL",K416)), PROPER("FEMALE SURG, ORTHO &amp; GYN"),
ISNUMBER(SEARCH("PSYCHIATRIST",K416)), PROPER("PSYCHIATRIST"),
ISNUMBER(SEARCH("GRADE 1",K416)), PROPER("GRADE 1"),
ISNUMBER(SEARCH("MALE SURGICAL",K416)), PROPER("MALE SURG &amp; ORTHOPEDIC"),
ISNUMBER(SEARCH("MALE MEDICAL",K416)), PROPER("MALE MEDICAL"),
ISNUMBER(SEARCH("GRADE 2",K416)), PROPER("GRADE 2"),
ISNUMBER(SEARCH("FEMALE WARD",K416)), PROPER("FEMALE MEDICAL"),
TRUE, "Unmapped: " &amp; K416)</f>
        <v>Paediatric</v>
      </c>
      <c r="M416" t="s">
        <v>22</v>
      </c>
      <c r="O416" t="s">
        <v>1567</v>
      </c>
      <c r="P416" t="str">
        <f t="shared" si="53"/>
        <v>Text Error</v>
      </c>
      <c r="Q416" s="5">
        <v>46047.634097222224</v>
      </c>
      <c r="R416" t="str">
        <f t="shared" si="54"/>
        <v>Valid Date</v>
      </c>
      <c r="S416" t="s">
        <v>1568</v>
      </c>
      <c r="T416" s="5">
        <v>46052.48537037037</v>
      </c>
      <c r="U416">
        <v>4</v>
      </c>
      <c r="V416" t="str">
        <f t="shared" si="55"/>
        <v>OK</v>
      </c>
      <c r="W416" t="s">
        <v>211</v>
      </c>
      <c r="Y416" t="s">
        <v>30</v>
      </c>
    </row>
    <row r="417" spans="1:25" x14ac:dyDescent="0.25">
      <c r="A417" t="s">
        <v>1569</v>
      </c>
      <c r="B417" t="str">
        <f t="shared" si="49"/>
        <v>Madina Haruna Chalesi</v>
      </c>
      <c r="C417">
        <v>129560</v>
      </c>
      <c r="D417" t="str">
        <f t="shared" si="48"/>
        <v>Unique</v>
      </c>
      <c r="E417" t="s">
        <v>151</v>
      </c>
      <c r="F417" s="3">
        <f t="shared" si="50"/>
        <v>22</v>
      </c>
      <c r="G417" t="s">
        <v>32</v>
      </c>
      <c r="H417" t="str">
        <f t="shared" si="51"/>
        <v>Valid</v>
      </c>
      <c r="I417" t="s">
        <v>33</v>
      </c>
      <c r="J417" t="str">
        <f t="shared" si="52"/>
        <v>Kigoma Ujiji Mc</v>
      </c>
      <c r="K417" t="s">
        <v>40</v>
      </c>
      <c r="L417" t="str" cm="1">
        <f t="array" ref="L417">_xlfn.IFS(
ISNUMBER(SEARCH("ICU",K417)), "ICU",
ISNUMBER(SEARCH("NEONATAL",K417)), PROPER("NEONATAL"),
ISNUMBER(SEARCH("LABOUR",K417)), PROPER("LABOUR"),
ISNUMBER(SEARCH("PAEDIATRIC",K417)), PROPER("PAEDIATRIC"),
ISNUMBER(SEARCH("FEMALE SURGICAL",K417)), PROPER("FEMALE SURG, ORTHO &amp; GYN"),
ISNUMBER(SEARCH("PSYCHIATRIST",K417)), PROPER("PSYCHIATRIST"),
ISNUMBER(SEARCH("GRADE 1",K417)), PROPER("GRADE 1"),
ISNUMBER(SEARCH("MALE SURGICAL",K417)), PROPER("MALE SURG &amp; ORTHOPEDIC"),
ISNUMBER(SEARCH("MALE MEDICAL",K417)), PROPER("MALE MEDICAL"),
ISNUMBER(SEARCH("GRADE 2",K417)), PROPER("GRADE 2"),
ISNUMBER(SEARCH("FEMALE WARD",K417)), PROPER("FEMALE MEDICAL"),
TRUE, "Unmapped: " &amp; K417)</f>
        <v>Labour</v>
      </c>
      <c r="M417" t="s">
        <v>22</v>
      </c>
      <c r="O417" t="s">
        <v>1570</v>
      </c>
      <c r="P417" t="str">
        <f t="shared" si="53"/>
        <v>Text Error</v>
      </c>
      <c r="Q417" s="5">
        <v>46048.305960648147</v>
      </c>
      <c r="R417" t="str">
        <f t="shared" si="54"/>
        <v>Valid Date</v>
      </c>
      <c r="S417" t="s">
        <v>1571</v>
      </c>
      <c r="T417" s="5">
        <v>46052.631539351853</v>
      </c>
      <c r="U417">
        <v>4</v>
      </c>
      <c r="V417" t="str">
        <f t="shared" si="55"/>
        <v>OK</v>
      </c>
      <c r="W417" t="s">
        <v>25</v>
      </c>
      <c r="Y417" t="s">
        <v>30</v>
      </c>
    </row>
    <row r="418" spans="1:25" x14ac:dyDescent="0.25">
      <c r="A418" t="s">
        <v>1572</v>
      </c>
      <c r="B418" t="str">
        <f t="shared" si="49"/>
        <v>Elesi Juma Mbwiliza</v>
      </c>
      <c r="C418">
        <v>37569</v>
      </c>
      <c r="D418" t="str">
        <f t="shared" si="48"/>
        <v>Unique</v>
      </c>
      <c r="E418" t="s">
        <v>630</v>
      </c>
      <c r="F418" s="3">
        <f t="shared" si="50"/>
        <v>41</v>
      </c>
      <c r="G418" t="s">
        <v>32</v>
      </c>
      <c r="H418" t="str">
        <f t="shared" si="51"/>
        <v>Valid</v>
      </c>
      <c r="I418" t="s">
        <v>227</v>
      </c>
      <c r="J418" t="str">
        <f t="shared" si="52"/>
        <v>KGG</v>
      </c>
      <c r="K418" t="s">
        <v>40</v>
      </c>
      <c r="L418" t="str" cm="1">
        <f t="array" ref="L418">_xlfn.IFS(
ISNUMBER(SEARCH("ICU",K418)), "ICU",
ISNUMBER(SEARCH("NEONATAL",K418)), PROPER("NEONATAL"),
ISNUMBER(SEARCH("LABOUR",K418)), PROPER("LABOUR"),
ISNUMBER(SEARCH("PAEDIATRIC",K418)), PROPER("PAEDIATRIC"),
ISNUMBER(SEARCH("FEMALE SURGICAL",K418)), PROPER("FEMALE SURG, ORTHO &amp; GYN"),
ISNUMBER(SEARCH("PSYCHIATRIST",K418)), PROPER("PSYCHIATRIST"),
ISNUMBER(SEARCH("GRADE 1",K418)), PROPER("GRADE 1"),
ISNUMBER(SEARCH("MALE SURGICAL",K418)), PROPER("MALE SURG &amp; ORTHOPEDIC"),
ISNUMBER(SEARCH("MALE MEDICAL",K418)), PROPER("MALE MEDICAL"),
ISNUMBER(SEARCH("GRADE 2",K418)), PROPER("GRADE 2"),
ISNUMBER(SEARCH("FEMALE WARD",K418)), PROPER("FEMALE MEDICAL"),
TRUE, "Unmapped: " &amp; K418)</f>
        <v>Labour</v>
      </c>
      <c r="M418" t="s">
        <v>22</v>
      </c>
      <c r="O418" t="s">
        <v>1573</v>
      </c>
      <c r="P418" t="str">
        <f t="shared" si="53"/>
        <v>Text Error</v>
      </c>
      <c r="Q418" s="5">
        <v>46049.498067129629</v>
      </c>
      <c r="R418" t="str">
        <f t="shared" si="54"/>
        <v>Valid Date</v>
      </c>
      <c r="S418" t="s">
        <v>1574</v>
      </c>
      <c r="T418" s="5">
        <v>46053.709027777775</v>
      </c>
      <c r="U418">
        <v>4</v>
      </c>
      <c r="V418" t="str">
        <f t="shared" si="55"/>
        <v>OK</v>
      </c>
      <c r="W418" t="s">
        <v>25</v>
      </c>
      <c r="Y418" t="s">
        <v>30</v>
      </c>
    </row>
    <row r="419" spans="1:25" x14ac:dyDescent="0.25">
      <c r="A419" t="s">
        <v>1575</v>
      </c>
      <c r="B419" t="str">
        <f t="shared" si="49"/>
        <v>Baby Of Sophia Lutabili Atabwa</v>
      </c>
      <c r="C419">
        <v>126721</v>
      </c>
      <c r="D419" t="str">
        <f t="shared" si="48"/>
        <v>Unique</v>
      </c>
      <c r="E419" t="s">
        <v>622</v>
      </c>
      <c r="F419" s="3" t="str">
        <f t="shared" si="50"/>
        <v>2/12</v>
      </c>
      <c r="G419" t="s">
        <v>19</v>
      </c>
      <c r="H419" t="str">
        <f t="shared" si="51"/>
        <v>Valid</v>
      </c>
      <c r="I419" t="s">
        <v>33</v>
      </c>
      <c r="J419" t="str">
        <f t="shared" si="52"/>
        <v>Kigoma Ujiji Mc</v>
      </c>
      <c r="K419" t="s">
        <v>21</v>
      </c>
      <c r="L419" t="str" cm="1">
        <f t="array" ref="L419">_xlfn.IFS(
ISNUMBER(SEARCH("ICU",K419)), "ICU",
ISNUMBER(SEARCH("NEONATAL",K419)), PROPER("NEONATAL"),
ISNUMBER(SEARCH("LABOUR",K419)), PROPER("LABOUR"),
ISNUMBER(SEARCH("PAEDIATRIC",K419)), PROPER("PAEDIATRIC"),
ISNUMBER(SEARCH("FEMALE SURGICAL",K419)), PROPER("FEMALE SURG, ORTHO &amp; GYN"),
ISNUMBER(SEARCH("PSYCHIATRIST",K419)), PROPER("PSYCHIATRIST"),
ISNUMBER(SEARCH("GRADE 1",K419)), PROPER("GRADE 1"),
ISNUMBER(SEARCH("MALE SURGICAL",K419)), PROPER("MALE SURG &amp; ORTHOPEDIC"),
ISNUMBER(SEARCH("MALE MEDICAL",K419)), PROPER("MALE MEDICAL"),
ISNUMBER(SEARCH("GRADE 2",K419)), PROPER("GRADE 2"),
ISNUMBER(SEARCH("FEMALE WARD",K419)), PROPER("FEMALE MEDICAL"),
TRUE, "Unmapped: " &amp; K419)</f>
        <v>Neonatal</v>
      </c>
      <c r="M419" t="s">
        <v>22</v>
      </c>
      <c r="O419" t="s">
        <v>1576</v>
      </c>
      <c r="P419" t="str">
        <f t="shared" si="53"/>
        <v>Text Error</v>
      </c>
      <c r="Q419" s="5">
        <v>46020.794328703705</v>
      </c>
      <c r="R419" t="str">
        <f t="shared" si="54"/>
        <v>Valid Date</v>
      </c>
      <c r="S419" t="s">
        <v>1577</v>
      </c>
      <c r="T419" s="5">
        <v>46024.784004629626</v>
      </c>
      <c r="U419">
        <v>3</v>
      </c>
      <c r="V419" t="str">
        <f t="shared" si="55"/>
        <v>OK</v>
      </c>
      <c r="W419" t="s">
        <v>25</v>
      </c>
      <c r="Y419" t="s">
        <v>30</v>
      </c>
    </row>
    <row r="420" spans="1:25" x14ac:dyDescent="0.25">
      <c r="A420" t="s">
        <v>1578</v>
      </c>
      <c r="B420" t="str">
        <f t="shared" si="49"/>
        <v>Fatuma Makwe Seleman</v>
      </c>
      <c r="C420">
        <v>106425</v>
      </c>
      <c r="D420" t="str">
        <f t="shared" si="48"/>
        <v>Unique</v>
      </c>
      <c r="E420" t="s">
        <v>361</v>
      </c>
      <c r="F420" s="3">
        <f t="shared" si="50"/>
        <v>27</v>
      </c>
      <c r="G420" t="s">
        <v>32</v>
      </c>
      <c r="H420" t="str">
        <f t="shared" si="51"/>
        <v>Valid</v>
      </c>
      <c r="I420" t="s">
        <v>33</v>
      </c>
      <c r="J420" t="str">
        <f t="shared" si="52"/>
        <v>Kigoma Ujiji Mc</v>
      </c>
      <c r="K420" t="s">
        <v>40</v>
      </c>
      <c r="L420" t="str" cm="1">
        <f t="array" ref="L420">_xlfn.IFS(
ISNUMBER(SEARCH("ICU",K420)), "ICU",
ISNUMBER(SEARCH("NEONATAL",K420)), PROPER("NEONATAL"),
ISNUMBER(SEARCH("LABOUR",K420)), PROPER("LABOUR"),
ISNUMBER(SEARCH("PAEDIATRIC",K420)), PROPER("PAEDIATRIC"),
ISNUMBER(SEARCH("FEMALE SURGICAL",K420)), PROPER("FEMALE SURG, ORTHO &amp; GYN"),
ISNUMBER(SEARCH("PSYCHIATRIST",K420)), PROPER("PSYCHIATRIST"),
ISNUMBER(SEARCH("GRADE 1",K420)), PROPER("GRADE 1"),
ISNUMBER(SEARCH("MALE SURGICAL",K420)), PROPER("MALE SURG &amp; ORTHOPEDIC"),
ISNUMBER(SEARCH("MALE MEDICAL",K420)), PROPER("MALE MEDICAL"),
ISNUMBER(SEARCH("GRADE 2",K420)), PROPER("GRADE 2"),
ISNUMBER(SEARCH("FEMALE WARD",K420)), PROPER("FEMALE MEDICAL"),
TRUE, "Unmapped: " &amp; K420)</f>
        <v>Labour</v>
      </c>
      <c r="M420" t="s">
        <v>22</v>
      </c>
      <c r="O420" t="s">
        <v>1579</v>
      </c>
      <c r="P420" t="str">
        <f t="shared" si="53"/>
        <v>Text Error</v>
      </c>
      <c r="Q420" s="5">
        <v>46021.395509259259</v>
      </c>
      <c r="R420" t="str">
        <f t="shared" si="54"/>
        <v>Valid Date</v>
      </c>
      <c r="S420" t="s">
        <v>1580</v>
      </c>
      <c r="T420" s="5">
        <v>46024.721643518518</v>
      </c>
      <c r="U420">
        <v>3</v>
      </c>
      <c r="V420" t="str">
        <f t="shared" si="55"/>
        <v>OK</v>
      </c>
      <c r="W420" t="s">
        <v>25</v>
      </c>
      <c r="Y420" t="s">
        <v>30</v>
      </c>
    </row>
    <row r="421" spans="1:25" x14ac:dyDescent="0.25">
      <c r="A421" t="s">
        <v>1581</v>
      </c>
      <c r="B421" t="str">
        <f t="shared" si="49"/>
        <v>Hamida Yasini Mahawa</v>
      </c>
      <c r="C421">
        <v>126577</v>
      </c>
      <c r="D421" t="str">
        <f t="shared" si="48"/>
        <v>Unique</v>
      </c>
      <c r="E421" t="s">
        <v>122</v>
      </c>
      <c r="F421" s="3">
        <f t="shared" si="50"/>
        <v>40</v>
      </c>
      <c r="G421" t="s">
        <v>32</v>
      </c>
      <c r="H421" t="str">
        <f t="shared" si="51"/>
        <v>Valid</v>
      </c>
      <c r="I421" t="s">
        <v>33</v>
      </c>
      <c r="J421" t="str">
        <f t="shared" si="52"/>
        <v>Kigoma Ujiji Mc</v>
      </c>
      <c r="K421" t="s">
        <v>700</v>
      </c>
      <c r="L421" t="str" cm="1">
        <f t="array" ref="L421">_xlfn.IFS(
ISNUMBER(SEARCH("ICU",K421)), "ICU",
ISNUMBER(SEARCH("NEONATAL",K421)), PROPER("NEONATAL"),
ISNUMBER(SEARCH("LABOUR",K421)), PROPER("LABOUR"),
ISNUMBER(SEARCH("PAEDIATRIC",K421)), PROPER("PAEDIATRIC"),
ISNUMBER(SEARCH("FEMALE SURGICAL",K421)), PROPER("FEMALE SURG, ORTHO &amp; GYN"),
ISNUMBER(SEARCH("PSYCHIATRIST",K421)), PROPER("PSYCHIATRIST"),
ISNUMBER(SEARCH("GRADE 1",K421)), PROPER("GRADE 1"),
ISNUMBER(SEARCH("MALE SURGICAL",K421)), PROPER("MALE SURG &amp; ORTHOPEDIC"),
ISNUMBER(SEARCH("MALE MEDICAL",K421)), PROPER("MALE MEDICAL"),
ISNUMBER(SEARCH("GRADE 2",K421)), PROPER("GRADE 2"),
ISNUMBER(SEARCH("FEMALE WARD",K421)), PROPER("FEMALE MEDICAL"),
TRUE, "Unmapped: " &amp; K421)</f>
        <v>Female Medical</v>
      </c>
      <c r="M421" t="s">
        <v>22</v>
      </c>
      <c r="O421" t="s">
        <v>1582</v>
      </c>
      <c r="P421" t="str">
        <f t="shared" si="53"/>
        <v>Text Error</v>
      </c>
      <c r="Q421" s="5">
        <v>46021.46297453704</v>
      </c>
      <c r="R421" t="str">
        <f t="shared" si="54"/>
        <v>Valid Date</v>
      </c>
      <c r="S421" t="s">
        <v>1583</v>
      </c>
      <c r="T421" s="5">
        <v>46024.798449074071</v>
      </c>
      <c r="U421">
        <v>3</v>
      </c>
      <c r="V421" t="str">
        <f t="shared" si="55"/>
        <v>OK</v>
      </c>
      <c r="W421" t="s">
        <v>211</v>
      </c>
      <c r="Y421" t="s">
        <v>30</v>
      </c>
    </row>
    <row r="422" spans="1:25" x14ac:dyDescent="0.25">
      <c r="A422" t="s">
        <v>1584</v>
      </c>
      <c r="B422" t="str">
        <f t="shared" si="49"/>
        <v>B/o Sawaum J Magetha</v>
      </c>
      <c r="C422">
        <v>126808</v>
      </c>
      <c r="D422" t="str">
        <f t="shared" si="48"/>
        <v>Unique</v>
      </c>
      <c r="E422" t="s">
        <v>622</v>
      </c>
      <c r="F422" s="3" t="str">
        <f t="shared" si="50"/>
        <v>2/12</v>
      </c>
      <c r="G422" t="s">
        <v>19</v>
      </c>
      <c r="H422" t="str">
        <f t="shared" si="51"/>
        <v>Valid</v>
      </c>
      <c r="I422" t="s">
        <v>33</v>
      </c>
      <c r="J422" t="str">
        <f t="shared" si="52"/>
        <v>Kigoma Ujiji Mc</v>
      </c>
      <c r="K422" t="s">
        <v>21</v>
      </c>
      <c r="L422" t="str" cm="1">
        <f t="array" ref="L422">_xlfn.IFS(
ISNUMBER(SEARCH("ICU",K422)), "ICU",
ISNUMBER(SEARCH("NEONATAL",K422)), PROPER("NEONATAL"),
ISNUMBER(SEARCH("LABOUR",K422)), PROPER("LABOUR"),
ISNUMBER(SEARCH("PAEDIATRIC",K422)), PROPER("PAEDIATRIC"),
ISNUMBER(SEARCH("FEMALE SURGICAL",K422)), PROPER("FEMALE SURG, ORTHO &amp; GYN"),
ISNUMBER(SEARCH("PSYCHIATRIST",K422)), PROPER("PSYCHIATRIST"),
ISNUMBER(SEARCH("GRADE 1",K422)), PROPER("GRADE 1"),
ISNUMBER(SEARCH("MALE SURGICAL",K422)), PROPER("MALE SURG &amp; ORTHOPEDIC"),
ISNUMBER(SEARCH("MALE MEDICAL",K422)), PROPER("MALE MEDICAL"),
ISNUMBER(SEARCH("GRADE 2",K422)), PROPER("GRADE 2"),
ISNUMBER(SEARCH("FEMALE WARD",K422)), PROPER("FEMALE MEDICAL"),
TRUE, "Unmapped: " &amp; K422)</f>
        <v>Neonatal</v>
      </c>
      <c r="M422" t="s">
        <v>22</v>
      </c>
      <c r="O422" t="s">
        <v>1585</v>
      </c>
      <c r="P422" t="str">
        <f t="shared" si="53"/>
        <v>Text Error</v>
      </c>
      <c r="Q422" s="5">
        <v>46021.536770833336</v>
      </c>
      <c r="R422" t="str">
        <f t="shared" si="54"/>
        <v>Valid Date</v>
      </c>
      <c r="S422" t="s">
        <v>1586</v>
      </c>
      <c r="T422" s="5">
        <v>46024.671539351853</v>
      </c>
      <c r="U422">
        <v>3</v>
      </c>
      <c r="V422" t="str">
        <f t="shared" si="55"/>
        <v>OK</v>
      </c>
      <c r="W422" t="s">
        <v>25</v>
      </c>
      <c r="Y422" t="s">
        <v>30</v>
      </c>
    </row>
    <row r="423" spans="1:25" x14ac:dyDescent="0.25">
      <c r="A423" t="s">
        <v>1587</v>
      </c>
      <c r="B423" t="str">
        <f t="shared" si="49"/>
        <v>Maria John Lugusi</v>
      </c>
      <c r="C423">
        <v>95938</v>
      </c>
      <c r="D423" t="str">
        <f t="shared" si="48"/>
        <v>Unique</v>
      </c>
      <c r="E423" t="s">
        <v>361</v>
      </c>
      <c r="F423" s="3">
        <f t="shared" si="50"/>
        <v>27</v>
      </c>
      <c r="G423" t="s">
        <v>32</v>
      </c>
      <c r="H423" t="str">
        <f t="shared" si="51"/>
        <v>Valid</v>
      </c>
      <c r="I423" t="s">
        <v>33</v>
      </c>
      <c r="J423" t="str">
        <f t="shared" si="52"/>
        <v>Kigoma Ujiji Mc</v>
      </c>
      <c r="K423" t="s">
        <v>40</v>
      </c>
      <c r="L423" t="str" cm="1">
        <f t="array" ref="L423">_xlfn.IFS(
ISNUMBER(SEARCH("ICU",K423)), "ICU",
ISNUMBER(SEARCH("NEONATAL",K423)), PROPER("NEONATAL"),
ISNUMBER(SEARCH("LABOUR",K423)), PROPER("LABOUR"),
ISNUMBER(SEARCH("PAEDIATRIC",K423)), PROPER("PAEDIATRIC"),
ISNUMBER(SEARCH("FEMALE SURGICAL",K423)), PROPER("FEMALE SURG, ORTHO &amp; GYN"),
ISNUMBER(SEARCH("PSYCHIATRIST",K423)), PROPER("PSYCHIATRIST"),
ISNUMBER(SEARCH("GRADE 1",K423)), PROPER("GRADE 1"),
ISNUMBER(SEARCH("MALE SURGICAL",K423)), PROPER("MALE SURG &amp; ORTHOPEDIC"),
ISNUMBER(SEARCH("MALE MEDICAL",K423)), PROPER("MALE MEDICAL"),
ISNUMBER(SEARCH("GRADE 2",K423)), PROPER("GRADE 2"),
ISNUMBER(SEARCH("FEMALE WARD",K423)), PROPER("FEMALE MEDICAL"),
TRUE, "Unmapped: " &amp; K423)</f>
        <v>Labour</v>
      </c>
      <c r="M423" t="s">
        <v>394</v>
      </c>
      <c r="O423" t="s">
        <v>1588</v>
      </c>
      <c r="P423" t="str">
        <f t="shared" si="53"/>
        <v>Text Error</v>
      </c>
      <c r="Q423" s="5">
        <v>46021.707708333335</v>
      </c>
      <c r="R423" t="str">
        <f t="shared" si="54"/>
        <v>Valid Date</v>
      </c>
      <c r="S423" t="s">
        <v>1589</v>
      </c>
      <c r="T423" s="5">
        <v>46025.341122685182</v>
      </c>
      <c r="U423">
        <v>3</v>
      </c>
      <c r="V423" t="str">
        <f t="shared" si="55"/>
        <v>OK</v>
      </c>
      <c r="W423" t="s">
        <v>25</v>
      </c>
      <c r="Y423" t="s">
        <v>30</v>
      </c>
    </row>
    <row r="424" spans="1:25" x14ac:dyDescent="0.25">
      <c r="A424" t="s">
        <v>1590</v>
      </c>
      <c r="B424" t="str">
        <f t="shared" si="49"/>
        <v>Skitu Jumanne Mussa</v>
      </c>
      <c r="C424">
        <v>55384</v>
      </c>
      <c r="D424" t="str">
        <f t="shared" si="48"/>
        <v>Unique</v>
      </c>
      <c r="E424" t="s">
        <v>61</v>
      </c>
      <c r="F424" s="3">
        <f t="shared" si="50"/>
        <v>29</v>
      </c>
      <c r="G424" t="s">
        <v>32</v>
      </c>
      <c r="H424" t="str">
        <f t="shared" si="51"/>
        <v>Valid</v>
      </c>
      <c r="I424" t="s">
        <v>33</v>
      </c>
      <c r="J424" t="str">
        <f t="shared" si="52"/>
        <v>Kigoma Ujiji Mc</v>
      </c>
      <c r="K424" t="s">
        <v>393</v>
      </c>
      <c r="L424" t="str" cm="1">
        <f t="array" ref="L424">_xlfn.IFS(
ISNUMBER(SEARCH("ICU",K424)), "ICU",
ISNUMBER(SEARCH("NEONATAL",K424)), PROPER("NEONATAL"),
ISNUMBER(SEARCH("LABOUR",K424)), PROPER("LABOUR"),
ISNUMBER(SEARCH("PAEDIATRIC",K424)), PROPER("PAEDIATRIC"),
ISNUMBER(SEARCH("FEMALE SURGICAL",K424)), PROPER("FEMALE SURG, ORTHO &amp; GYN"),
ISNUMBER(SEARCH("PSYCHIATRIST",K424)), PROPER("PSYCHIATRIST"),
ISNUMBER(SEARCH("GRADE 1",K424)), PROPER("GRADE 1"),
ISNUMBER(SEARCH("MALE SURGICAL",K424)), PROPER("MALE SURG &amp; ORTHOPEDIC"),
ISNUMBER(SEARCH("MALE MEDICAL",K424)), PROPER("MALE MEDICAL"),
ISNUMBER(SEARCH("GRADE 2",K424)), PROPER("GRADE 2"),
ISNUMBER(SEARCH("FEMALE WARD",K424)), PROPER("FEMALE MEDICAL"),
TRUE, "Unmapped: " &amp; K424)</f>
        <v>Grade 1</v>
      </c>
      <c r="M424" t="s">
        <v>22</v>
      </c>
      <c r="O424" t="s">
        <v>1591</v>
      </c>
      <c r="P424" t="str">
        <f t="shared" si="53"/>
        <v>Text Error</v>
      </c>
      <c r="Q424" s="5">
        <v>46022.874942129631</v>
      </c>
      <c r="R424" t="str">
        <f t="shared" si="54"/>
        <v>Valid Date</v>
      </c>
      <c r="S424" t="s">
        <v>1592</v>
      </c>
      <c r="T424" s="5">
        <v>46026.531388888892</v>
      </c>
      <c r="U424">
        <v>3</v>
      </c>
      <c r="V424" t="str">
        <f t="shared" si="55"/>
        <v>OK</v>
      </c>
      <c r="W424" t="s">
        <v>25</v>
      </c>
      <c r="Y424" t="s">
        <v>30</v>
      </c>
    </row>
    <row r="425" spans="1:25" x14ac:dyDescent="0.25">
      <c r="A425" t="s">
        <v>1594</v>
      </c>
      <c r="B425" t="str">
        <f t="shared" si="49"/>
        <v>Anitha Sostenes Misago</v>
      </c>
      <c r="C425">
        <v>127009</v>
      </c>
      <c r="D425" t="str">
        <f t="shared" si="48"/>
        <v>Unique</v>
      </c>
      <c r="E425" t="s">
        <v>188</v>
      </c>
      <c r="F425" s="3">
        <f t="shared" si="50"/>
        <v>28</v>
      </c>
      <c r="G425" t="s">
        <v>32</v>
      </c>
      <c r="H425" t="str">
        <f t="shared" si="51"/>
        <v>Valid</v>
      </c>
      <c r="I425" t="s">
        <v>62</v>
      </c>
      <c r="J425" t="str">
        <f t="shared" si="52"/>
        <v>Kigoma Vijijini</v>
      </c>
      <c r="K425" t="s">
        <v>40</v>
      </c>
      <c r="L425" t="str" cm="1">
        <f t="array" ref="L425">_xlfn.IFS(
ISNUMBER(SEARCH("ICU",K425)), "ICU",
ISNUMBER(SEARCH("NEONATAL",K425)), PROPER("NEONATAL"),
ISNUMBER(SEARCH("LABOUR",K425)), PROPER("LABOUR"),
ISNUMBER(SEARCH("PAEDIATRIC",K425)), PROPER("PAEDIATRIC"),
ISNUMBER(SEARCH("FEMALE SURGICAL",K425)), PROPER("FEMALE SURG, ORTHO &amp; GYN"),
ISNUMBER(SEARCH("PSYCHIATRIST",K425)), PROPER("PSYCHIATRIST"),
ISNUMBER(SEARCH("GRADE 1",K425)), PROPER("GRADE 1"),
ISNUMBER(SEARCH("MALE SURGICAL",K425)), PROPER("MALE SURG &amp; ORTHOPEDIC"),
ISNUMBER(SEARCH("MALE MEDICAL",K425)), PROPER("MALE MEDICAL"),
ISNUMBER(SEARCH("GRADE 2",K425)), PROPER("GRADE 2"),
ISNUMBER(SEARCH("FEMALE WARD",K425)), PROPER("FEMALE MEDICAL"),
TRUE, "Unmapped: " &amp; K425)</f>
        <v>Labour</v>
      </c>
      <c r="M425" t="s">
        <v>22</v>
      </c>
      <c r="O425" t="s">
        <v>1595</v>
      </c>
      <c r="P425" t="str">
        <f t="shared" si="53"/>
        <v>Text Error</v>
      </c>
      <c r="Q425" s="5">
        <v>46023.815625000003</v>
      </c>
      <c r="R425" t="str">
        <f t="shared" si="54"/>
        <v>Valid Date</v>
      </c>
      <c r="S425" t="s">
        <v>1596</v>
      </c>
      <c r="T425" s="5">
        <v>46027.601620370369</v>
      </c>
      <c r="U425">
        <v>3</v>
      </c>
      <c r="V425" t="str">
        <f t="shared" si="55"/>
        <v>OK</v>
      </c>
      <c r="W425" t="s">
        <v>25</v>
      </c>
      <c r="Y425" t="s">
        <v>30</v>
      </c>
    </row>
    <row r="426" spans="1:25" x14ac:dyDescent="0.25">
      <c r="A426" t="s">
        <v>1597</v>
      </c>
      <c r="B426" t="str">
        <f t="shared" si="49"/>
        <v>Simoni Amosi Kisula</v>
      </c>
      <c r="C426">
        <v>127016</v>
      </c>
      <c r="D426" t="str">
        <f t="shared" si="48"/>
        <v>Unique</v>
      </c>
      <c r="E426" t="s">
        <v>758</v>
      </c>
      <c r="F426" s="3">
        <f t="shared" si="50"/>
        <v>19</v>
      </c>
      <c r="G426" t="s">
        <v>19</v>
      </c>
      <c r="H426" t="str">
        <f t="shared" si="51"/>
        <v>Valid</v>
      </c>
      <c r="I426" t="s">
        <v>20</v>
      </c>
      <c r="J426" t="str">
        <f t="shared" si="52"/>
        <v>Uvinza</v>
      </c>
      <c r="K426" t="s">
        <v>428</v>
      </c>
      <c r="L426" t="str" cm="1">
        <f t="array" ref="L426">_xlfn.IFS(
ISNUMBER(SEARCH("ICU",K426)), "ICU",
ISNUMBER(SEARCH("NEONATAL",K426)), PROPER("NEONATAL"),
ISNUMBER(SEARCH("LABOUR",K426)), PROPER("LABOUR"),
ISNUMBER(SEARCH("PAEDIATRIC",K426)), PROPER("PAEDIATRIC"),
ISNUMBER(SEARCH("FEMALE SURGICAL",K426)), PROPER("FEMALE SURG, ORTHO &amp; GYN"),
ISNUMBER(SEARCH("PSYCHIATRIST",K426)), PROPER("PSYCHIATRIST"),
ISNUMBER(SEARCH("GRADE 1",K426)), PROPER("GRADE 1"),
ISNUMBER(SEARCH("MALE SURGICAL",K426)), PROPER("MALE SURG &amp; ORTHOPEDIC"),
ISNUMBER(SEARCH("MALE MEDICAL",K426)), PROPER("MALE MEDICAL"),
ISNUMBER(SEARCH("GRADE 2",K426)), PROPER("GRADE 2"),
ISNUMBER(SEARCH("FEMALE WARD",K426)), PROPER("FEMALE MEDICAL"),
TRUE, "Unmapped: " &amp; K426)</f>
        <v>Male Surg &amp; Orthopedic</v>
      </c>
      <c r="M426" t="s">
        <v>22</v>
      </c>
      <c r="O426" t="s">
        <v>1598</v>
      </c>
      <c r="P426" t="str">
        <f t="shared" si="53"/>
        <v>Text Error</v>
      </c>
      <c r="Q426" s="5">
        <v>46023.957280092596</v>
      </c>
      <c r="R426" t="str">
        <f t="shared" si="54"/>
        <v>Valid Date</v>
      </c>
      <c r="S426" t="s">
        <v>1599</v>
      </c>
      <c r="T426" s="5">
        <v>46027.718993055554</v>
      </c>
      <c r="U426">
        <v>3</v>
      </c>
      <c r="V426" t="str">
        <f t="shared" si="55"/>
        <v>OK</v>
      </c>
      <c r="W426" t="s">
        <v>211</v>
      </c>
      <c r="Y426" t="s">
        <v>30</v>
      </c>
    </row>
    <row r="427" spans="1:25" x14ac:dyDescent="0.25">
      <c r="A427" t="s">
        <v>1600</v>
      </c>
      <c r="B427" t="str">
        <f t="shared" si="49"/>
        <v>Fatuma M Mwaiponya</v>
      </c>
      <c r="C427">
        <v>112535</v>
      </c>
      <c r="D427" t="str">
        <f t="shared" si="48"/>
        <v>Unique</v>
      </c>
      <c r="E427" t="s">
        <v>758</v>
      </c>
      <c r="F427" s="3">
        <f t="shared" si="50"/>
        <v>19</v>
      </c>
      <c r="G427" t="s">
        <v>32</v>
      </c>
      <c r="H427" t="str">
        <f t="shared" si="51"/>
        <v>Valid</v>
      </c>
      <c r="I427" t="s">
        <v>62</v>
      </c>
      <c r="J427" t="str">
        <f t="shared" si="52"/>
        <v>Kigoma Vijijini</v>
      </c>
      <c r="K427" t="s">
        <v>700</v>
      </c>
      <c r="L427" t="str" cm="1">
        <f t="array" ref="L427">_xlfn.IFS(
ISNUMBER(SEARCH("ICU",K427)), "ICU",
ISNUMBER(SEARCH("NEONATAL",K427)), PROPER("NEONATAL"),
ISNUMBER(SEARCH("LABOUR",K427)), PROPER("LABOUR"),
ISNUMBER(SEARCH("PAEDIATRIC",K427)), PROPER("PAEDIATRIC"),
ISNUMBER(SEARCH("FEMALE SURGICAL",K427)), PROPER("FEMALE SURG, ORTHO &amp; GYN"),
ISNUMBER(SEARCH("PSYCHIATRIST",K427)), PROPER("PSYCHIATRIST"),
ISNUMBER(SEARCH("GRADE 1",K427)), PROPER("GRADE 1"),
ISNUMBER(SEARCH("MALE SURGICAL",K427)), PROPER("MALE SURG &amp; ORTHOPEDIC"),
ISNUMBER(SEARCH("MALE MEDICAL",K427)), PROPER("MALE MEDICAL"),
ISNUMBER(SEARCH("GRADE 2",K427)), PROPER("GRADE 2"),
ISNUMBER(SEARCH("FEMALE WARD",K427)), PROPER("FEMALE MEDICAL"),
TRUE, "Unmapped: " &amp; K427)</f>
        <v>Female Medical</v>
      </c>
      <c r="M427" t="s">
        <v>394</v>
      </c>
      <c r="O427" t="s">
        <v>1601</v>
      </c>
      <c r="P427" t="str">
        <f t="shared" si="53"/>
        <v>Text Error</v>
      </c>
      <c r="Q427" s="5">
        <v>46024.159062500003</v>
      </c>
      <c r="R427" t="str">
        <f t="shared" si="54"/>
        <v>Valid Date</v>
      </c>
      <c r="S427" t="s">
        <v>1602</v>
      </c>
      <c r="T427" s="5">
        <v>46027.584826388891</v>
      </c>
      <c r="U427">
        <v>3</v>
      </c>
      <c r="V427" t="str">
        <f t="shared" si="55"/>
        <v>OK</v>
      </c>
      <c r="W427" t="s">
        <v>25</v>
      </c>
      <c r="Y427" t="s">
        <v>30</v>
      </c>
    </row>
    <row r="428" spans="1:25" x14ac:dyDescent="0.25">
      <c r="A428" t="s">
        <v>1603</v>
      </c>
      <c r="B428" t="str">
        <f t="shared" si="49"/>
        <v>B/o Zuhura Amri Rashid</v>
      </c>
      <c r="C428">
        <v>127099</v>
      </c>
      <c r="D428" t="str">
        <f t="shared" si="48"/>
        <v>Unique</v>
      </c>
      <c r="E428" t="s">
        <v>622</v>
      </c>
      <c r="F428" s="3" t="str">
        <f t="shared" si="50"/>
        <v>2/12</v>
      </c>
      <c r="G428" t="s">
        <v>19</v>
      </c>
      <c r="H428" t="str">
        <f t="shared" si="51"/>
        <v>Valid</v>
      </c>
      <c r="I428" t="s">
        <v>33</v>
      </c>
      <c r="J428" t="str">
        <f t="shared" si="52"/>
        <v>Kigoma Ujiji Mc</v>
      </c>
      <c r="K428" t="s">
        <v>21</v>
      </c>
      <c r="L428" t="str" cm="1">
        <f t="array" ref="L428">_xlfn.IFS(
ISNUMBER(SEARCH("ICU",K428)), "ICU",
ISNUMBER(SEARCH("NEONATAL",K428)), PROPER("NEONATAL"),
ISNUMBER(SEARCH("LABOUR",K428)), PROPER("LABOUR"),
ISNUMBER(SEARCH("PAEDIATRIC",K428)), PROPER("PAEDIATRIC"),
ISNUMBER(SEARCH("FEMALE SURGICAL",K428)), PROPER("FEMALE SURG, ORTHO &amp; GYN"),
ISNUMBER(SEARCH("PSYCHIATRIST",K428)), PROPER("PSYCHIATRIST"),
ISNUMBER(SEARCH("GRADE 1",K428)), PROPER("GRADE 1"),
ISNUMBER(SEARCH("MALE SURGICAL",K428)), PROPER("MALE SURG &amp; ORTHOPEDIC"),
ISNUMBER(SEARCH("MALE MEDICAL",K428)), PROPER("MALE MEDICAL"),
ISNUMBER(SEARCH("GRADE 2",K428)), PROPER("GRADE 2"),
ISNUMBER(SEARCH("FEMALE WARD",K428)), PROPER("FEMALE MEDICAL"),
TRUE, "Unmapped: " &amp; K428)</f>
        <v>Neonatal</v>
      </c>
      <c r="M428" t="s">
        <v>22</v>
      </c>
      <c r="O428" t="s">
        <v>1604</v>
      </c>
      <c r="P428" t="str">
        <f t="shared" si="53"/>
        <v>Text Error</v>
      </c>
      <c r="Q428" s="5">
        <v>46024.719687500001</v>
      </c>
      <c r="R428" t="str">
        <f t="shared" si="54"/>
        <v>Valid Date</v>
      </c>
      <c r="S428" t="s">
        <v>1605</v>
      </c>
      <c r="T428" s="5">
        <v>46028.394930555558</v>
      </c>
      <c r="U428">
        <v>3</v>
      </c>
      <c r="V428" t="str">
        <f t="shared" si="55"/>
        <v>OK</v>
      </c>
      <c r="W428" t="s">
        <v>211</v>
      </c>
      <c r="Y428" t="s">
        <v>30</v>
      </c>
    </row>
    <row r="429" spans="1:25" x14ac:dyDescent="0.25">
      <c r="A429" t="s">
        <v>1606</v>
      </c>
      <c r="B429" t="str">
        <f t="shared" si="49"/>
        <v>Gradness Fedrick Lameck</v>
      </c>
      <c r="C429">
        <v>127121</v>
      </c>
      <c r="D429" t="str">
        <f t="shared" si="48"/>
        <v>Unique</v>
      </c>
      <c r="E429" t="s">
        <v>108</v>
      </c>
      <c r="F429" s="3">
        <f t="shared" si="50"/>
        <v>2</v>
      </c>
      <c r="G429" t="s">
        <v>32</v>
      </c>
      <c r="H429" t="str">
        <f t="shared" si="51"/>
        <v>Valid</v>
      </c>
      <c r="I429" t="s">
        <v>130</v>
      </c>
      <c r="J429" t="str">
        <f t="shared" si="52"/>
        <v>Buhigwe</v>
      </c>
      <c r="K429" t="s">
        <v>109</v>
      </c>
      <c r="L429" t="str" cm="1">
        <f t="array" ref="L429">_xlfn.IFS(
ISNUMBER(SEARCH("ICU",K429)), "ICU",
ISNUMBER(SEARCH("NEONATAL",K429)), PROPER("NEONATAL"),
ISNUMBER(SEARCH("LABOUR",K429)), PROPER("LABOUR"),
ISNUMBER(SEARCH("PAEDIATRIC",K429)), PROPER("PAEDIATRIC"),
ISNUMBER(SEARCH("FEMALE SURGICAL",K429)), PROPER("FEMALE SURG, ORTHO &amp; GYN"),
ISNUMBER(SEARCH("PSYCHIATRIST",K429)), PROPER("PSYCHIATRIST"),
ISNUMBER(SEARCH("GRADE 1",K429)), PROPER("GRADE 1"),
ISNUMBER(SEARCH("MALE SURGICAL",K429)), PROPER("MALE SURG &amp; ORTHOPEDIC"),
ISNUMBER(SEARCH("MALE MEDICAL",K429)), PROPER("MALE MEDICAL"),
ISNUMBER(SEARCH("GRADE 2",K429)), PROPER("GRADE 2"),
ISNUMBER(SEARCH("FEMALE WARD",K429)), PROPER("FEMALE MEDICAL"),
TRUE, "Unmapped: " &amp; K429)</f>
        <v>Paediatric</v>
      </c>
      <c r="M429" t="s">
        <v>22</v>
      </c>
      <c r="O429" t="s">
        <v>1607</v>
      </c>
      <c r="P429" t="str">
        <f t="shared" si="53"/>
        <v>Text Error</v>
      </c>
      <c r="Q429" s="5">
        <v>46024.92591435185</v>
      </c>
      <c r="R429" t="str">
        <f t="shared" si="54"/>
        <v>Valid Date</v>
      </c>
      <c r="S429" t="s">
        <v>1608</v>
      </c>
      <c r="T429" s="5">
        <v>46028.705347222225</v>
      </c>
      <c r="U429">
        <v>3</v>
      </c>
      <c r="V429" t="str">
        <f t="shared" si="55"/>
        <v>OK</v>
      </c>
      <c r="W429" t="s">
        <v>25</v>
      </c>
      <c r="Y429" t="s">
        <v>30</v>
      </c>
    </row>
    <row r="430" spans="1:25" x14ac:dyDescent="0.25">
      <c r="A430" t="s">
        <v>1609</v>
      </c>
      <c r="B430" t="str">
        <f t="shared" si="49"/>
        <v>Yasri Muhamedi Amrani</v>
      </c>
      <c r="C430">
        <v>127128</v>
      </c>
      <c r="D430" t="str">
        <f t="shared" si="48"/>
        <v>Unique</v>
      </c>
      <c r="E430" t="s">
        <v>634</v>
      </c>
      <c r="F430" s="3" t="str">
        <f t="shared" si="50"/>
        <v>3/12</v>
      </c>
      <c r="G430" t="s">
        <v>19</v>
      </c>
      <c r="H430" t="str">
        <f t="shared" si="51"/>
        <v>Valid</v>
      </c>
      <c r="I430" t="s">
        <v>62</v>
      </c>
      <c r="J430" t="str">
        <f t="shared" si="52"/>
        <v>Kigoma Vijijini</v>
      </c>
      <c r="K430" t="s">
        <v>21</v>
      </c>
      <c r="L430" t="str" cm="1">
        <f t="array" ref="L430">_xlfn.IFS(
ISNUMBER(SEARCH("ICU",K430)), "ICU",
ISNUMBER(SEARCH("NEONATAL",K430)), PROPER("NEONATAL"),
ISNUMBER(SEARCH("LABOUR",K430)), PROPER("LABOUR"),
ISNUMBER(SEARCH("PAEDIATRIC",K430)), PROPER("PAEDIATRIC"),
ISNUMBER(SEARCH("FEMALE SURGICAL",K430)), PROPER("FEMALE SURG, ORTHO &amp; GYN"),
ISNUMBER(SEARCH("PSYCHIATRIST",K430)), PROPER("PSYCHIATRIST"),
ISNUMBER(SEARCH("GRADE 1",K430)), PROPER("GRADE 1"),
ISNUMBER(SEARCH("MALE SURGICAL",K430)), PROPER("MALE SURG &amp; ORTHOPEDIC"),
ISNUMBER(SEARCH("MALE MEDICAL",K430)), PROPER("MALE MEDICAL"),
ISNUMBER(SEARCH("GRADE 2",K430)), PROPER("GRADE 2"),
ISNUMBER(SEARCH("FEMALE WARD",K430)), PROPER("FEMALE MEDICAL"),
TRUE, "Unmapped: " &amp; K430)</f>
        <v>Neonatal</v>
      </c>
      <c r="M430" t="s">
        <v>22</v>
      </c>
      <c r="O430" t="s">
        <v>1610</v>
      </c>
      <c r="P430" t="str">
        <f t="shared" si="53"/>
        <v>Text Error</v>
      </c>
      <c r="Q430" s="5">
        <v>46025.057534722226</v>
      </c>
      <c r="R430" t="str">
        <f t="shared" si="54"/>
        <v>Valid Date</v>
      </c>
      <c r="S430" t="s">
        <v>1611</v>
      </c>
      <c r="T430" s="5">
        <v>46028.581921296296</v>
      </c>
      <c r="U430">
        <v>3</v>
      </c>
      <c r="V430" t="str">
        <f t="shared" si="55"/>
        <v>OK</v>
      </c>
      <c r="W430" t="s">
        <v>211</v>
      </c>
      <c r="Y430" t="s">
        <v>30</v>
      </c>
    </row>
    <row r="431" spans="1:25" x14ac:dyDescent="0.25">
      <c r="A431" t="s">
        <v>1612</v>
      </c>
      <c r="B431" t="str">
        <f t="shared" si="49"/>
        <v>Agness Biseko Eliasi</v>
      </c>
      <c r="C431">
        <v>127153</v>
      </c>
      <c r="D431" t="str">
        <f t="shared" si="48"/>
        <v>Unique</v>
      </c>
      <c r="E431" t="s">
        <v>86</v>
      </c>
      <c r="F431" s="3">
        <f t="shared" si="50"/>
        <v>23</v>
      </c>
      <c r="G431" t="s">
        <v>32</v>
      </c>
      <c r="H431" t="str">
        <f t="shared" si="51"/>
        <v>Valid</v>
      </c>
      <c r="I431" t="s">
        <v>33</v>
      </c>
      <c r="J431" t="str">
        <f t="shared" si="52"/>
        <v>Kigoma Ujiji Mc</v>
      </c>
      <c r="K431" t="s">
        <v>123</v>
      </c>
      <c r="L431" t="str" cm="1">
        <f t="array" ref="L431">_xlfn.IFS(
ISNUMBER(SEARCH("ICU",K431)), "ICU",
ISNUMBER(SEARCH("NEONATAL",K431)), PROPER("NEONATAL"),
ISNUMBER(SEARCH("LABOUR",K431)), PROPER("LABOUR"),
ISNUMBER(SEARCH("PAEDIATRIC",K431)), PROPER("PAEDIATRIC"),
ISNUMBER(SEARCH("FEMALE SURGICAL",K431)), PROPER("FEMALE SURG, ORTHO &amp; GYN"),
ISNUMBER(SEARCH("PSYCHIATRIST",K431)), PROPER("PSYCHIATRIST"),
ISNUMBER(SEARCH("GRADE 1",K431)), PROPER("GRADE 1"),
ISNUMBER(SEARCH("MALE SURGICAL",K431)), PROPER("MALE SURG &amp; ORTHOPEDIC"),
ISNUMBER(SEARCH("MALE MEDICAL",K431)), PROPER("MALE MEDICAL"),
ISNUMBER(SEARCH("GRADE 2",K431)), PROPER("GRADE 2"),
ISNUMBER(SEARCH("FEMALE WARD",K431)), PROPER("FEMALE MEDICAL"),
TRUE, "Unmapped: " &amp; K431)</f>
        <v>Female Surg, Ortho &amp; Gyn</v>
      </c>
      <c r="M431" t="s">
        <v>22</v>
      </c>
      <c r="O431" t="s">
        <v>1613</v>
      </c>
      <c r="P431" t="str">
        <f t="shared" si="53"/>
        <v>Text Error</v>
      </c>
      <c r="Q431" s="5">
        <v>46025.549768518518</v>
      </c>
      <c r="R431" t="str">
        <f t="shared" si="54"/>
        <v>Valid Date</v>
      </c>
      <c r="S431" t="s">
        <v>1614</v>
      </c>
      <c r="T431" s="5">
        <v>46029.459398148145</v>
      </c>
      <c r="U431">
        <v>3</v>
      </c>
      <c r="V431" t="str">
        <f t="shared" si="55"/>
        <v>OK</v>
      </c>
      <c r="W431" t="s">
        <v>25</v>
      </c>
      <c r="Y431" t="s">
        <v>30</v>
      </c>
    </row>
    <row r="432" spans="1:25" x14ac:dyDescent="0.25">
      <c r="A432" t="s">
        <v>1615</v>
      </c>
      <c r="B432" t="str">
        <f t="shared" si="49"/>
        <v>Ntabi Sadiki Lubondo</v>
      </c>
      <c r="C432">
        <v>123681</v>
      </c>
      <c r="D432" t="str">
        <f t="shared" si="48"/>
        <v>Unique</v>
      </c>
      <c r="E432" t="s">
        <v>614</v>
      </c>
      <c r="F432" s="3">
        <f t="shared" si="50"/>
        <v>43</v>
      </c>
      <c r="G432" t="s">
        <v>19</v>
      </c>
      <c r="H432" t="str">
        <f t="shared" si="51"/>
        <v>Valid</v>
      </c>
      <c r="I432" t="s">
        <v>62</v>
      </c>
      <c r="J432" t="str">
        <f t="shared" si="52"/>
        <v>Kigoma Vijijini</v>
      </c>
      <c r="K432" t="s">
        <v>484</v>
      </c>
      <c r="L432" t="str" cm="1">
        <f t="array" ref="L432">_xlfn.IFS(
ISNUMBER(SEARCH("ICU",K432)), "ICU",
ISNUMBER(SEARCH("NEONATAL",K432)), PROPER("NEONATAL"),
ISNUMBER(SEARCH("LABOUR",K432)), PROPER("LABOUR"),
ISNUMBER(SEARCH("PAEDIATRIC",K432)), PROPER("PAEDIATRIC"),
ISNUMBER(SEARCH("FEMALE SURGICAL",K432)), PROPER("FEMALE SURG, ORTHO &amp; GYN"),
ISNUMBER(SEARCH("PSYCHIATRIST",K432)), PROPER("PSYCHIATRIST"),
ISNUMBER(SEARCH("GRADE 1",K432)), PROPER("GRADE 1"),
ISNUMBER(SEARCH("MALE SURGICAL",K432)), PROPER("MALE SURG &amp; ORTHOPEDIC"),
ISNUMBER(SEARCH("MALE MEDICAL",K432)), PROPER("MALE MEDICAL"),
ISNUMBER(SEARCH("GRADE 2",K432)), PROPER("GRADE 2"),
ISNUMBER(SEARCH("FEMALE WARD",K432)), PROPER("FEMALE MEDICAL"),
TRUE, "Unmapped: " &amp; K432)</f>
        <v>Male Medical</v>
      </c>
      <c r="M432" t="s">
        <v>22</v>
      </c>
      <c r="O432" t="s">
        <v>1616</v>
      </c>
      <c r="P432" t="str">
        <f t="shared" si="53"/>
        <v>Text Error</v>
      </c>
      <c r="Q432" s="5">
        <v>46025.597141203703</v>
      </c>
      <c r="R432" t="str">
        <f t="shared" si="54"/>
        <v>Valid Date</v>
      </c>
      <c r="S432" t="s">
        <v>1617</v>
      </c>
      <c r="T432" s="5">
        <v>46029.396469907406</v>
      </c>
      <c r="U432">
        <v>3</v>
      </c>
      <c r="V432" t="str">
        <f t="shared" si="55"/>
        <v>OK</v>
      </c>
      <c r="W432" t="s">
        <v>211</v>
      </c>
      <c r="Y432" t="s">
        <v>30</v>
      </c>
    </row>
    <row r="433" spans="1:25" x14ac:dyDescent="0.25">
      <c r="A433" t="s">
        <v>1618</v>
      </c>
      <c r="B433" t="str">
        <f t="shared" si="49"/>
        <v>Michael Peres Maganga</v>
      </c>
      <c r="C433">
        <v>125133</v>
      </c>
      <c r="D433" t="str">
        <f t="shared" si="48"/>
        <v>Unique</v>
      </c>
      <c r="E433" t="s">
        <v>86</v>
      </c>
      <c r="F433" s="3">
        <f t="shared" si="50"/>
        <v>23</v>
      </c>
      <c r="G433" t="s">
        <v>19</v>
      </c>
      <c r="H433" t="str">
        <f t="shared" si="51"/>
        <v>Valid</v>
      </c>
      <c r="I433" t="s">
        <v>62</v>
      </c>
      <c r="J433" t="str">
        <f t="shared" si="52"/>
        <v>Kigoma Vijijini</v>
      </c>
      <c r="K433" t="s">
        <v>685</v>
      </c>
      <c r="L433" t="str" cm="1">
        <f t="array" ref="L433">_xlfn.IFS(
ISNUMBER(SEARCH("ICU",K433)), "ICU",
ISNUMBER(SEARCH("NEONATAL",K433)), PROPER("NEONATAL"),
ISNUMBER(SEARCH("LABOUR",K433)), PROPER("LABOUR"),
ISNUMBER(SEARCH("PAEDIATRIC",K433)), PROPER("PAEDIATRIC"),
ISNUMBER(SEARCH("FEMALE SURGICAL",K433)), PROPER("FEMALE SURG, ORTHO &amp; GYN"),
ISNUMBER(SEARCH("PSYCHIATRIST",K433)), PROPER("PSYCHIATRIST"),
ISNUMBER(SEARCH("GRADE 1",K433)), PROPER("GRADE 1"),
ISNUMBER(SEARCH("MALE SURGICAL",K433)), PROPER("MALE SURG &amp; ORTHOPEDIC"),
ISNUMBER(SEARCH("MALE MEDICAL",K433)), PROPER("MALE MEDICAL"),
ISNUMBER(SEARCH("GRADE 2",K433)), PROPER("GRADE 2"),
ISNUMBER(SEARCH("FEMALE WARD",K433)), PROPER("FEMALE MEDICAL"),
TRUE, "Unmapped: " &amp; K433)</f>
        <v>Grade 2</v>
      </c>
      <c r="M433" t="s">
        <v>394</v>
      </c>
      <c r="O433" t="s">
        <v>1619</v>
      </c>
      <c r="P433" t="str">
        <f t="shared" si="53"/>
        <v>Text Error</v>
      </c>
      <c r="Q433" s="5">
        <v>46025.921527777777</v>
      </c>
      <c r="R433" t="str">
        <f t="shared" si="54"/>
        <v>Valid Date</v>
      </c>
      <c r="S433" t="s">
        <v>1620</v>
      </c>
      <c r="T433" s="5">
        <v>46029.582361111112</v>
      </c>
      <c r="U433">
        <v>3</v>
      </c>
      <c r="V433" t="str">
        <f t="shared" si="55"/>
        <v>OK</v>
      </c>
      <c r="W433" t="s">
        <v>25</v>
      </c>
      <c r="Y433" t="s">
        <v>30</v>
      </c>
    </row>
    <row r="434" spans="1:25" x14ac:dyDescent="0.25">
      <c r="A434" t="s">
        <v>1621</v>
      </c>
      <c r="B434" t="str">
        <f t="shared" si="49"/>
        <v>Kiza Rashidi Ally</v>
      </c>
      <c r="C434">
        <v>127204</v>
      </c>
      <c r="D434" t="str">
        <f t="shared" si="48"/>
        <v>Unique</v>
      </c>
      <c r="E434" t="s">
        <v>142</v>
      </c>
      <c r="F434" s="3">
        <f t="shared" si="50"/>
        <v>20</v>
      </c>
      <c r="G434" t="s">
        <v>32</v>
      </c>
      <c r="H434" t="str">
        <f t="shared" si="51"/>
        <v>Valid</v>
      </c>
      <c r="I434" t="s">
        <v>33</v>
      </c>
      <c r="J434" t="str">
        <f t="shared" si="52"/>
        <v>Kigoma Ujiji Mc</v>
      </c>
      <c r="K434" t="s">
        <v>40</v>
      </c>
      <c r="L434" t="str" cm="1">
        <f t="array" ref="L434">_xlfn.IFS(
ISNUMBER(SEARCH("ICU",K434)), "ICU",
ISNUMBER(SEARCH("NEONATAL",K434)), PROPER("NEONATAL"),
ISNUMBER(SEARCH("LABOUR",K434)), PROPER("LABOUR"),
ISNUMBER(SEARCH("PAEDIATRIC",K434)), PROPER("PAEDIATRIC"),
ISNUMBER(SEARCH("FEMALE SURGICAL",K434)), PROPER("FEMALE SURG, ORTHO &amp; GYN"),
ISNUMBER(SEARCH("PSYCHIATRIST",K434)), PROPER("PSYCHIATRIST"),
ISNUMBER(SEARCH("GRADE 1",K434)), PROPER("GRADE 1"),
ISNUMBER(SEARCH("MALE SURGICAL",K434)), PROPER("MALE SURG &amp; ORTHOPEDIC"),
ISNUMBER(SEARCH("MALE MEDICAL",K434)), PROPER("MALE MEDICAL"),
ISNUMBER(SEARCH("GRADE 2",K434)), PROPER("GRADE 2"),
ISNUMBER(SEARCH("FEMALE WARD",K434)), PROPER("FEMALE MEDICAL"),
TRUE, "Unmapped: " &amp; K434)</f>
        <v>Labour</v>
      </c>
      <c r="M434" t="s">
        <v>22</v>
      </c>
      <c r="O434" t="s">
        <v>1622</v>
      </c>
      <c r="P434" t="str">
        <f t="shared" si="53"/>
        <v>Text Error</v>
      </c>
      <c r="Q434" s="5">
        <v>46026.104525462964</v>
      </c>
      <c r="R434" t="str">
        <f t="shared" si="54"/>
        <v>Valid Date</v>
      </c>
      <c r="S434" t="s">
        <v>1623</v>
      </c>
      <c r="T434" s="5">
        <v>46029.716226851851</v>
      </c>
      <c r="U434">
        <v>3</v>
      </c>
      <c r="V434" t="str">
        <f t="shared" si="55"/>
        <v>OK</v>
      </c>
      <c r="W434" t="s">
        <v>25</v>
      </c>
      <c r="Y434" t="s">
        <v>30</v>
      </c>
    </row>
    <row r="435" spans="1:25" x14ac:dyDescent="0.25">
      <c r="A435" t="s">
        <v>1624</v>
      </c>
      <c r="B435" t="str">
        <f t="shared" si="49"/>
        <v>Athumani Muhamedi Athumani</v>
      </c>
      <c r="C435">
        <v>127186</v>
      </c>
      <c r="D435" t="str">
        <f t="shared" si="48"/>
        <v>Unique</v>
      </c>
      <c r="E435" t="s">
        <v>147</v>
      </c>
      <c r="F435" s="3">
        <f t="shared" si="50"/>
        <v>30</v>
      </c>
      <c r="G435" t="s">
        <v>19</v>
      </c>
      <c r="H435" t="str">
        <f t="shared" si="51"/>
        <v>Valid</v>
      </c>
      <c r="I435" t="s">
        <v>62</v>
      </c>
      <c r="J435" t="str">
        <f t="shared" si="52"/>
        <v>Kigoma Vijijini</v>
      </c>
      <c r="K435" t="s">
        <v>428</v>
      </c>
      <c r="L435" t="str" cm="1">
        <f t="array" ref="L435">_xlfn.IFS(
ISNUMBER(SEARCH("ICU",K435)), "ICU",
ISNUMBER(SEARCH("NEONATAL",K435)), PROPER("NEONATAL"),
ISNUMBER(SEARCH("LABOUR",K435)), PROPER("LABOUR"),
ISNUMBER(SEARCH("PAEDIATRIC",K435)), PROPER("PAEDIATRIC"),
ISNUMBER(SEARCH("FEMALE SURGICAL",K435)), PROPER("FEMALE SURG, ORTHO &amp; GYN"),
ISNUMBER(SEARCH("PSYCHIATRIST",K435)), PROPER("PSYCHIATRIST"),
ISNUMBER(SEARCH("GRADE 1",K435)), PROPER("GRADE 1"),
ISNUMBER(SEARCH("MALE SURGICAL",K435)), PROPER("MALE SURG &amp; ORTHOPEDIC"),
ISNUMBER(SEARCH("MALE MEDICAL",K435)), PROPER("MALE MEDICAL"),
ISNUMBER(SEARCH("GRADE 2",K435)), PROPER("GRADE 2"),
ISNUMBER(SEARCH("FEMALE WARD",K435)), PROPER("FEMALE MEDICAL"),
TRUE, "Unmapped: " &amp; K435)</f>
        <v>Male Surg &amp; Orthopedic</v>
      </c>
      <c r="M435" t="s">
        <v>22</v>
      </c>
      <c r="O435" t="s">
        <v>1625</v>
      </c>
      <c r="P435" t="str">
        <f t="shared" si="53"/>
        <v>Text Error</v>
      </c>
      <c r="Q435" s="5">
        <v>46026.263738425929</v>
      </c>
      <c r="R435" t="str">
        <f t="shared" si="54"/>
        <v>Valid Date</v>
      </c>
      <c r="S435" t="s">
        <v>1626</v>
      </c>
      <c r="T435" s="5">
        <v>46029.342685185184</v>
      </c>
      <c r="U435">
        <v>3</v>
      </c>
      <c r="V435" t="str">
        <f t="shared" si="55"/>
        <v>OK</v>
      </c>
      <c r="W435" t="s">
        <v>25</v>
      </c>
      <c r="Y435" t="s">
        <v>30</v>
      </c>
    </row>
    <row r="436" spans="1:25" x14ac:dyDescent="0.25">
      <c r="A436" t="s">
        <v>1627</v>
      </c>
      <c r="B436" t="str">
        <f t="shared" si="49"/>
        <v>Anastazia Kelvini Yambesi</v>
      </c>
      <c r="C436">
        <v>127198</v>
      </c>
      <c r="D436" t="str">
        <f t="shared" si="48"/>
        <v>Unique</v>
      </c>
      <c r="E436" t="s">
        <v>252</v>
      </c>
      <c r="F436" s="3" t="str">
        <f t="shared" si="50"/>
        <v>10/12</v>
      </c>
      <c r="G436" t="s">
        <v>32</v>
      </c>
      <c r="H436" t="str">
        <f t="shared" si="51"/>
        <v>Valid</v>
      </c>
      <c r="I436" t="s">
        <v>33</v>
      </c>
      <c r="J436" t="str">
        <f t="shared" si="52"/>
        <v>Kigoma Ujiji Mc</v>
      </c>
      <c r="K436" t="s">
        <v>109</v>
      </c>
      <c r="L436" t="str" cm="1">
        <f t="array" ref="L436">_xlfn.IFS(
ISNUMBER(SEARCH("ICU",K436)), "ICU",
ISNUMBER(SEARCH("NEONATAL",K436)), PROPER("NEONATAL"),
ISNUMBER(SEARCH("LABOUR",K436)), PROPER("LABOUR"),
ISNUMBER(SEARCH("PAEDIATRIC",K436)), PROPER("PAEDIATRIC"),
ISNUMBER(SEARCH("FEMALE SURGICAL",K436)), PROPER("FEMALE SURG, ORTHO &amp; GYN"),
ISNUMBER(SEARCH("PSYCHIATRIST",K436)), PROPER("PSYCHIATRIST"),
ISNUMBER(SEARCH("GRADE 1",K436)), PROPER("GRADE 1"),
ISNUMBER(SEARCH("MALE SURGICAL",K436)), PROPER("MALE SURG &amp; ORTHOPEDIC"),
ISNUMBER(SEARCH("MALE MEDICAL",K436)), PROPER("MALE MEDICAL"),
ISNUMBER(SEARCH("GRADE 2",K436)), PROPER("GRADE 2"),
ISNUMBER(SEARCH("FEMALE WARD",K436)), PROPER("FEMALE MEDICAL"),
TRUE, "Unmapped: " &amp; K436)</f>
        <v>Paediatric</v>
      </c>
      <c r="M436" t="s">
        <v>22</v>
      </c>
      <c r="O436" t="s">
        <v>1628</v>
      </c>
      <c r="P436" t="str">
        <f t="shared" si="53"/>
        <v>Text Error</v>
      </c>
      <c r="Q436" s="5">
        <v>46026.2656712963</v>
      </c>
      <c r="R436" t="str">
        <f t="shared" si="54"/>
        <v>Valid Date</v>
      </c>
      <c r="S436" t="s">
        <v>1629</v>
      </c>
      <c r="T436" s="5">
        <v>46029.682476851849</v>
      </c>
      <c r="U436">
        <v>3</v>
      </c>
      <c r="V436" t="str">
        <f t="shared" si="55"/>
        <v>OK</v>
      </c>
      <c r="W436" t="s">
        <v>25</v>
      </c>
      <c r="Y436" t="s">
        <v>30</v>
      </c>
    </row>
    <row r="437" spans="1:25" x14ac:dyDescent="0.25">
      <c r="A437" t="s">
        <v>1630</v>
      </c>
      <c r="B437" t="str">
        <f t="shared" si="49"/>
        <v>Edwin Kibirigi Msuhuke</v>
      </c>
      <c r="C437">
        <v>46877</v>
      </c>
      <c r="D437" t="str">
        <f t="shared" si="48"/>
        <v>Unique</v>
      </c>
      <c r="E437" t="s">
        <v>1197</v>
      </c>
      <c r="F437" s="3">
        <f t="shared" si="50"/>
        <v>81</v>
      </c>
      <c r="G437" t="s">
        <v>19</v>
      </c>
      <c r="H437" t="str">
        <f t="shared" si="51"/>
        <v>Valid</v>
      </c>
      <c r="I437" t="s">
        <v>227</v>
      </c>
      <c r="J437" t="str">
        <f t="shared" si="52"/>
        <v>KGG</v>
      </c>
      <c r="K437" t="s">
        <v>393</v>
      </c>
      <c r="L437" t="str" cm="1">
        <f t="array" ref="L437">_xlfn.IFS(
ISNUMBER(SEARCH("ICU",K437)), "ICU",
ISNUMBER(SEARCH("NEONATAL",K437)), PROPER("NEONATAL"),
ISNUMBER(SEARCH("LABOUR",K437)), PROPER("LABOUR"),
ISNUMBER(SEARCH("PAEDIATRIC",K437)), PROPER("PAEDIATRIC"),
ISNUMBER(SEARCH("FEMALE SURGICAL",K437)), PROPER("FEMALE SURG, ORTHO &amp; GYN"),
ISNUMBER(SEARCH("PSYCHIATRIST",K437)), PROPER("PSYCHIATRIST"),
ISNUMBER(SEARCH("GRADE 1",K437)), PROPER("GRADE 1"),
ISNUMBER(SEARCH("MALE SURGICAL",K437)), PROPER("MALE SURG &amp; ORTHOPEDIC"),
ISNUMBER(SEARCH("MALE MEDICAL",K437)), PROPER("MALE MEDICAL"),
ISNUMBER(SEARCH("GRADE 2",K437)), PROPER("GRADE 2"),
ISNUMBER(SEARCH("FEMALE WARD",K437)), PROPER("FEMALE MEDICAL"),
TRUE, "Unmapped: " &amp; K437)</f>
        <v>Grade 1</v>
      </c>
      <c r="M437" t="s">
        <v>394</v>
      </c>
      <c r="O437" t="s">
        <v>1631</v>
      </c>
      <c r="P437" t="str">
        <f t="shared" si="53"/>
        <v>Text Error</v>
      </c>
      <c r="Q437" s="5">
        <v>46026.508935185186</v>
      </c>
      <c r="R437" t="str">
        <f t="shared" si="54"/>
        <v>Valid Date</v>
      </c>
      <c r="S437" t="s">
        <v>1632</v>
      </c>
      <c r="T437" s="5">
        <v>46029.689328703702</v>
      </c>
      <c r="U437">
        <v>3</v>
      </c>
      <c r="V437" t="str">
        <f t="shared" si="55"/>
        <v>OK</v>
      </c>
      <c r="W437" t="s">
        <v>25</v>
      </c>
      <c r="Y437" t="s">
        <v>30</v>
      </c>
    </row>
    <row r="438" spans="1:25" x14ac:dyDescent="0.25">
      <c r="A438" t="s">
        <v>1633</v>
      </c>
      <c r="B438" t="str">
        <f t="shared" si="49"/>
        <v>Shabani Karume Shabani</v>
      </c>
      <c r="C438">
        <v>127010</v>
      </c>
      <c r="D438" t="str">
        <f t="shared" si="48"/>
        <v>Duplicate</v>
      </c>
      <c r="E438" t="s">
        <v>622</v>
      </c>
      <c r="F438" s="3" t="str">
        <f t="shared" si="50"/>
        <v>2/12</v>
      </c>
      <c r="G438" t="s">
        <v>19</v>
      </c>
      <c r="H438" t="str">
        <f t="shared" si="51"/>
        <v>Valid</v>
      </c>
      <c r="I438" t="s">
        <v>33</v>
      </c>
      <c r="J438" t="str">
        <f t="shared" si="52"/>
        <v>Kigoma Ujiji Mc</v>
      </c>
      <c r="K438" t="s">
        <v>21</v>
      </c>
      <c r="L438" t="str" cm="1">
        <f t="array" ref="L438">_xlfn.IFS(
ISNUMBER(SEARCH("ICU",K438)), "ICU",
ISNUMBER(SEARCH("NEONATAL",K438)), PROPER("NEONATAL"),
ISNUMBER(SEARCH("LABOUR",K438)), PROPER("LABOUR"),
ISNUMBER(SEARCH("PAEDIATRIC",K438)), PROPER("PAEDIATRIC"),
ISNUMBER(SEARCH("FEMALE SURGICAL",K438)), PROPER("FEMALE SURG, ORTHO &amp; GYN"),
ISNUMBER(SEARCH("PSYCHIATRIST",K438)), PROPER("PSYCHIATRIST"),
ISNUMBER(SEARCH("GRADE 1",K438)), PROPER("GRADE 1"),
ISNUMBER(SEARCH("MALE SURGICAL",K438)), PROPER("MALE SURG &amp; ORTHOPEDIC"),
ISNUMBER(SEARCH("MALE MEDICAL",K438)), PROPER("MALE MEDICAL"),
ISNUMBER(SEARCH("GRADE 2",K438)), PROPER("GRADE 2"),
ISNUMBER(SEARCH("FEMALE WARD",K438)), PROPER("FEMALE MEDICAL"),
TRUE, "Unmapped: " &amp; K438)</f>
        <v>Neonatal</v>
      </c>
      <c r="M438" t="s">
        <v>22</v>
      </c>
      <c r="O438" t="s">
        <v>1634</v>
      </c>
      <c r="P438" t="str">
        <f t="shared" si="53"/>
        <v>Text Error</v>
      </c>
      <c r="Q438" s="5">
        <v>46026.62599537037</v>
      </c>
      <c r="R438" t="str">
        <f t="shared" si="54"/>
        <v>Valid Date</v>
      </c>
      <c r="S438" t="s">
        <v>1635</v>
      </c>
      <c r="T438" s="5">
        <v>46029.666388888887</v>
      </c>
      <c r="U438">
        <v>3</v>
      </c>
      <c r="V438" t="str">
        <f t="shared" si="55"/>
        <v>OK</v>
      </c>
      <c r="W438" t="s">
        <v>25</v>
      </c>
      <c r="Y438" t="s">
        <v>30</v>
      </c>
    </row>
    <row r="439" spans="1:25" x14ac:dyDescent="0.25">
      <c r="A439" t="s">
        <v>1636</v>
      </c>
      <c r="B439" t="str">
        <f t="shared" si="49"/>
        <v>Baby Of Meresiana Saimon Kipeche</v>
      </c>
      <c r="C439">
        <v>127254</v>
      </c>
      <c r="D439" t="str">
        <f t="shared" si="48"/>
        <v>Unique</v>
      </c>
      <c r="E439" t="s">
        <v>622</v>
      </c>
      <c r="F439" s="3" t="str">
        <f t="shared" si="50"/>
        <v>2/12</v>
      </c>
      <c r="G439" t="s">
        <v>19</v>
      </c>
      <c r="H439" t="str">
        <f t="shared" si="51"/>
        <v>Valid</v>
      </c>
      <c r="I439" t="s">
        <v>62</v>
      </c>
      <c r="J439" t="str">
        <f t="shared" si="52"/>
        <v>Kigoma Vijijini</v>
      </c>
      <c r="K439" t="s">
        <v>21</v>
      </c>
      <c r="L439" t="str" cm="1">
        <f t="array" ref="L439">_xlfn.IFS(
ISNUMBER(SEARCH("ICU",K439)), "ICU",
ISNUMBER(SEARCH("NEONATAL",K439)), PROPER("NEONATAL"),
ISNUMBER(SEARCH("LABOUR",K439)), PROPER("LABOUR"),
ISNUMBER(SEARCH("PAEDIATRIC",K439)), PROPER("PAEDIATRIC"),
ISNUMBER(SEARCH("FEMALE SURGICAL",K439)), PROPER("FEMALE SURG, ORTHO &amp; GYN"),
ISNUMBER(SEARCH("PSYCHIATRIST",K439)), PROPER("PSYCHIATRIST"),
ISNUMBER(SEARCH("GRADE 1",K439)), PROPER("GRADE 1"),
ISNUMBER(SEARCH("MALE SURGICAL",K439)), PROPER("MALE SURG &amp; ORTHOPEDIC"),
ISNUMBER(SEARCH("MALE MEDICAL",K439)), PROPER("MALE MEDICAL"),
ISNUMBER(SEARCH("GRADE 2",K439)), PROPER("GRADE 2"),
ISNUMBER(SEARCH("FEMALE WARD",K439)), PROPER("FEMALE MEDICAL"),
TRUE, "Unmapped: " &amp; K439)</f>
        <v>Neonatal</v>
      </c>
      <c r="M439" t="s">
        <v>22</v>
      </c>
      <c r="O439" t="s">
        <v>1637</v>
      </c>
      <c r="P439" t="str">
        <f t="shared" si="53"/>
        <v>Text Error</v>
      </c>
      <c r="Q439" s="5">
        <v>46027.284155092595</v>
      </c>
      <c r="R439" t="str">
        <f t="shared" si="54"/>
        <v>Valid Date</v>
      </c>
      <c r="S439" t="s">
        <v>1638</v>
      </c>
      <c r="T439" s="5">
        <v>46030.657175925924</v>
      </c>
      <c r="U439">
        <v>3</v>
      </c>
      <c r="V439" t="str">
        <f t="shared" si="55"/>
        <v>OK</v>
      </c>
      <c r="W439" t="s">
        <v>397</v>
      </c>
      <c r="Y439" t="s">
        <v>30</v>
      </c>
    </row>
    <row r="440" spans="1:25" x14ac:dyDescent="0.25">
      <c r="A440" t="s">
        <v>1640</v>
      </c>
      <c r="B440" t="str">
        <f t="shared" si="49"/>
        <v>Tausi Yamungu Ramadhani</v>
      </c>
      <c r="C440">
        <v>74245</v>
      </c>
      <c r="D440" t="str">
        <f t="shared" si="48"/>
        <v>Unique</v>
      </c>
      <c r="E440" t="s">
        <v>361</v>
      </c>
      <c r="F440" s="3">
        <f t="shared" si="50"/>
        <v>27</v>
      </c>
      <c r="G440" t="s">
        <v>32</v>
      </c>
      <c r="H440" t="str">
        <f t="shared" si="51"/>
        <v>Valid</v>
      </c>
      <c r="I440" t="s">
        <v>227</v>
      </c>
      <c r="J440" t="str">
        <f t="shared" si="52"/>
        <v>KGG</v>
      </c>
      <c r="K440" t="s">
        <v>40</v>
      </c>
      <c r="L440" t="str" cm="1">
        <f t="array" ref="L440">_xlfn.IFS(
ISNUMBER(SEARCH("ICU",K440)), "ICU",
ISNUMBER(SEARCH("NEONATAL",K440)), PROPER("NEONATAL"),
ISNUMBER(SEARCH("LABOUR",K440)), PROPER("LABOUR"),
ISNUMBER(SEARCH("PAEDIATRIC",K440)), PROPER("PAEDIATRIC"),
ISNUMBER(SEARCH("FEMALE SURGICAL",K440)), PROPER("FEMALE SURG, ORTHO &amp; GYN"),
ISNUMBER(SEARCH("PSYCHIATRIST",K440)), PROPER("PSYCHIATRIST"),
ISNUMBER(SEARCH("GRADE 1",K440)), PROPER("GRADE 1"),
ISNUMBER(SEARCH("MALE SURGICAL",K440)), PROPER("MALE SURG &amp; ORTHOPEDIC"),
ISNUMBER(SEARCH("MALE MEDICAL",K440)), PROPER("MALE MEDICAL"),
ISNUMBER(SEARCH("GRADE 2",K440)), PROPER("GRADE 2"),
ISNUMBER(SEARCH("FEMALE WARD",K440)), PROPER("FEMALE MEDICAL"),
TRUE, "Unmapped: " &amp; K440)</f>
        <v>Labour</v>
      </c>
      <c r="M440" t="s">
        <v>22</v>
      </c>
      <c r="O440" t="s">
        <v>1641</v>
      </c>
      <c r="P440" t="str">
        <f t="shared" si="53"/>
        <v>Text Error</v>
      </c>
      <c r="Q440" s="5">
        <v>46027.541527777779</v>
      </c>
      <c r="R440" t="str">
        <f t="shared" si="54"/>
        <v>Valid Date</v>
      </c>
      <c r="S440" t="s">
        <v>1642</v>
      </c>
      <c r="T440" s="5">
        <v>46031.535057870373</v>
      </c>
      <c r="U440">
        <v>3</v>
      </c>
      <c r="V440" t="str">
        <f t="shared" si="55"/>
        <v>OK</v>
      </c>
      <c r="W440" t="s">
        <v>25</v>
      </c>
      <c r="Y440" t="s">
        <v>30</v>
      </c>
    </row>
    <row r="441" spans="1:25" x14ac:dyDescent="0.25">
      <c r="A441" t="s">
        <v>1643</v>
      </c>
      <c r="B441" t="str">
        <f t="shared" si="49"/>
        <v>Flora A Isaya</v>
      </c>
      <c r="C441">
        <v>112411</v>
      </c>
      <c r="D441" t="str">
        <f t="shared" si="48"/>
        <v>Unique</v>
      </c>
      <c r="E441" t="s">
        <v>201</v>
      </c>
      <c r="F441" s="3">
        <f t="shared" si="50"/>
        <v>44</v>
      </c>
      <c r="G441" t="s">
        <v>32</v>
      </c>
      <c r="H441" t="str">
        <f t="shared" si="51"/>
        <v>Valid</v>
      </c>
      <c r="I441" t="s">
        <v>260</v>
      </c>
      <c r="J441" t="str">
        <f t="shared" si="52"/>
        <v>Kasulu</v>
      </c>
      <c r="K441" t="s">
        <v>685</v>
      </c>
      <c r="L441" t="str" cm="1">
        <f t="array" ref="L441">_xlfn.IFS(
ISNUMBER(SEARCH("ICU",K441)), "ICU",
ISNUMBER(SEARCH("NEONATAL",K441)), PROPER("NEONATAL"),
ISNUMBER(SEARCH("LABOUR",K441)), PROPER("LABOUR"),
ISNUMBER(SEARCH("PAEDIATRIC",K441)), PROPER("PAEDIATRIC"),
ISNUMBER(SEARCH("FEMALE SURGICAL",K441)), PROPER("FEMALE SURG, ORTHO &amp; GYN"),
ISNUMBER(SEARCH("PSYCHIATRIST",K441)), PROPER("PSYCHIATRIST"),
ISNUMBER(SEARCH("GRADE 1",K441)), PROPER("GRADE 1"),
ISNUMBER(SEARCH("MALE SURGICAL",K441)), PROPER("MALE SURG &amp; ORTHOPEDIC"),
ISNUMBER(SEARCH("MALE MEDICAL",K441)), PROPER("MALE MEDICAL"),
ISNUMBER(SEARCH("GRADE 2",K441)), PROPER("GRADE 2"),
ISNUMBER(SEARCH("FEMALE WARD",K441)), PROPER("FEMALE MEDICAL"),
TRUE, "Unmapped: " &amp; K441)</f>
        <v>Grade 2</v>
      </c>
      <c r="M441" t="s">
        <v>394</v>
      </c>
      <c r="O441" t="s">
        <v>1644</v>
      </c>
      <c r="P441" t="str">
        <f t="shared" si="53"/>
        <v>Text Error</v>
      </c>
      <c r="Q441" s="5">
        <v>46027.577696759261</v>
      </c>
      <c r="R441" t="str">
        <f t="shared" si="54"/>
        <v>Valid Date</v>
      </c>
      <c r="S441" t="s">
        <v>1645</v>
      </c>
      <c r="T441" s="5">
        <v>46030.665381944447</v>
      </c>
      <c r="U441">
        <v>3</v>
      </c>
      <c r="V441" t="str">
        <f t="shared" si="55"/>
        <v>OK</v>
      </c>
      <c r="W441" t="s">
        <v>397</v>
      </c>
      <c r="Y441" t="s">
        <v>30</v>
      </c>
    </row>
    <row r="442" spans="1:25" x14ac:dyDescent="0.25">
      <c r="A442" t="s">
        <v>1647</v>
      </c>
      <c r="B442" t="str">
        <f t="shared" si="49"/>
        <v>Kwarezma Issaka Mbako</v>
      </c>
      <c r="C442">
        <v>127379</v>
      </c>
      <c r="D442" t="str">
        <f t="shared" si="48"/>
        <v>Unique</v>
      </c>
      <c r="E442" t="s">
        <v>142</v>
      </c>
      <c r="F442" s="3">
        <f t="shared" si="50"/>
        <v>20</v>
      </c>
      <c r="G442" t="s">
        <v>19</v>
      </c>
      <c r="H442" t="str">
        <f t="shared" si="51"/>
        <v>Valid</v>
      </c>
      <c r="I442" t="s">
        <v>62</v>
      </c>
      <c r="J442" t="str">
        <f t="shared" si="52"/>
        <v>Kigoma Vijijini</v>
      </c>
      <c r="K442" t="s">
        <v>428</v>
      </c>
      <c r="L442" t="str" cm="1">
        <f t="array" ref="L442">_xlfn.IFS(
ISNUMBER(SEARCH("ICU",K442)), "ICU",
ISNUMBER(SEARCH("NEONATAL",K442)), PROPER("NEONATAL"),
ISNUMBER(SEARCH("LABOUR",K442)), PROPER("LABOUR"),
ISNUMBER(SEARCH("PAEDIATRIC",K442)), PROPER("PAEDIATRIC"),
ISNUMBER(SEARCH("FEMALE SURGICAL",K442)), PROPER("FEMALE SURG, ORTHO &amp; GYN"),
ISNUMBER(SEARCH("PSYCHIATRIST",K442)), PROPER("PSYCHIATRIST"),
ISNUMBER(SEARCH("GRADE 1",K442)), PROPER("GRADE 1"),
ISNUMBER(SEARCH("MALE SURGICAL",K442)), PROPER("MALE SURG &amp; ORTHOPEDIC"),
ISNUMBER(SEARCH("MALE MEDICAL",K442)), PROPER("MALE MEDICAL"),
ISNUMBER(SEARCH("GRADE 2",K442)), PROPER("GRADE 2"),
ISNUMBER(SEARCH("FEMALE WARD",K442)), PROPER("FEMALE MEDICAL"),
TRUE, "Unmapped: " &amp; K442)</f>
        <v>Male Surg &amp; Orthopedic</v>
      </c>
      <c r="M442" t="s">
        <v>22</v>
      </c>
      <c r="O442" t="s">
        <v>1648</v>
      </c>
      <c r="P442" t="str">
        <f t="shared" si="53"/>
        <v>Text Error</v>
      </c>
      <c r="Q442" s="5">
        <v>46027.715254629627</v>
      </c>
      <c r="R442" t="str">
        <f t="shared" si="54"/>
        <v>Valid Date</v>
      </c>
      <c r="S442" t="s">
        <v>1649</v>
      </c>
      <c r="T442" s="5">
        <v>46031.669722222221</v>
      </c>
      <c r="U442">
        <v>3</v>
      </c>
      <c r="V442" t="str">
        <f t="shared" si="55"/>
        <v>OK</v>
      </c>
      <c r="W442" t="s">
        <v>25</v>
      </c>
      <c r="Y442" t="s">
        <v>30</v>
      </c>
    </row>
    <row r="443" spans="1:25" x14ac:dyDescent="0.25">
      <c r="A443" t="s">
        <v>1650</v>
      </c>
      <c r="B443" t="str">
        <f t="shared" si="49"/>
        <v>Morice Zegeli Mahabula</v>
      </c>
      <c r="C443">
        <v>127397</v>
      </c>
      <c r="D443" t="str">
        <f t="shared" si="48"/>
        <v>Unique</v>
      </c>
      <c r="E443" t="s">
        <v>392</v>
      </c>
      <c r="F443" s="3">
        <f t="shared" si="50"/>
        <v>51</v>
      </c>
      <c r="G443" t="s">
        <v>19</v>
      </c>
      <c r="H443" t="str">
        <f t="shared" si="51"/>
        <v>Valid</v>
      </c>
      <c r="I443" t="s">
        <v>260</v>
      </c>
      <c r="J443" t="str">
        <f t="shared" si="52"/>
        <v>Kasulu</v>
      </c>
      <c r="K443" t="s">
        <v>202</v>
      </c>
      <c r="L443" t="str" cm="1">
        <f t="array" ref="L443">_xlfn.IFS(
ISNUMBER(SEARCH("ICU",K443)), "ICU",
ISNUMBER(SEARCH("NEONATAL",K443)), PROPER("NEONATAL"),
ISNUMBER(SEARCH("LABOUR",K443)), PROPER("LABOUR"),
ISNUMBER(SEARCH("PAEDIATRIC",K443)), PROPER("PAEDIATRIC"),
ISNUMBER(SEARCH("FEMALE SURGICAL",K443)), PROPER("FEMALE SURG, ORTHO &amp; GYN"),
ISNUMBER(SEARCH("PSYCHIATRIST",K443)), PROPER("PSYCHIATRIST"),
ISNUMBER(SEARCH("GRADE 1",K443)), PROPER("GRADE 1"),
ISNUMBER(SEARCH("MALE SURGICAL",K443)), PROPER("MALE SURG &amp; ORTHOPEDIC"),
ISNUMBER(SEARCH("MALE MEDICAL",K443)), PROPER("MALE MEDICAL"),
ISNUMBER(SEARCH("GRADE 2",K443)), PROPER("GRADE 2"),
ISNUMBER(SEARCH("FEMALE WARD",K443)), PROPER("FEMALE MEDICAL"),
TRUE, "Unmapped: " &amp; K443)</f>
        <v>Psychiatrist</v>
      </c>
      <c r="M443" t="s">
        <v>22</v>
      </c>
      <c r="O443" t="s">
        <v>1651</v>
      </c>
      <c r="P443" t="str">
        <f t="shared" si="53"/>
        <v>Text Error</v>
      </c>
      <c r="Q443" s="5">
        <v>46027.728275462963</v>
      </c>
      <c r="R443" t="str">
        <f t="shared" si="54"/>
        <v>Valid Date</v>
      </c>
      <c r="S443" t="s">
        <v>1652</v>
      </c>
      <c r="T443" s="5">
        <v>46031.362430555557</v>
      </c>
      <c r="U443">
        <v>3</v>
      </c>
      <c r="V443" t="str">
        <f t="shared" si="55"/>
        <v>OK</v>
      </c>
      <c r="W443" t="s">
        <v>25</v>
      </c>
      <c r="Y443" t="s">
        <v>30</v>
      </c>
    </row>
    <row r="444" spans="1:25" x14ac:dyDescent="0.25">
      <c r="A444" t="s">
        <v>1653</v>
      </c>
      <c r="B444" t="str">
        <f t="shared" si="49"/>
        <v>Neema Lawama Muhamedi</v>
      </c>
      <c r="C444">
        <v>127414</v>
      </c>
      <c r="D444" t="str">
        <f t="shared" si="48"/>
        <v>Unique</v>
      </c>
      <c r="E444" t="s">
        <v>175</v>
      </c>
      <c r="F444" s="3">
        <f t="shared" si="50"/>
        <v>8</v>
      </c>
      <c r="G444" t="s">
        <v>32</v>
      </c>
      <c r="H444" t="str">
        <f t="shared" si="51"/>
        <v>Valid</v>
      </c>
      <c r="I444" t="s">
        <v>62</v>
      </c>
      <c r="J444" t="str">
        <f t="shared" si="52"/>
        <v>Kigoma Vijijini</v>
      </c>
      <c r="K444" t="s">
        <v>109</v>
      </c>
      <c r="L444" t="str" cm="1">
        <f t="array" ref="L444">_xlfn.IFS(
ISNUMBER(SEARCH("ICU",K444)), "ICU",
ISNUMBER(SEARCH("NEONATAL",K444)), PROPER("NEONATAL"),
ISNUMBER(SEARCH("LABOUR",K444)), PROPER("LABOUR"),
ISNUMBER(SEARCH("PAEDIATRIC",K444)), PROPER("PAEDIATRIC"),
ISNUMBER(SEARCH("FEMALE SURGICAL",K444)), PROPER("FEMALE SURG, ORTHO &amp; GYN"),
ISNUMBER(SEARCH("PSYCHIATRIST",K444)), PROPER("PSYCHIATRIST"),
ISNUMBER(SEARCH("GRADE 1",K444)), PROPER("GRADE 1"),
ISNUMBER(SEARCH("MALE SURGICAL",K444)), PROPER("MALE SURG &amp; ORTHOPEDIC"),
ISNUMBER(SEARCH("MALE MEDICAL",K444)), PROPER("MALE MEDICAL"),
ISNUMBER(SEARCH("GRADE 2",K444)), PROPER("GRADE 2"),
ISNUMBER(SEARCH("FEMALE WARD",K444)), PROPER("FEMALE MEDICAL"),
TRUE, "Unmapped: " &amp; K444)</f>
        <v>Paediatric</v>
      </c>
      <c r="M444" t="s">
        <v>22</v>
      </c>
      <c r="O444" t="s">
        <v>1654</v>
      </c>
      <c r="P444" t="str">
        <f t="shared" si="53"/>
        <v>Text Error</v>
      </c>
      <c r="Q444" s="5">
        <v>46027.814375000002</v>
      </c>
      <c r="R444" t="str">
        <f t="shared" si="54"/>
        <v>Valid Date</v>
      </c>
      <c r="S444" t="s">
        <v>1655</v>
      </c>
      <c r="T444" s="5">
        <v>46031.566006944442</v>
      </c>
      <c r="U444">
        <v>3</v>
      </c>
      <c r="V444" t="str">
        <f t="shared" si="55"/>
        <v>OK</v>
      </c>
      <c r="W444" t="s">
        <v>25</v>
      </c>
      <c r="Y444" t="s">
        <v>30</v>
      </c>
    </row>
    <row r="445" spans="1:25" x14ac:dyDescent="0.25">
      <c r="A445" t="s">
        <v>1656</v>
      </c>
      <c r="B445" t="str">
        <f t="shared" si="49"/>
        <v>Eva Mwaro Mwaro</v>
      </c>
      <c r="C445">
        <v>127483</v>
      </c>
      <c r="D445" t="str">
        <f t="shared" si="48"/>
        <v>Unique</v>
      </c>
      <c r="E445" t="s">
        <v>147</v>
      </c>
      <c r="F445" s="3">
        <f t="shared" si="50"/>
        <v>30</v>
      </c>
      <c r="G445" t="s">
        <v>32</v>
      </c>
      <c r="H445" t="str">
        <f t="shared" si="51"/>
        <v>Valid</v>
      </c>
      <c r="I445" t="s">
        <v>33</v>
      </c>
      <c r="J445" t="str">
        <f t="shared" si="52"/>
        <v>Kigoma Ujiji Mc</v>
      </c>
      <c r="K445" t="s">
        <v>123</v>
      </c>
      <c r="L445" t="str" cm="1">
        <f t="array" ref="L445">_xlfn.IFS(
ISNUMBER(SEARCH("ICU",K445)), "ICU",
ISNUMBER(SEARCH("NEONATAL",K445)), PROPER("NEONATAL"),
ISNUMBER(SEARCH("LABOUR",K445)), PROPER("LABOUR"),
ISNUMBER(SEARCH("PAEDIATRIC",K445)), PROPER("PAEDIATRIC"),
ISNUMBER(SEARCH("FEMALE SURGICAL",K445)), PROPER("FEMALE SURG, ORTHO &amp; GYN"),
ISNUMBER(SEARCH("PSYCHIATRIST",K445)), PROPER("PSYCHIATRIST"),
ISNUMBER(SEARCH("GRADE 1",K445)), PROPER("GRADE 1"),
ISNUMBER(SEARCH("MALE SURGICAL",K445)), PROPER("MALE SURG &amp; ORTHOPEDIC"),
ISNUMBER(SEARCH("MALE MEDICAL",K445)), PROPER("MALE MEDICAL"),
ISNUMBER(SEARCH("GRADE 2",K445)), PROPER("GRADE 2"),
ISNUMBER(SEARCH("FEMALE WARD",K445)), PROPER("FEMALE MEDICAL"),
TRUE, "Unmapped: " &amp; K445)</f>
        <v>Female Surg, Ortho &amp; Gyn</v>
      </c>
      <c r="M445" t="s">
        <v>22</v>
      </c>
      <c r="O445" t="s">
        <v>1657</v>
      </c>
      <c r="P445" t="str">
        <f t="shared" si="53"/>
        <v>Text Error</v>
      </c>
      <c r="Q445" s="5">
        <v>46028.566018518519</v>
      </c>
      <c r="R445" t="str">
        <f t="shared" si="54"/>
        <v>Valid Date</v>
      </c>
      <c r="S445" t="s">
        <v>1658</v>
      </c>
      <c r="T445" s="5">
        <v>46032.551782407405</v>
      </c>
      <c r="U445">
        <v>3</v>
      </c>
      <c r="V445" t="str">
        <f t="shared" si="55"/>
        <v>OK</v>
      </c>
      <c r="W445" t="s">
        <v>25</v>
      </c>
      <c r="Y445" t="s">
        <v>30</v>
      </c>
    </row>
    <row r="446" spans="1:25" x14ac:dyDescent="0.25">
      <c r="A446" t="s">
        <v>1659</v>
      </c>
      <c r="B446" t="str">
        <f t="shared" si="49"/>
        <v>Christina Silvanus Kiyai</v>
      </c>
      <c r="C446">
        <v>127565</v>
      </c>
      <c r="D446" t="str">
        <f t="shared" si="48"/>
        <v>Unique</v>
      </c>
      <c r="E446" t="s">
        <v>61</v>
      </c>
      <c r="F446" s="3">
        <f t="shared" si="50"/>
        <v>29</v>
      </c>
      <c r="G446" t="s">
        <v>32</v>
      </c>
      <c r="H446" t="str">
        <f t="shared" si="51"/>
        <v>Valid</v>
      </c>
      <c r="I446" t="s">
        <v>33</v>
      </c>
      <c r="J446" t="str">
        <f t="shared" si="52"/>
        <v>Kigoma Ujiji Mc</v>
      </c>
      <c r="K446" t="s">
        <v>40</v>
      </c>
      <c r="L446" t="str" cm="1">
        <f t="array" ref="L446">_xlfn.IFS(
ISNUMBER(SEARCH("ICU",K446)), "ICU",
ISNUMBER(SEARCH("NEONATAL",K446)), PROPER("NEONATAL"),
ISNUMBER(SEARCH("LABOUR",K446)), PROPER("LABOUR"),
ISNUMBER(SEARCH("PAEDIATRIC",K446)), PROPER("PAEDIATRIC"),
ISNUMBER(SEARCH("FEMALE SURGICAL",K446)), PROPER("FEMALE SURG, ORTHO &amp; GYN"),
ISNUMBER(SEARCH("PSYCHIATRIST",K446)), PROPER("PSYCHIATRIST"),
ISNUMBER(SEARCH("GRADE 1",K446)), PROPER("GRADE 1"),
ISNUMBER(SEARCH("MALE SURGICAL",K446)), PROPER("MALE SURG &amp; ORTHOPEDIC"),
ISNUMBER(SEARCH("MALE MEDICAL",K446)), PROPER("MALE MEDICAL"),
ISNUMBER(SEARCH("GRADE 2",K446)), PROPER("GRADE 2"),
ISNUMBER(SEARCH("FEMALE WARD",K446)), PROPER("FEMALE MEDICAL"),
TRUE, "Unmapped: " &amp; K446)</f>
        <v>Labour</v>
      </c>
      <c r="M446" t="s">
        <v>22</v>
      </c>
      <c r="O446" t="s">
        <v>1660</v>
      </c>
      <c r="P446" t="str">
        <f t="shared" si="53"/>
        <v>Text Error</v>
      </c>
      <c r="Q446" s="5">
        <v>46029.721770833334</v>
      </c>
      <c r="R446" t="str">
        <f t="shared" si="54"/>
        <v>Valid Date</v>
      </c>
      <c r="S446" t="s">
        <v>1661</v>
      </c>
      <c r="T446" s="5">
        <v>46033.588263888887</v>
      </c>
      <c r="U446">
        <v>3</v>
      </c>
      <c r="V446" t="str">
        <f t="shared" si="55"/>
        <v>OK</v>
      </c>
      <c r="W446" t="s">
        <v>25</v>
      </c>
      <c r="Y446" t="s">
        <v>30</v>
      </c>
    </row>
    <row r="447" spans="1:25" x14ac:dyDescent="0.25">
      <c r="A447" t="s">
        <v>1662</v>
      </c>
      <c r="B447" t="str">
        <f t="shared" si="49"/>
        <v>Agano Obedi Mburugwa</v>
      </c>
      <c r="C447">
        <v>126925</v>
      </c>
      <c r="D447" t="str">
        <f t="shared" si="48"/>
        <v>Unique</v>
      </c>
      <c r="E447" t="s">
        <v>903</v>
      </c>
      <c r="F447" s="3">
        <f t="shared" si="50"/>
        <v>12</v>
      </c>
      <c r="G447" t="s">
        <v>19</v>
      </c>
      <c r="H447" t="str">
        <f t="shared" si="51"/>
        <v>Valid</v>
      </c>
      <c r="I447" t="s">
        <v>130</v>
      </c>
      <c r="J447" t="str">
        <f t="shared" si="52"/>
        <v>Buhigwe</v>
      </c>
      <c r="K447" t="s">
        <v>109</v>
      </c>
      <c r="L447" t="str" cm="1">
        <f t="array" ref="L447">_xlfn.IFS(
ISNUMBER(SEARCH("ICU",K447)), "ICU",
ISNUMBER(SEARCH("NEONATAL",K447)), PROPER("NEONATAL"),
ISNUMBER(SEARCH("LABOUR",K447)), PROPER("LABOUR"),
ISNUMBER(SEARCH("PAEDIATRIC",K447)), PROPER("PAEDIATRIC"),
ISNUMBER(SEARCH("FEMALE SURGICAL",K447)), PROPER("FEMALE SURG, ORTHO &amp; GYN"),
ISNUMBER(SEARCH("PSYCHIATRIST",K447)), PROPER("PSYCHIATRIST"),
ISNUMBER(SEARCH("GRADE 1",K447)), PROPER("GRADE 1"),
ISNUMBER(SEARCH("MALE SURGICAL",K447)), PROPER("MALE SURG &amp; ORTHOPEDIC"),
ISNUMBER(SEARCH("MALE MEDICAL",K447)), PROPER("MALE MEDICAL"),
ISNUMBER(SEARCH("GRADE 2",K447)), PROPER("GRADE 2"),
ISNUMBER(SEARCH("FEMALE WARD",K447)), PROPER("FEMALE MEDICAL"),
TRUE, "Unmapped: " &amp; K447)</f>
        <v>Paediatric</v>
      </c>
      <c r="M447" t="s">
        <v>22</v>
      </c>
      <c r="O447" t="s">
        <v>1663</v>
      </c>
      <c r="P447" t="str">
        <f t="shared" si="53"/>
        <v>Text Error</v>
      </c>
      <c r="Q447" s="5">
        <v>46029.795405092591</v>
      </c>
      <c r="R447" t="str">
        <f t="shared" si="54"/>
        <v>Valid Date</v>
      </c>
      <c r="S447" t="s">
        <v>1664</v>
      </c>
      <c r="T447" s="5">
        <v>46033.599988425929</v>
      </c>
      <c r="U447">
        <v>3</v>
      </c>
      <c r="V447" t="str">
        <f t="shared" si="55"/>
        <v>OK</v>
      </c>
      <c r="W447" t="s">
        <v>25</v>
      </c>
      <c r="Y447" t="s">
        <v>30</v>
      </c>
    </row>
    <row r="448" spans="1:25" x14ac:dyDescent="0.25">
      <c r="A448" t="s">
        <v>1666</v>
      </c>
      <c r="B448" t="str">
        <f t="shared" si="49"/>
        <v>Kabisu Amani Shaban</v>
      </c>
      <c r="C448">
        <v>30963</v>
      </c>
      <c r="D448" t="str">
        <f t="shared" si="48"/>
        <v>Duplicate</v>
      </c>
      <c r="E448" t="s">
        <v>147</v>
      </c>
      <c r="F448" s="3">
        <f t="shared" si="50"/>
        <v>30</v>
      </c>
      <c r="G448" t="s">
        <v>32</v>
      </c>
      <c r="H448" t="str">
        <f t="shared" si="51"/>
        <v>Valid</v>
      </c>
      <c r="I448" t="s">
        <v>33</v>
      </c>
      <c r="J448" t="str">
        <f t="shared" si="52"/>
        <v>Kigoma Ujiji Mc</v>
      </c>
      <c r="K448" t="s">
        <v>40</v>
      </c>
      <c r="L448" t="str" cm="1">
        <f t="array" ref="L448">_xlfn.IFS(
ISNUMBER(SEARCH("ICU",K448)), "ICU",
ISNUMBER(SEARCH("NEONATAL",K448)), PROPER("NEONATAL"),
ISNUMBER(SEARCH("LABOUR",K448)), PROPER("LABOUR"),
ISNUMBER(SEARCH("PAEDIATRIC",K448)), PROPER("PAEDIATRIC"),
ISNUMBER(SEARCH("FEMALE SURGICAL",K448)), PROPER("FEMALE SURG, ORTHO &amp; GYN"),
ISNUMBER(SEARCH("PSYCHIATRIST",K448)), PROPER("PSYCHIATRIST"),
ISNUMBER(SEARCH("GRADE 1",K448)), PROPER("GRADE 1"),
ISNUMBER(SEARCH("MALE SURGICAL",K448)), PROPER("MALE SURG &amp; ORTHOPEDIC"),
ISNUMBER(SEARCH("MALE MEDICAL",K448)), PROPER("MALE MEDICAL"),
ISNUMBER(SEARCH("GRADE 2",K448)), PROPER("GRADE 2"),
ISNUMBER(SEARCH("FEMALE WARD",K448)), PROPER("FEMALE MEDICAL"),
TRUE, "Unmapped: " &amp; K448)</f>
        <v>Labour</v>
      </c>
      <c r="M448" t="s">
        <v>701</v>
      </c>
      <c r="O448" t="s">
        <v>1667</v>
      </c>
      <c r="P448" t="str">
        <f t="shared" si="53"/>
        <v>Text Error</v>
      </c>
      <c r="Q448" s="5">
        <v>46029.959768518522</v>
      </c>
      <c r="R448" t="str">
        <f t="shared" si="54"/>
        <v>Valid Date</v>
      </c>
      <c r="S448" t="s">
        <v>1668</v>
      </c>
      <c r="T448" s="5">
        <v>46033.742696759262</v>
      </c>
      <c r="U448">
        <v>3</v>
      </c>
      <c r="V448" t="str">
        <f t="shared" si="55"/>
        <v>OK</v>
      </c>
      <c r="W448" t="s">
        <v>25</v>
      </c>
      <c r="Y448" t="s">
        <v>30</v>
      </c>
    </row>
    <row r="449" spans="1:25" x14ac:dyDescent="0.25">
      <c r="A449" t="s">
        <v>1669</v>
      </c>
      <c r="B449" t="str">
        <f t="shared" si="49"/>
        <v>Zainabu Athumani Mussa</v>
      </c>
      <c r="C449">
        <v>6737</v>
      </c>
      <c r="D449" t="str">
        <f t="shared" si="48"/>
        <v>Unique</v>
      </c>
      <c r="E449" t="s">
        <v>851</v>
      </c>
      <c r="F449" s="3">
        <f t="shared" si="50"/>
        <v>62</v>
      </c>
      <c r="G449" t="s">
        <v>32</v>
      </c>
      <c r="H449" t="str">
        <f t="shared" si="51"/>
        <v>Valid</v>
      </c>
      <c r="I449" t="s">
        <v>754</v>
      </c>
      <c r="J449" t="str">
        <f t="shared" si="52"/>
        <v>KG</v>
      </c>
      <c r="K449" t="s">
        <v>700</v>
      </c>
      <c r="L449" t="str" cm="1">
        <f t="array" ref="L449">_xlfn.IFS(
ISNUMBER(SEARCH("ICU",K449)), "ICU",
ISNUMBER(SEARCH("NEONATAL",K449)), PROPER("NEONATAL"),
ISNUMBER(SEARCH("LABOUR",K449)), PROPER("LABOUR"),
ISNUMBER(SEARCH("PAEDIATRIC",K449)), PROPER("PAEDIATRIC"),
ISNUMBER(SEARCH("FEMALE SURGICAL",K449)), PROPER("FEMALE SURG, ORTHO &amp; GYN"),
ISNUMBER(SEARCH("PSYCHIATRIST",K449)), PROPER("PSYCHIATRIST"),
ISNUMBER(SEARCH("GRADE 1",K449)), PROPER("GRADE 1"),
ISNUMBER(SEARCH("MALE SURGICAL",K449)), PROPER("MALE SURG &amp; ORTHOPEDIC"),
ISNUMBER(SEARCH("MALE MEDICAL",K449)), PROPER("MALE MEDICAL"),
ISNUMBER(SEARCH("GRADE 2",K449)), PROPER("GRADE 2"),
ISNUMBER(SEARCH("FEMALE WARD",K449)), PROPER("FEMALE MEDICAL"),
TRUE, "Unmapped: " &amp; K449)</f>
        <v>Female Medical</v>
      </c>
      <c r="M449" t="s">
        <v>22</v>
      </c>
      <c r="O449" t="s">
        <v>1670</v>
      </c>
      <c r="P449" t="str">
        <f t="shared" si="53"/>
        <v>Text Error</v>
      </c>
      <c r="Q449" s="5">
        <v>46030.072152777779</v>
      </c>
      <c r="R449" t="str">
        <f t="shared" si="54"/>
        <v>Valid Date</v>
      </c>
      <c r="S449" t="s">
        <v>1671</v>
      </c>
      <c r="T449" s="5">
        <v>46033.669664351852</v>
      </c>
      <c r="U449">
        <v>3</v>
      </c>
      <c r="V449" t="str">
        <f t="shared" si="55"/>
        <v>OK</v>
      </c>
      <c r="W449" t="s">
        <v>25</v>
      </c>
      <c r="Y449" t="s">
        <v>30</v>
      </c>
    </row>
    <row r="450" spans="1:25" x14ac:dyDescent="0.25">
      <c r="A450" t="s">
        <v>1673</v>
      </c>
      <c r="B450" t="str">
        <f t="shared" si="49"/>
        <v>Hadija Madua Omary</v>
      </c>
      <c r="C450">
        <v>127782</v>
      </c>
      <c r="D450" t="str">
        <f t="shared" ref="D450:D513" si="56">IF(COUNTIF($C$2:$C$905,C450)&gt;1,"Duplicate","Unique")</f>
        <v>Unique</v>
      </c>
      <c r="E450" t="s">
        <v>188</v>
      </c>
      <c r="F450" s="3">
        <f t="shared" si="50"/>
        <v>28</v>
      </c>
      <c r="G450" t="s">
        <v>32</v>
      </c>
      <c r="H450" t="str">
        <f t="shared" si="51"/>
        <v>Valid</v>
      </c>
      <c r="I450" t="s">
        <v>33</v>
      </c>
      <c r="J450" t="str">
        <f t="shared" si="52"/>
        <v>Kigoma Ujiji Mc</v>
      </c>
      <c r="K450" t="s">
        <v>40</v>
      </c>
      <c r="L450" t="str" cm="1">
        <f t="array" ref="L450">_xlfn.IFS(
ISNUMBER(SEARCH("ICU",K450)), "ICU",
ISNUMBER(SEARCH("NEONATAL",K450)), PROPER("NEONATAL"),
ISNUMBER(SEARCH("LABOUR",K450)), PROPER("LABOUR"),
ISNUMBER(SEARCH("PAEDIATRIC",K450)), PROPER("PAEDIATRIC"),
ISNUMBER(SEARCH("FEMALE SURGICAL",K450)), PROPER("FEMALE SURG, ORTHO &amp; GYN"),
ISNUMBER(SEARCH("PSYCHIATRIST",K450)), PROPER("PSYCHIATRIST"),
ISNUMBER(SEARCH("GRADE 1",K450)), PROPER("GRADE 1"),
ISNUMBER(SEARCH("MALE SURGICAL",K450)), PROPER("MALE SURG &amp; ORTHOPEDIC"),
ISNUMBER(SEARCH("MALE MEDICAL",K450)), PROPER("MALE MEDICAL"),
ISNUMBER(SEARCH("GRADE 2",K450)), PROPER("GRADE 2"),
ISNUMBER(SEARCH("FEMALE WARD",K450)), PROPER("FEMALE MEDICAL"),
TRUE, "Unmapped: " &amp; K450)</f>
        <v>Labour</v>
      </c>
      <c r="M450" t="s">
        <v>22</v>
      </c>
      <c r="O450" t="s">
        <v>1674</v>
      </c>
      <c r="P450" t="str">
        <f t="shared" si="53"/>
        <v>Text Error</v>
      </c>
      <c r="Q450" s="5">
        <v>46030.648078703707</v>
      </c>
      <c r="R450" t="str">
        <f t="shared" si="54"/>
        <v>Valid Date</v>
      </c>
      <c r="S450" t="s">
        <v>1675</v>
      </c>
      <c r="T450" s="5">
        <v>46033.753506944442</v>
      </c>
      <c r="U450">
        <v>3</v>
      </c>
      <c r="V450" t="str">
        <f t="shared" si="55"/>
        <v>OK</v>
      </c>
      <c r="W450" t="s">
        <v>25</v>
      </c>
      <c r="Y450" t="s">
        <v>30</v>
      </c>
    </row>
    <row r="451" spans="1:25" x14ac:dyDescent="0.25">
      <c r="A451" t="s">
        <v>1676</v>
      </c>
      <c r="B451" t="str">
        <f t="shared" ref="B451:B514" si="57">IF(LEN(TRIM(A451))-LEN(SUBSTITUTE(TRIM(A451)," ",""))&gt;=1,TRIM(A451),"⚠ Only 1 name: "&amp;TRIM(A451))</f>
        <v>Aziza Adamu Issa</v>
      </c>
      <c r="C451">
        <v>127941</v>
      </c>
      <c r="D451" t="str">
        <f t="shared" si="56"/>
        <v>Unique</v>
      </c>
      <c r="E451" t="s">
        <v>450</v>
      </c>
      <c r="F451" s="3">
        <f t="shared" ref="F451:F514" si="58">IF(ISNUMBER(SEARCH("month",E451)), LEFT(E451,FIND(" ",E451)-1)&amp;"/12", VALUE(LEFT(E451,FIND(" ",E451)-1)))</f>
        <v>45</v>
      </c>
      <c r="G451" t="s">
        <v>32</v>
      </c>
      <c r="H451" t="str">
        <f t="shared" ref="H451:H514" si="59">IF(OR(TRIM(G451)="Male", TRIM(G451)="Female"), "Valid", "Inconsistent")</f>
        <v>Valid</v>
      </c>
      <c r="I451" t="s">
        <v>20</v>
      </c>
      <c r="J451" t="str">
        <f t="shared" ref="J451:J514" si="60">SUBSTITUTE(SUBSTITUTE(TRIM(CLEAN(I451)),"Manisipaa ya kigoma ujiji","Kigoma Ujiji Mc"),"Buhingwe","Buhigwe")</f>
        <v>Uvinza</v>
      </c>
      <c r="K451" t="s">
        <v>700</v>
      </c>
      <c r="L451" t="str" cm="1">
        <f t="array" ref="L451">_xlfn.IFS(
ISNUMBER(SEARCH("ICU",K451)), "ICU",
ISNUMBER(SEARCH("NEONATAL",K451)), PROPER("NEONATAL"),
ISNUMBER(SEARCH("LABOUR",K451)), PROPER("LABOUR"),
ISNUMBER(SEARCH("PAEDIATRIC",K451)), PROPER("PAEDIATRIC"),
ISNUMBER(SEARCH("FEMALE SURGICAL",K451)), PROPER("FEMALE SURG, ORTHO &amp; GYN"),
ISNUMBER(SEARCH("PSYCHIATRIST",K451)), PROPER("PSYCHIATRIST"),
ISNUMBER(SEARCH("GRADE 1",K451)), PROPER("GRADE 1"),
ISNUMBER(SEARCH("MALE SURGICAL",K451)), PROPER("MALE SURG &amp; ORTHOPEDIC"),
ISNUMBER(SEARCH("MALE MEDICAL",K451)), PROPER("MALE MEDICAL"),
ISNUMBER(SEARCH("GRADE 2",K451)), PROPER("GRADE 2"),
ISNUMBER(SEARCH("FEMALE WARD",K451)), PROPER("FEMALE MEDICAL"),
TRUE, "Unmapped: " &amp; K451)</f>
        <v>Female Medical</v>
      </c>
      <c r="M451" t="s">
        <v>22</v>
      </c>
      <c r="O451" t="s">
        <v>1677</v>
      </c>
      <c r="P451" t="str">
        <f t="shared" ref="P451:P514" si="61">IF(ISNUMBER(O451), "Valid Date", "Text Error")</f>
        <v>Text Error</v>
      </c>
      <c r="Q451" s="5">
        <v>46031.805104166669</v>
      </c>
      <c r="R451" t="str">
        <f t="shared" ref="R451:R514" si="62">IF(ISNUMBER(Q451), "Valid Date", "Text Error")</f>
        <v>Valid Date</v>
      </c>
      <c r="S451" t="s">
        <v>1678</v>
      </c>
      <c r="T451" s="5">
        <v>46035.495972222219</v>
      </c>
      <c r="U451">
        <v>3</v>
      </c>
      <c r="V451" t="str">
        <f t="shared" ref="V451:V514" si="63">IF(NOT(ISNUMBER(U451)), "Text Error", IF(U451&lt;0, "Negative", "OK"))</f>
        <v>OK</v>
      </c>
      <c r="W451" t="s">
        <v>25</v>
      </c>
      <c r="Y451" t="s">
        <v>30</v>
      </c>
    </row>
    <row r="452" spans="1:25" x14ac:dyDescent="0.25">
      <c r="A452" t="s">
        <v>1679</v>
      </c>
      <c r="B452" t="str">
        <f t="shared" si="57"/>
        <v>Ajuaye Nyamshila William</v>
      </c>
      <c r="C452">
        <v>127937</v>
      </c>
      <c r="D452" t="str">
        <f t="shared" si="56"/>
        <v>Unique</v>
      </c>
      <c r="E452" t="s">
        <v>91</v>
      </c>
      <c r="F452" s="3" t="str">
        <f t="shared" si="58"/>
        <v>11/12</v>
      </c>
      <c r="G452" t="s">
        <v>19</v>
      </c>
      <c r="H452" t="str">
        <f t="shared" si="59"/>
        <v>Valid</v>
      </c>
      <c r="I452" t="s">
        <v>62</v>
      </c>
      <c r="J452" t="str">
        <f t="shared" si="60"/>
        <v>Kigoma Vijijini</v>
      </c>
      <c r="K452" t="s">
        <v>109</v>
      </c>
      <c r="L452" t="str" cm="1">
        <f t="array" ref="L452">_xlfn.IFS(
ISNUMBER(SEARCH("ICU",K452)), "ICU",
ISNUMBER(SEARCH("NEONATAL",K452)), PROPER("NEONATAL"),
ISNUMBER(SEARCH("LABOUR",K452)), PROPER("LABOUR"),
ISNUMBER(SEARCH("PAEDIATRIC",K452)), PROPER("PAEDIATRIC"),
ISNUMBER(SEARCH("FEMALE SURGICAL",K452)), PROPER("FEMALE SURG, ORTHO &amp; GYN"),
ISNUMBER(SEARCH("PSYCHIATRIST",K452)), PROPER("PSYCHIATRIST"),
ISNUMBER(SEARCH("GRADE 1",K452)), PROPER("GRADE 1"),
ISNUMBER(SEARCH("MALE SURGICAL",K452)), PROPER("MALE SURG &amp; ORTHOPEDIC"),
ISNUMBER(SEARCH("MALE MEDICAL",K452)), PROPER("MALE MEDICAL"),
ISNUMBER(SEARCH("GRADE 2",K452)), PROPER("GRADE 2"),
ISNUMBER(SEARCH("FEMALE WARD",K452)), PROPER("FEMALE MEDICAL"),
TRUE, "Unmapped: " &amp; K452)</f>
        <v>Paediatric</v>
      </c>
      <c r="M452" t="s">
        <v>22</v>
      </c>
      <c r="O452" t="s">
        <v>1680</v>
      </c>
      <c r="P452" t="str">
        <f t="shared" si="61"/>
        <v>Text Error</v>
      </c>
      <c r="Q452" s="5">
        <v>46031.833298611113</v>
      </c>
      <c r="R452" t="str">
        <f t="shared" si="62"/>
        <v>Valid Date</v>
      </c>
      <c r="S452" t="s">
        <v>1681</v>
      </c>
      <c r="T452" s="5">
        <v>46035.780405092592</v>
      </c>
      <c r="U452">
        <v>3</v>
      </c>
      <c r="V452" t="str">
        <f t="shared" si="63"/>
        <v>OK</v>
      </c>
      <c r="W452" t="s">
        <v>112</v>
      </c>
      <c r="Y452" t="s">
        <v>30</v>
      </c>
    </row>
    <row r="453" spans="1:25" x14ac:dyDescent="0.25">
      <c r="A453" t="s">
        <v>1682</v>
      </c>
      <c r="B453" t="str">
        <f t="shared" si="57"/>
        <v>Baby Of Asinati Ibrahim Tanganyika</v>
      </c>
      <c r="C453">
        <v>127946</v>
      </c>
      <c r="D453" t="str">
        <f t="shared" si="56"/>
        <v>Unique</v>
      </c>
      <c r="E453" t="s">
        <v>622</v>
      </c>
      <c r="F453" s="3" t="str">
        <f t="shared" si="58"/>
        <v>2/12</v>
      </c>
      <c r="G453" t="s">
        <v>32</v>
      </c>
      <c r="H453" t="str">
        <f t="shared" si="59"/>
        <v>Valid</v>
      </c>
      <c r="I453" t="s">
        <v>62</v>
      </c>
      <c r="J453" t="str">
        <f t="shared" si="60"/>
        <v>Kigoma Vijijini</v>
      </c>
      <c r="K453" t="s">
        <v>21</v>
      </c>
      <c r="L453" t="str" cm="1">
        <f t="array" ref="L453">_xlfn.IFS(
ISNUMBER(SEARCH("ICU",K453)), "ICU",
ISNUMBER(SEARCH("NEONATAL",K453)), PROPER("NEONATAL"),
ISNUMBER(SEARCH("LABOUR",K453)), PROPER("LABOUR"),
ISNUMBER(SEARCH("PAEDIATRIC",K453)), PROPER("PAEDIATRIC"),
ISNUMBER(SEARCH("FEMALE SURGICAL",K453)), PROPER("FEMALE SURG, ORTHO &amp; GYN"),
ISNUMBER(SEARCH("PSYCHIATRIST",K453)), PROPER("PSYCHIATRIST"),
ISNUMBER(SEARCH("GRADE 1",K453)), PROPER("GRADE 1"),
ISNUMBER(SEARCH("MALE SURGICAL",K453)), PROPER("MALE SURG &amp; ORTHOPEDIC"),
ISNUMBER(SEARCH("MALE MEDICAL",K453)), PROPER("MALE MEDICAL"),
ISNUMBER(SEARCH("GRADE 2",K453)), PROPER("GRADE 2"),
ISNUMBER(SEARCH("FEMALE WARD",K453)), PROPER("FEMALE MEDICAL"),
TRUE, "Unmapped: " &amp; K453)</f>
        <v>Neonatal</v>
      </c>
      <c r="M453" t="s">
        <v>22</v>
      </c>
      <c r="O453" t="s">
        <v>1683</v>
      </c>
      <c r="P453" t="str">
        <f t="shared" si="61"/>
        <v>Text Error</v>
      </c>
      <c r="Q453" s="5">
        <v>46031.849756944444</v>
      </c>
      <c r="R453" t="str">
        <f t="shared" si="62"/>
        <v>Valid Date</v>
      </c>
      <c r="S453" t="s">
        <v>1684</v>
      </c>
      <c r="T453" s="5">
        <v>46035.847037037034</v>
      </c>
      <c r="U453">
        <v>3</v>
      </c>
      <c r="V453" t="str">
        <f t="shared" si="63"/>
        <v>OK</v>
      </c>
      <c r="W453" t="s">
        <v>211</v>
      </c>
      <c r="Y453" t="s">
        <v>30</v>
      </c>
    </row>
    <row r="454" spans="1:25" x14ac:dyDescent="0.25">
      <c r="A454" t="s">
        <v>1685</v>
      </c>
      <c r="B454" t="str">
        <f t="shared" si="57"/>
        <v>Esnati Maiko Mabuku</v>
      </c>
      <c r="C454">
        <v>127940</v>
      </c>
      <c r="D454" t="str">
        <f t="shared" si="56"/>
        <v>Unique</v>
      </c>
      <c r="E454" t="s">
        <v>450</v>
      </c>
      <c r="F454" s="3">
        <f t="shared" si="58"/>
        <v>45</v>
      </c>
      <c r="G454" t="s">
        <v>32</v>
      </c>
      <c r="H454" t="str">
        <f t="shared" si="59"/>
        <v>Valid</v>
      </c>
      <c r="I454" t="s">
        <v>260</v>
      </c>
      <c r="J454" t="str">
        <f t="shared" si="60"/>
        <v>Kasulu</v>
      </c>
      <c r="K454" t="s">
        <v>123</v>
      </c>
      <c r="L454" t="str" cm="1">
        <f t="array" ref="L454">_xlfn.IFS(
ISNUMBER(SEARCH("ICU",K454)), "ICU",
ISNUMBER(SEARCH("NEONATAL",K454)), PROPER("NEONATAL"),
ISNUMBER(SEARCH("LABOUR",K454)), PROPER("LABOUR"),
ISNUMBER(SEARCH("PAEDIATRIC",K454)), PROPER("PAEDIATRIC"),
ISNUMBER(SEARCH("FEMALE SURGICAL",K454)), PROPER("FEMALE SURG, ORTHO &amp; GYN"),
ISNUMBER(SEARCH("PSYCHIATRIST",K454)), PROPER("PSYCHIATRIST"),
ISNUMBER(SEARCH("GRADE 1",K454)), PROPER("GRADE 1"),
ISNUMBER(SEARCH("MALE SURGICAL",K454)), PROPER("MALE SURG &amp; ORTHOPEDIC"),
ISNUMBER(SEARCH("MALE MEDICAL",K454)), PROPER("MALE MEDICAL"),
ISNUMBER(SEARCH("GRADE 2",K454)), PROPER("GRADE 2"),
ISNUMBER(SEARCH("FEMALE WARD",K454)), PROPER("FEMALE MEDICAL"),
TRUE, "Unmapped: " &amp; K454)</f>
        <v>Female Surg, Ortho &amp; Gyn</v>
      </c>
      <c r="M454" t="s">
        <v>22</v>
      </c>
      <c r="O454" t="s">
        <v>1686</v>
      </c>
      <c r="P454" t="str">
        <f t="shared" si="61"/>
        <v>Text Error</v>
      </c>
      <c r="Q454" s="5">
        <v>46031.887349537035</v>
      </c>
      <c r="R454" t="str">
        <f t="shared" si="62"/>
        <v>Valid Date</v>
      </c>
      <c r="S454" t="s">
        <v>1687</v>
      </c>
      <c r="T454" s="5">
        <v>46035.809259259258</v>
      </c>
      <c r="U454">
        <v>3</v>
      </c>
      <c r="V454" t="str">
        <f t="shared" si="63"/>
        <v>OK</v>
      </c>
      <c r="W454" t="s">
        <v>397</v>
      </c>
      <c r="Y454" t="s">
        <v>30</v>
      </c>
    </row>
    <row r="455" spans="1:25" x14ac:dyDescent="0.25">
      <c r="A455" t="s">
        <v>1688</v>
      </c>
      <c r="B455" t="str">
        <f t="shared" si="57"/>
        <v>Joyce Michael Buchumi</v>
      </c>
      <c r="C455">
        <v>127948</v>
      </c>
      <c r="D455" t="str">
        <f t="shared" si="56"/>
        <v>Unique</v>
      </c>
      <c r="E455" t="s">
        <v>441</v>
      </c>
      <c r="F455" s="3">
        <f t="shared" si="58"/>
        <v>60</v>
      </c>
      <c r="G455" t="s">
        <v>32</v>
      </c>
      <c r="H455" t="str">
        <f t="shared" si="59"/>
        <v>Valid</v>
      </c>
      <c r="I455" t="s">
        <v>62</v>
      </c>
      <c r="J455" t="str">
        <f t="shared" si="60"/>
        <v>Kigoma Vijijini</v>
      </c>
      <c r="K455" t="s">
        <v>123</v>
      </c>
      <c r="L455" t="str" cm="1">
        <f t="array" ref="L455">_xlfn.IFS(
ISNUMBER(SEARCH("ICU",K455)), "ICU",
ISNUMBER(SEARCH("NEONATAL",K455)), PROPER("NEONATAL"),
ISNUMBER(SEARCH("LABOUR",K455)), PROPER("LABOUR"),
ISNUMBER(SEARCH("PAEDIATRIC",K455)), PROPER("PAEDIATRIC"),
ISNUMBER(SEARCH("FEMALE SURGICAL",K455)), PROPER("FEMALE SURG, ORTHO &amp; GYN"),
ISNUMBER(SEARCH("PSYCHIATRIST",K455)), PROPER("PSYCHIATRIST"),
ISNUMBER(SEARCH("GRADE 1",K455)), PROPER("GRADE 1"),
ISNUMBER(SEARCH("MALE SURGICAL",K455)), PROPER("MALE SURG &amp; ORTHOPEDIC"),
ISNUMBER(SEARCH("MALE MEDICAL",K455)), PROPER("MALE MEDICAL"),
ISNUMBER(SEARCH("GRADE 2",K455)), PROPER("GRADE 2"),
ISNUMBER(SEARCH("FEMALE WARD",K455)), PROPER("FEMALE MEDICAL"),
TRUE, "Unmapped: " &amp; K455)</f>
        <v>Female Surg, Ortho &amp; Gyn</v>
      </c>
      <c r="M455" t="s">
        <v>22</v>
      </c>
      <c r="O455" t="s">
        <v>1689</v>
      </c>
      <c r="P455" t="str">
        <f t="shared" si="61"/>
        <v>Text Error</v>
      </c>
      <c r="Q455" s="5">
        <v>46032.121631944443</v>
      </c>
      <c r="R455" t="str">
        <f t="shared" si="62"/>
        <v>Valid Date</v>
      </c>
      <c r="S455" t="s">
        <v>1690</v>
      </c>
      <c r="T455" s="5">
        <v>46035.774351851855</v>
      </c>
      <c r="U455">
        <v>3</v>
      </c>
      <c r="V455" t="str">
        <f t="shared" si="63"/>
        <v>OK</v>
      </c>
      <c r="W455" t="s">
        <v>25</v>
      </c>
      <c r="Y455" t="s">
        <v>30</v>
      </c>
    </row>
    <row r="456" spans="1:25" x14ac:dyDescent="0.25">
      <c r="A456" t="s">
        <v>1691</v>
      </c>
      <c r="B456" t="str">
        <f t="shared" si="57"/>
        <v>Shani Adam Nganga</v>
      </c>
      <c r="C456">
        <v>127962</v>
      </c>
      <c r="D456" t="str">
        <f t="shared" si="56"/>
        <v>Unique</v>
      </c>
      <c r="E456" t="s">
        <v>215</v>
      </c>
      <c r="F456" s="3">
        <f t="shared" si="58"/>
        <v>25</v>
      </c>
      <c r="G456" t="s">
        <v>32</v>
      </c>
      <c r="H456" t="str">
        <f t="shared" si="59"/>
        <v>Valid</v>
      </c>
      <c r="I456" t="s">
        <v>33</v>
      </c>
      <c r="J456" t="str">
        <f t="shared" si="60"/>
        <v>Kigoma Ujiji Mc</v>
      </c>
      <c r="K456" t="s">
        <v>40</v>
      </c>
      <c r="L456" t="str" cm="1">
        <f t="array" ref="L456">_xlfn.IFS(
ISNUMBER(SEARCH("ICU",K456)), "ICU",
ISNUMBER(SEARCH("NEONATAL",K456)), PROPER("NEONATAL"),
ISNUMBER(SEARCH("LABOUR",K456)), PROPER("LABOUR"),
ISNUMBER(SEARCH("PAEDIATRIC",K456)), PROPER("PAEDIATRIC"),
ISNUMBER(SEARCH("FEMALE SURGICAL",K456)), PROPER("FEMALE SURG, ORTHO &amp; GYN"),
ISNUMBER(SEARCH("PSYCHIATRIST",K456)), PROPER("PSYCHIATRIST"),
ISNUMBER(SEARCH("GRADE 1",K456)), PROPER("GRADE 1"),
ISNUMBER(SEARCH("MALE SURGICAL",K456)), PROPER("MALE SURG &amp; ORTHOPEDIC"),
ISNUMBER(SEARCH("MALE MEDICAL",K456)), PROPER("MALE MEDICAL"),
ISNUMBER(SEARCH("GRADE 2",K456)), PROPER("GRADE 2"),
ISNUMBER(SEARCH("FEMALE WARD",K456)), PROPER("FEMALE MEDICAL"),
TRUE, "Unmapped: " &amp; K456)</f>
        <v>Labour</v>
      </c>
      <c r="M456" t="s">
        <v>22</v>
      </c>
      <c r="O456" t="s">
        <v>1692</v>
      </c>
      <c r="P456" t="str">
        <f t="shared" si="61"/>
        <v>Text Error</v>
      </c>
      <c r="Q456" s="5">
        <v>46032.386180555557</v>
      </c>
      <c r="R456" t="str">
        <f t="shared" si="62"/>
        <v>Valid Date</v>
      </c>
      <c r="S456" t="s">
        <v>1693</v>
      </c>
      <c r="T456" s="5">
        <v>46035.748460648145</v>
      </c>
      <c r="U456">
        <v>3</v>
      </c>
      <c r="V456" t="str">
        <f t="shared" si="63"/>
        <v>OK</v>
      </c>
      <c r="W456" t="s">
        <v>25</v>
      </c>
      <c r="Y456" t="s">
        <v>30</v>
      </c>
    </row>
    <row r="457" spans="1:25" x14ac:dyDescent="0.25">
      <c r="A457" t="s">
        <v>1694</v>
      </c>
      <c r="B457" t="str">
        <f t="shared" si="57"/>
        <v>Flora Samson Kipala</v>
      </c>
      <c r="C457">
        <v>127969</v>
      </c>
      <c r="D457" t="str">
        <f t="shared" si="56"/>
        <v>Unique</v>
      </c>
      <c r="E457" t="s">
        <v>122</v>
      </c>
      <c r="F457" s="3">
        <f t="shared" si="58"/>
        <v>40</v>
      </c>
      <c r="G457" t="s">
        <v>32</v>
      </c>
      <c r="H457" t="str">
        <f t="shared" si="59"/>
        <v>Valid</v>
      </c>
      <c r="I457" t="s">
        <v>20</v>
      </c>
      <c r="J457" t="str">
        <f t="shared" si="60"/>
        <v>Uvinza</v>
      </c>
      <c r="K457" t="s">
        <v>123</v>
      </c>
      <c r="L457" t="str" cm="1">
        <f t="array" ref="L457">_xlfn.IFS(
ISNUMBER(SEARCH("ICU",K457)), "ICU",
ISNUMBER(SEARCH("NEONATAL",K457)), PROPER("NEONATAL"),
ISNUMBER(SEARCH("LABOUR",K457)), PROPER("LABOUR"),
ISNUMBER(SEARCH("PAEDIATRIC",K457)), PROPER("PAEDIATRIC"),
ISNUMBER(SEARCH("FEMALE SURGICAL",K457)), PROPER("FEMALE SURG, ORTHO &amp; GYN"),
ISNUMBER(SEARCH("PSYCHIATRIST",K457)), PROPER("PSYCHIATRIST"),
ISNUMBER(SEARCH("GRADE 1",K457)), PROPER("GRADE 1"),
ISNUMBER(SEARCH("MALE SURGICAL",K457)), PROPER("MALE SURG &amp; ORTHOPEDIC"),
ISNUMBER(SEARCH("MALE MEDICAL",K457)), PROPER("MALE MEDICAL"),
ISNUMBER(SEARCH("GRADE 2",K457)), PROPER("GRADE 2"),
ISNUMBER(SEARCH("FEMALE WARD",K457)), PROPER("FEMALE MEDICAL"),
TRUE, "Unmapped: " &amp; K457)</f>
        <v>Female Surg, Ortho &amp; Gyn</v>
      </c>
      <c r="M457" t="s">
        <v>22</v>
      </c>
      <c r="O457" t="s">
        <v>1695</v>
      </c>
      <c r="P457" t="str">
        <f t="shared" si="61"/>
        <v>Text Error</v>
      </c>
      <c r="Q457" s="5">
        <v>46032.472222222219</v>
      </c>
      <c r="R457" t="str">
        <f t="shared" si="62"/>
        <v>Valid Date</v>
      </c>
      <c r="S457" t="s">
        <v>1696</v>
      </c>
      <c r="T457" s="5">
        <v>46035.837581018517</v>
      </c>
      <c r="U457">
        <v>3</v>
      </c>
      <c r="V457" t="str">
        <f t="shared" si="63"/>
        <v>OK</v>
      </c>
      <c r="W457" t="s">
        <v>397</v>
      </c>
      <c r="Y457" t="s">
        <v>30</v>
      </c>
    </row>
    <row r="458" spans="1:25" x14ac:dyDescent="0.25">
      <c r="A458" t="s">
        <v>1697</v>
      </c>
      <c r="B458" t="str">
        <f t="shared" si="57"/>
        <v>Baby Of Hawa Kassim Mpapi</v>
      </c>
      <c r="C458">
        <v>128017</v>
      </c>
      <c r="D458" t="str">
        <f t="shared" si="56"/>
        <v>Unique</v>
      </c>
      <c r="E458" t="s">
        <v>622</v>
      </c>
      <c r="F458" s="3" t="str">
        <f t="shared" si="58"/>
        <v>2/12</v>
      </c>
      <c r="G458" t="s">
        <v>32</v>
      </c>
      <c r="H458" t="str">
        <f t="shared" si="59"/>
        <v>Valid</v>
      </c>
      <c r="I458" t="s">
        <v>33</v>
      </c>
      <c r="J458" t="str">
        <f t="shared" si="60"/>
        <v>Kigoma Ujiji Mc</v>
      </c>
      <c r="K458" t="s">
        <v>21</v>
      </c>
      <c r="L458" t="str" cm="1">
        <f t="array" ref="L458">_xlfn.IFS(
ISNUMBER(SEARCH("ICU",K458)), "ICU",
ISNUMBER(SEARCH("NEONATAL",K458)), PROPER("NEONATAL"),
ISNUMBER(SEARCH("LABOUR",K458)), PROPER("LABOUR"),
ISNUMBER(SEARCH("PAEDIATRIC",K458)), PROPER("PAEDIATRIC"),
ISNUMBER(SEARCH("FEMALE SURGICAL",K458)), PROPER("FEMALE SURG, ORTHO &amp; GYN"),
ISNUMBER(SEARCH("PSYCHIATRIST",K458)), PROPER("PSYCHIATRIST"),
ISNUMBER(SEARCH("GRADE 1",K458)), PROPER("GRADE 1"),
ISNUMBER(SEARCH("MALE SURGICAL",K458)), PROPER("MALE SURG &amp; ORTHOPEDIC"),
ISNUMBER(SEARCH("MALE MEDICAL",K458)), PROPER("MALE MEDICAL"),
ISNUMBER(SEARCH("GRADE 2",K458)), PROPER("GRADE 2"),
ISNUMBER(SEARCH("FEMALE WARD",K458)), PROPER("FEMALE MEDICAL"),
TRUE, "Unmapped: " &amp; K458)</f>
        <v>Neonatal</v>
      </c>
      <c r="M458" t="s">
        <v>22</v>
      </c>
      <c r="O458" t="s">
        <v>1698</v>
      </c>
      <c r="P458" t="str">
        <f t="shared" si="61"/>
        <v>Text Error</v>
      </c>
      <c r="Q458" s="5">
        <v>46033.290312500001</v>
      </c>
      <c r="R458" t="str">
        <f t="shared" si="62"/>
        <v>Valid Date</v>
      </c>
      <c r="S458" t="s">
        <v>1699</v>
      </c>
      <c r="T458" s="5">
        <v>46036.357905092591</v>
      </c>
      <c r="U458">
        <v>3</v>
      </c>
      <c r="V458" t="str">
        <f t="shared" si="63"/>
        <v>OK</v>
      </c>
      <c r="W458" t="s">
        <v>211</v>
      </c>
      <c r="Y458" t="s">
        <v>30</v>
      </c>
    </row>
    <row r="459" spans="1:25" x14ac:dyDescent="0.25">
      <c r="A459" t="s">
        <v>1700</v>
      </c>
      <c r="B459" t="str">
        <f t="shared" si="57"/>
        <v>B/o Ashura Mohamed Seleman</v>
      </c>
      <c r="C459">
        <v>128040</v>
      </c>
      <c r="D459" t="str">
        <f t="shared" si="56"/>
        <v>Unique</v>
      </c>
      <c r="E459" t="s">
        <v>622</v>
      </c>
      <c r="F459" s="3" t="str">
        <f t="shared" si="58"/>
        <v>2/12</v>
      </c>
      <c r="G459" t="s">
        <v>19</v>
      </c>
      <c r="H459" t="str">
        <f t="shared" si="59"/>
        <v>Valid</v>
      </c>
      <c r="I459" t="s">
        <v>33</v>
      </c>
      <c r="J459" t="str">
        <f t="shared" si="60"/>
        <v>Kigoma Ujiji Mc</v>
      </c>
      <c r="K459" t="s">
        <v>21</v>
      </c>
      <c r="L459" t="str" cm="1">
        <f t="array" ref="L459">_xlfn.IFS(
ISNUMBER(SEARCH("ICU",K459)), "ICU",
ISNUMBER(SEARCH("NEONATAL",K459)), PROPER("NEONATAL"),
ISNUMBER(SEARCH("LABOUR",K459)), PROPER("LABOUR"),
ISNUMBER(SEARCH("PAEDIATRIC",K459)), PROPER("PAEDIATRIC"),
ISNUMBER(SEARCH("FEMALE SURGICAL",K459)), PROPER("FEMALE SURG, ORTHO &amp; GYN"),
ISNUMBER(SEARCH("PSYCHIATRIST",K459)), PROPER("PSYCHIATRIST"),
ISNUMBER(SEARCH("GRADE 1",K459)), PROPER("GRADE 1"),
ISNUMBER(SEARCH("MALE SURGICAL",K459)), PROPER("MALE SURG &amp; ORTHOPEDIC"),
ISNUMBER(SEARCH("MALE MEDICAL",K459)), PROPER("MALE MEDICAL"),
ISNUMBER(SEARCH("GRADE 2",K459)), PROPER("GRADE 2"),
ISNUMBER(SEARCH("FEMALE WARD",K459)), PROPER("FEMALE MEDICAL"),
TRUE, "Unmapped: " &amp; K459)</f>
        <v>Neonatal</v>
      </c>
      <c r="M459" t="s">
        <v>22</v>
      </c>
      <c r="O459" t="s">
        <v>1701</v>
      </c>
      <c r="P459" t="str">
        <f t="shared" si="61"/>
        <v>Text Error</v>
      </c>
      <c r="Q459" s="5">
        <v>46033.613391203704</v>
      </c>
      <c r="R459" t="str">
        <f t="shared" si="62"/>
        <v>Valid Date</v>
      </c>
      <c r="S459" t="s">
        <v>1702</v>
      </c>
      <c r="T459" s="5">
        <v>46036.725752314815</v>
      </c>
      <c r="U459">
        <v>3</v>
      </c>
      <c r="V459" t="str">
        <f t="shared" si="63"/>
        <v>OK</v>
      </c>
      <c r="W459" t="s">
        <v>25</v>
      </c>
      <c r="Y459" t="s">
        <v>30</v>
      </c>
    </row>
    <row r="460" spans="1:25" x14ac:dyDescent="0.25">
      <c r="A460" t="s">
        <v>1703</v>
      </c>
      <c r="B460" t="str">
        <f t="shared" si="57"/>
        <v>Josephina C Masirori</v>
      </c>
      <c r="C460">
        <v>90987</v>
      </c>
      <c r="D460" t="str">
        <f t="shared" si="56"/>
        <v>Unique</v>
      </c>
      <c r="E460" t="s">
        <v>175</v>
      </c>
      <c r="F460" s="3">
        <f t="shared" si="58"/>
        <v>8</v>
      </c>
      <c r="G460" t="s">
        <v>32</v>
      </c>
      <c r="H460" t="str">
        <f t="shared" si="59"/>
        <v>Valid</v>
      </c>
      <c r="I460" t="s">
        <v>33</v>
      </c>
      <c r="J460" t="str">
        <f t="shared" si="60"/>
        <v>Kigoma Ujiji Mc</v>
      </c>
      <c r="K460" t="s">
        <v>109</v>
      </c>
      <c r="L460" t="str" cm="1">
        <f t="array" ref="L460">_xlfn.IFS(
ISNUMBER(SEARCH("ICU",K460)), "ICU",
ISNUMBER(SEARCH("NEONATAL",K460)), PROPER("NEONATAL"),
ISNUMBER(SEARCH("LABOUR",K460)), PROPER("LABOUR"),
ISNUMBER(SEARCH("PAEDIATRIC",K460)), PROPER("PAEDIATRIC"),
ISNUMBER(SEARCH("FEMALE SURGICAL",K460)), PROPER("FEMALE SURG, ORTHO &amp; GYN"),
ISNUMBER(SEARCH("PSYCHIATRIST",K460)), PROPER("PSYCHIATRIST"),
ISNUMBER(SEARCH("GRADE 1",K460)), PROPER("GRADE 1"),
ISNUMBER(SEARCH("MALE SURGICAL",K460)), PROPER("MALE SURG &amp; ORTHOPEDIC"),
ISNUMBER(SEARCH("MALE MEDICAL",K460)), PROPER("MALE MEDICAL"),
ISNUMBER(SEARCH("GRADE 2",K460)), PROPER("GRADE 2"),
ISNUMBER(SEARCH("FEMALE WARD",K460)), PROPER("FEMALE MEDICAL"),
TRUE, "Unmapped: " &amp; K460)</f>
        <v>Paediatric</v>
      </c>
      <c r="M460" t="s">
        <v>292</v>
      </c>
      <c r="O460" t="s">
        <v>1704</v>
      </c>
      <c r="P460" t="str">
        <f t="shared" si="61"/>
        <v>Text Error</v>
      </c>
      <c r="Q460" s="5">
        <v>46033.631782407407</v>
      </c>
      <c r="R460" t="str">
        <f t="shared" si="62"/>
        <v>Valid Date</v>
      </c>
      <c r="S460" t="s">
        <v>1705</v>
      </c>
      <c r="T460" s="5">
        <v>46037.584768518522</v>
      </c>
      <c r="U460">
        <v>3</v>
      </c>
      <c r="V460" t="str">
        <f t="shared" si="63"/>
        <v>OK</v>
      </c>
      <c r="W460" t="s">
        <v>25</v>
      </c>
      <c r="Y460" t="s">
        <v>30</v>
      </c>
    </row>
    <row r="461" spans="1:25" x14ac:dyDescent="0.25">
      <c r="A461" t="s">
        <v>1706</v>
      </c>
      <c r="B461" t="str">
        <f t="shared" si="57"/>
        <v>Frotias Paschal Bimbiza</v>
      </c>
      <c r="C461">
        <v>108462</v>
      </c>
      <c r="D461" t="str">
        <f t="shared" si="56"/>
        <v>Unique</v>
      </c>
      <c r="E461" t="s">
        <v>221</v>
      </c>
      <c r="F461" s="3" t="str">
        <f t="shared" si="58"/>
        <v>9/12</v>
      </c>
      <c r="G461" t="s">
        <v>19</v>
      </c>
      <c r="H461" t="str">
        <f t="shared" si="59"/>
        <v>Valid</v>
      </c>
      <c r="I461" t="s">
        <v>33</v>
      </c>
      <c r="J461" t="str">
        <f t="shared" si="60"/>
        <v>Kigoma Ujiji Mc</v>
      </c>
      <c r="K461" t="s">
        <v>109</v>
      </c>
      <c r="L461" t="str" cm="1">
        <f t="array" ref="L461">_xlfn.IFS(
ISNUMBER(SEARCH("ICU",K461)), "ICU",
ISNUMBER(SEARCH("NEONATAL",K461)), PROPER("NEONATAL"),
ISNUMBER(SEARCH("LABOUR",K461)), PROPER("LABOUR"),
ISNUMBER(SEARCH("PAEDIATRIC",K461)), PROPER("PAEDIATRIC"),
ISNUMBER(SEARCH("FEMALE SURGICAL",K461)), PROPER("FEMALE SURG, ORTHO &amp; GYN"),
ISNUMBER(SEARCH("PSYCHIATRIST",K461)), PROPER("PSYCHIATRIST"),
ISNUMBER(SEARCH("GRADE 1",K461)), PROPER("GRADE 1"),
ISNUMBER(SEARCH("MALE SURGICAL",K461)), PROPER("MALE SURG &amp; ORTHOPEDIC"),
ISNUMBER(SEARCH("MALE MEDICAL",K461)), PROPER("MALE MEDICAL"),
ISNUMBER(SEARCH("GRADE 2",K461)), PROPER("GRADE 2"),
ISNUMBER(SEARCH("FEMALE WARD",K461)), PROPER("FEMALE MEDICAL"),
TRUE, "Unmapped: " &amp; K461)</f>
        <v>Paediatric</v>
      </c>
      <c r="M461" t="s">
        <v>22</v>
      </c>
      <c r="O461" t="s">
        <v>1707</v>
      </c>
      <c r="P461" t="str">
        <f t="shared" si="61"/>
        <v>Text Error</v>
      </c>
      <c r="Q461" s="5">
        <v>46033.660543981481</v>
      </c>
      <c r="R461" t="str">
        <f t="shared" si="62"/>
        <v>Valid Date</v>
      </c>
      <c r="S461" t="s">
        <v>1708</v>
      </c>
      <c r="T461" s="5">
        <v>46037.569594907407</v>
      </c>
      <c r="U461">
        <v>3</v>
      </c>
      <c r="V461" t="str">
        <f t="shared" si="63"/>
        <v>OK</v>
      </c>
      <c r="W461" t="s">
        <v>25</v>
      </c>
      <c r="Y461" t="s">
        <v>30</v>
      </c>
    </row>
    <row r="462" spans="1:25" x14ac:dyDescent="0.25">
      <c r="A462" t="s">
        <v>1709</v>
      </c>
      <c r="B462" t="str">
        <f t="shared" si="57"/>
        <v>Pendo Lucas Nkaba</v>
      </c>
      <c r="C462">
        <v>34800</v>
      </c>
      <c r="D462" t="str">
        <f t="shared" si="56"/>
        <v>Unique</v>
      </c>
      <c r="E462" t="s">
        <v>68</v>
      </c>
      <c r="F462" s="3">
        <f t="shared" si="58"/>
        <v>32</v>
      </c>
      <c r="G462" t="s">
        <v>32</v>
      </c>
      <c r="H462" t="str">
        <f t="shared" si="59"/>
        <v>Valid</v>
      </c>
      <c r="I462" t="s">
        <v>227</v>
      </c>
      <c r="J462" t="str">
        <f t="shared" si="60"/>
        <v>KGG</v>
      </c>
      <c r="K462" t="s">
        <v>40</v>
      </c>
      <c r="L462" t="str" cm="1">
        <f t="array" ref="L462">_xlfn.IFS(
ISNUMBER(SEARCH("ICU",K462)), "ICU",
ISNUMBER(SEARCH("NEONATAL",K462)), PROPER("NEONATAL"),
ISNUMBER(SEARCH("LABOUR",K462)), PROPER("LABOUR"),
ISNUMBER(SEARCH("PAEDIATRIC",K462)), PROPER("PAEDIATRIC"),
ISNUMBER(SEARCH("FEMALE SURGICAL",K462)), PROPER("FEMALE SURG, ORTHO &amp; GYN"),
ISNUMBER(SEARCH("PSYCHIATRIST",K462)), PROPER("PSYCHIATRIST"),
ISNUMBER(SEARCH("GRADE 1",K462)), PROPER("GRADE 1"),
ISNUMBER(SEARCH("MALE SURGICAL",K462)), PROPER("MALE SURG &amp; ORTHOPEDIC"),
ISNUMBER(SEARCH("MALE MEDICAL",K462)), PROPER("MALE MEDICAL"),
ISNUMBER(SEARCH("GRADE 2",K462)), PROPER("GRADE 2"),
ISNUMBER(SEARCH("FEMALE WARD",K462)), PROPER("FEMALE MEDICAL"),
TRUE, "Unmapped: " &amp; K462)</f>
        <v>Labour</v>
      </c>
      <c r="M462" t="s">
        <v>22</v>
      </c>
      <c r="O462" t="s">
        <v>1710</v>
      </c>
      <c r="P462" t="str">
        <f t="shared" si="61"/>
        <v>Text Error</v>
      </c>
      <c r="Q462" s="5">
        <v>46033.750821759262</v>
      </c>
      <c r="R462" t="str">
        <f t="shared" si="62"/>
        <v>Valid Date</v>
      </c>
      <c r="S462" t="s">
        <v>1711</v>
      </c>
      <c r="T462" s="5">
        <v>46037.324166666665</v>
      </c>
      <c r="U462">
        <v>3</v>
      </c>
      <c r="V462" t="str">
        <f t="shared" si="63"/>
        <v>OK</v>
      </c>
      <c r="W462" t="s">
        <v>25</v>
      </c>
      <c r="Y462" t="s">
        <v>30</v>
      </c>
    </row>
    <row r="463" spans="1:25" x14ac:dyDescent="0.25">
      <c r="A463" t="s">
        <v>1712</v>
      </c>
      <c r="B463" t="str">
        <f t="shared" si="57"/>
        <v>Prosper Deus Sospiter</v>
      </c>
      <c r="C463">
        <v>116553</v>
      </c>
      <c r="D463" t="str">
        <f t="shared" si="56"/>
        <v>Unique</v>
      </c>
      <c r="E463" t="s">
        <v>108</v>
      </c>
      <c r="F463" s="3">
        <f t="shared" si="58"/>
        <v>2</v>
      </c>
      <c r="G463" t="s">
        <v>19</v>
      </c>
      <c r="H463" t="str">
        <f t="shared" si="59"/>
        <v>Valid</v>
      </c>
      <c r="I463" t="s">
        <v>20</v>
      </c>
      <c r="J463" t="str">
        <f t="shared" si="60"/>
        <v>Uvinza</v>
      </c>
      <c r="K463" t="s">
        <v>109</v>
      </c>
      <c r="L463" t="str" cm="1">
        <f t="array" ref="L463">_xlfn.IFS(
ISNUMBER(SEARCH("ICU",K463)), "ICU",
ISNUMBER(SEARCH("NEONATAL",K463)), PROPER("NEONATAL"),
ISNUMBER(SEARCH("LABOUR",K463)), PROPER("LABOUR"),
ISNUMBER(SEARCH("PAEDIATRIC",K463)), PROPER("PAEDIATRIC"),
ISNUMBER(SEARCH("FEMALE SURGICAL",K463)), PROPER("FEMALE SURG, ORTHO &amp; GYN"),
ISNUMBER(SEARCH("PSYCHIATRIST",K463)), PROPER("PSYCHIATRIST"),
ISNUMBER(SEARCH("GRADE 1",K463)), PROPER("GRADE 1"),
ISNUMBER(SEARCH("MALE SURGICAL",K463)), PROPER("MALE SURG &amp; ORTHOPEDIC"),
ISNUMBER(SEARCH("MALE MEDICAL",K463)), PROPER("MALE MEDICAL"),
ISNUMBER(SEARCH("GRADE 2",K463)), PROPER("GRADE 2"),
ISNUMBER(SEARCH("FEMALE WARD",K463)), PROPER("FEMALE MEDICAL"),
TRUE, "Unmapped: " &amp; K463)</f>
        <v>Paediatric</v>
      </c>
      <c r="M463" t="s">
        <v>22</v>
      </c>
      <c r="O463" t="s">
        <v>1713</v>
      </c>
      <c r="P463" t="str">
        <f t="shared" si="61"/>
        <v>Text Error</v>
      </c>
      <c r="Q463" s="5">
        <v>46034.492997685185</v>
      </c>
      <c r="R463" t="str">
        <f t="shared" si="62"/>
        <v>Valid Date</v>
      </c>
      <c r="S463" t="s">
        <v>1714</v>
      </c>
      <c r="T463" s="5">
        <v>46037.674791666665</v>
      </c>
      <c r="U463">
        <v>3</v>
      </c>
      <c r="V463" t="str">
        <f t="shared" si="63"/>
        <v>OK</v>
      </c>
      <c r="W463" t="s">
        <v>25</v>
      </c>
      <c r="Y463" t="s">
        <v>30</v>
      </c>
    </row>
    <row r="464" spans="1:25" x14ac:dyDescent="0.25">
      <c r="A464" t="s">
        <v>1715</v>
      </c>
      <c r="B464" t="str">
        <f t="shared" si="57"/>
        <v>Venus John Galagula</v>
      </c>
      <c r="C464">
        <v>19065</v>
      </c>
      <c r="D464" t="str">
        <f t="shared" si="56"/>
        <v>Unique</v>
      </c>
      <c r="E464" t="s">
        <v>208</v>
      </c>
      <c r="F464" s="3">
        <f t="shared" si="58"/>
        <v>50</v>
      </c>
      <c r="G464" t="s">
        <v>19</v>
      </c>
      <c r="H464" t="str">
        <f t="shared" si="59"/>
        <v>Valid</v>
      </c>
      <c r="I464" t="s">
        <v>227</v>
      </c>
      <c r="J464" t="str">
        <f t="shared" si="60"/>
        <v>KGG</v>
      </c>
      <c r="K464" t="s">
        <v>484</v>
      </c>
      <c r="L464" t="str" cm="1">
        <f t="array" ref="L464">_xlfn.IFS(
ISNUMBER(SEARCH("ICU",K464)), "ICU",
ISNUMBER(SEARCH("NEONATAL",K464)), PROPER("NEONATAL"),
ISNUMBER(SEARCH("LABOUR",K464)), PROPER("LABOUR"),
ISNUMBER(SEARCH("PAEDIATRIC",K464)), PROPER("PAEDIATRIC"),
ISNUMBER(SEARCH("FEMALE SURGICAL",K464)), PROPER("FEMALE SURG, ORTHO &amp; GYN"),
ISNUMBER(SEARCH("PSYCHIATRIST",K464)), PROPER("PSYCHIATRIST"),
ISNUMBER(SEARCH("GRADE 1",K464)), PROPER("GRADE 1"),
ISNUMBER(SEARCH("MALE SURGICAL",K464)), PROPER("MALE SURG &amp; ORTHOPEDIC"),
ISNUMBER(SEARCH("MALE MEDICAL",K464)), PROPER("MALE MEDICAL"),
ISNUMBER(SEARCH("GRADE 2",K464)), PROPER("GRADE 2"),
ISNUMBER(SEARCH("FEMALE WARD",K464)), PROPER("FEMALE MEDICAL"),
TRUE, "Unmapped: " &amp; K464)</f>
        <v>Male Medical</v>
      </c>
      <c r="M464" t="s">
        <v>22</v>
      </c>
      <c r="O464" t="s">
        <v>1716</v>
      </c>
      <c r="P464" t="str">
        <f t="shared" si="61"/>
        <v>Text Error</v>
      </c>
      <c r="Q464" s="5">
        <v>46034.53565972222</v>
      </c>
      <c r="R464" t="str">
        <f t="shared" si="62"/>
        <v>Valid Date</v>
      </c>
      <c r="S464" t="s">
        <v>1717</v>
      </c>
      <c r="T464" s="5">
        <v>46038.36614583333</v>
      </c>
      <c r="U464">
        <v>3</v>
      </c>
      <c r="V464" t="str">
        <f t="shared" si="63"/>
        <v>OK</v>
      </c>
      <c r="W464" t="s">
        <v>25</v>
      </c>
      <c r="Y464" t="s">
        <v>30</v>
      </c>
    </row>
    <row r="465" spans="1:25" x14ac:dyDescent="0.25">
      <c r="A465" t="s">
        <v>1718</v>
      </c>
      <c r="B465" t="str">
        <f t="shared" si="57"/>
        <v>Baby Of Bahati Swed Lembe</v>
      </c>
      <c r="C465">
        <v>128154</v>
      </c>
      <c r="D465" t="str">
        <f t="shared" si="56"/>
        <v>Unique</v>
      </c>
      <c r="E465" t="s">
        <v>622</v>
      </c>
      <c r="F465" s="3" t="str">
        <f t="shared" si="58"/>
        <v>2/12</v>
      </c>
      <c r="G465" t="s">
        <v>19</v>
      </c>
      <c r="H465" t="str">
        <f t="shared" si="59"/>
        <v>Valid</v>
      </c>
      <c r="I465" t="s">
        <v>33</v>
      </c>
      <c r="J465" t="str">
        <f t="shared" si="60"/>
        <v>Kigoma Ujiji Mc</v>
      </c>
      <c r="K465" t="s">
        <v>21</v>
      </c>
      <c r="L465" t="str" cm="1">
        <f t="array" ref="L465">_xlfn.IFS(
ISNUMBER(SEARCH("ICU",K465)), "ICU",
ISNUMBER(SEARCH("NEONATAL",K465)), PROPER("NEONATAL"),
ISNUMBER(SEARCH("LABOUR",K465)), PROPER("LABOUR"),
ISNUMBER(SEARCH("PAEDIATRIC",K465)), PROPER("PAEDIATRIC"),
ISNUMBER(SEARCH("FEMALE SURGICAL",K465)), PROPER("FEMALE SURG, ORTHO &amp; GYN"),
ISNUMBER(SEARCH("PSYCHIATRIST",K465)), PROPER("PSYCHIATRIST"),
ISNUMBER(SEARCH("GRADE 1",K465)), PROPER("GRADE 1"),
ISNUMBER(SEARCH("MALE SURGICAL",K465)), PROPER("MALE SURG &amp; ORTHOPEDIC"),
ISNUMBER(SEARCH("MALE MEDICAL",K465)), PROPER("MALE MEDICAL"),
ISNUMBER(SEARCH("GRADE 2",K465)), PROPER("GRADE 2"),
ISNUMBER(SEARCH("FEMALE WARD",K465)), PROPER("FEMALE MEDICAL"),
TRUE, "Unmapped: " &amp; K465)</f>
        <v>Neonatal</v>
      </c>
      <c r="M465" t="s">
        <v>22</v>
      </c>
      <c r="O465" t="s">
        <v>1719</v>
      </c>
      <c r="P465" t="str">
        <f t="shared" si="61"/>
        <v>Text Error</v>
      </c>
      <c r="Q465" s="5">
        <v>46034.738703703704</v>
      </c>
      <c r="R465" t="str">
        <f t="shared" si="62"/>
        <v>Valid Date</v>
      </c>
      <c r="S465" t="s">
        <v>1720</v>
      </c>
      <c r="T465" s="5">
        <v>46038.514953703707</v>
      </c>
      <c r="U465">
        <v>3</v>
      </c>
      <c r="V465" t="str">
        <f t="shared" si="63"/>
        <v>OK</v>
      </c>
      <c r="W465" t="s">
        <v>25</v>
      </c>
      <c r="Y465" t="s">
        <v>30</v>
      </c>
    </row>
    <row r="466" spans="1:25" x14ac:dyDescent="0.25">
      <c r="A466" t="s">
        <v>1721</v>
      </c>
      <c r="B466" t="str">
        <f t="shared" si="57"/>
        <v>Mariam Eliud Elisha</v>
      </c>
      <c r="C466">
        <v>128306</v>
      </c>
      <c r="D466" t="str">
        <f t="shared" si="56"/>
        <v>Unique</v>
      </c>
      <c r="E466" t="s">
        <v>646</v>
      </c>
      <c r="F466" s="3">
        <f t="shared" si="58"/>
        <v>6</v>
      </c>
      <c r="G466" t="s">
        <v>32</v>
      </c>
      <c r="H466" t="str">
        <f t="shared" si="59"/>
        <v>Valid</v>
      </c>
      <c r="I466" t="s">
        <v>62</v>
      </c>
      <c r="J466" t="str">
        <f t="shared" si="60"/>
        <v>Kigoma Vijijini</v>
      </c>
      <c r="K466" t="s">
        <v>109</v>
      </c>
      <c r="L466" t="str" cm="1">
        <f t="array" ref="L466">_xlfn.IFS(
ISNUMBER(SEARCH("ICU",K466)), "ICU",
ISNUMBER(SEARCH("NEONATAL",K466)), PROPER("NEONATAL"),
ISNUMBER(SEARCH("LABOUR",K466)), PROPER("LABOUR"),
ISNUMBER(SEARCH("PAEDIATRIC",K466)), PROPER("PAEDIATRIC"),
ISNUMBER(SEARCH("FEMALE SURGICAL",K466)), PROPER("FEMALE SURG, ORTHO &amp; GYN"),
ISNUMBER(SEARCH("PSYCHIATRIST",K466)), PROPER("PSYCHIATRIST"),
ISNUMBER(SEARCH("GRADE 1",K466)), PROPER("GRADE 1"),
ISNUMBER(SEARCH("MALE SURGICAL",K466)), PROPER("MALE SURG &amp; ORTHOPEDIC"),
ISNUMBER(SEARCH("MALE MEDICAL",K466)), PROPER("MALE MEDICAL"),
ISNUMBER(SEARCH("GRADE 2",K466)), PROPER("GRADE 2"),
ISNUMBER(SEARCH("FEMALE WARD",K466)), PROPER("FEMALE MEDICAL"),
TRUE, "Unmapped: " &amp; K466)</f>
        <v>Paediatric</v>
      </c>
      <c r="M466" t="s">
        <v>22</v>
      </c>
      <c r="O466" t="s">
        <v>1722</v>
      </c>
      <c r="P466" t="str">
        <f t="shared" si="61"/>
        <v>Text Error</v>
      </c>
      <c r="Q466" s="5">
        <v>46035.794293981482</v>
      </c>
      <c r="R466" t="str">
        <f t="shared" si="62"/>
        <v>Valid Date</v>
      </c>
      <c r="S466" t="s">
        <v>1723</v>
      </c>
      <c r="T466" s="5">
        <v>46039.739074074074</v>
      </c>
      <c r="U466">
        <v>3</v>
      </c>
      <c r="V466" t="str">
        <f t="shared" si="63"/>
        <v>OK</v>
      </c>
      <c r="W466" t="s">
        <v>25</v>
      </c>
      <c r="Y466" t="s">
        <v>30</v>
      </c>
    </row>
    <row r="467" spans="1:25" x14ac:dyDescent="0.25">
      <c r="A467" t="s">
        <v>1724</v>
      </c>
      <c r="B467" t="str">
        <f t="shared" si="57"/>
        <v>Edisa Dominiko Mkuyu</v>
      </c>
      <c r="C467">
        <v>128451</v>
      </c>
      <c r="D467" t="str">
        <f t="shared" si="56"/>
        <v>Unique</v>
      </c>
      <c r="E467" t="s">
        <v>80</v>
      </c>
      <c r="F467" s="3">
        <f t="shared" si="58"/>
        <v>24</v>
      </c>
      <c r="G467" t="s">
        <v>32</v>
      </c>
      <c r="H467" t="str">
        <f t="shared" si="59"/>
        <v>Valid</v>
      </c>
      <c r="I467" t="s">
        <v>33</v>
      </c>
      <c r="J467" t="str">
        <f t="shared" si="60"/>
        <v>Kigoma Ujiji Mc</v>
      </c>
      <c r="K467" t="s">
        <v>40</v>
      </c>
      <c r="L467" t="str" cm="1">
        <f t="array" ref="L467">_xlfn.IFS(
ISNUMBER(SEARCH("ICU",K467)), "ICU",
ISNUMBER(SEARCH("NEONATAL",K467)), PROPER("NEONATAL"),
ISNUMBER(SEARCH("LABOUR",K467)), PROPER("LABOUR"),
ISNUMBER(SEARCH("PAEDIATRIC",K467)), PROPER("PAEDIATRIC"),
ISNUMBER(SEARCH("FEMALE SURGICAL",K467)), PROPER("FEMALE SURG, ORTHO &amp; GYN"),
ISNUMBER(SEARCH("PSYCHIATRIST",K467)), PROPER("PSYCHIATRIST"),
ISNUMBER(SEARCH("GRADE 1",K467)), PROPER("GRADE 1"),
ISNUMBER(SEARCH("MALE SURGICAL",K467)), PROPER("MALE SURG &amp; ORTHOPEDIC"),
ISNUMBER(SEARCH("MALE MEDICAL",K467)), PROPER("MALE MEDICAL"),
ISNUMBER(SEARCH("GRADE 2",K467)), PROPER("GRADE 2"),
ISNUMBER(SEARCH("FEMALE WARD",K467)), PROPER("FEMALE MEDICAL"),
TRUE, "Unmapped: " &amp; K467)</f>
        <v>Labour</v>
      </c>
      <c r="M467" t="s">
        <v>22</v>
      </c>
      <c r="O467" t="s">
        <v>1725</v>
      </c>
      <c r="P467" t="str">
        <f t="shared" si="61"/>
        <v>Text Error</v>
      </c>
      <c r="Q467" s="5">
        <v>46036.690868055557</v>
      </c>
      <c r="R467" t="str">
        <f t="shared" si="62"/>
        <v>Valid Date</v>
      </c>
      <c r="S467" t="s">
        <v>1726</v>
      </c>
      <c r="T467" s="5">
        <v>46039.799560185187</v>
      </c>
      <c r="U467">
        <v>3</v>
      </c>
      <c r="V467" t="str">
        <f t="shared" si="63"/>
        <v>OK</v>
      </c>
      <c r="W467" t="s">
        <v>25</v>
      </c>
      <c r="Y467" t="s">
        <v>30</v>
      </c>
    </row>
    <row r="468" spans="1:25" x14ac:dyDescent="0.25">
      <c r="A468" t="s">
        <v>1727</v>
      </c>
      <c r="B468" t="str">
        <f t="shared" si="57"/>
        <v>Diana Patrick Kazyoba</v>
      </c>
      <c r="C468">
        <v>128470</v>
      </c>
      <c r="D468" t="str">
        <f t="shared" si="56"/>
        <v>Unique</v>
      </c>
      <c r="E468" t="s">
        <v>296</v>
      </c>
      <c r="F468" s="3">
        <f t="shared" si="58"/>
        <v>26</v>
      </c>
      <c r="G468" t="s">
        <v>32</v>
      </c>
      <c r="H468" t="str">
        <f t="shared" si="59"/>
        <v>Valid</v>
      </c>
      <c r="I468" t="s">
        <v>260</v>
      </c>
      <c r="J468" t="str">
        <f t="shared" si="60"/>
        <v>Kasulu</v>
      </c>
      <c r="K468" t="s">
        <v>40</v>
      </c>
      <c r="L468" t="str" cm="1">
        <f t="array" ref="L468">_xlfn.IFS(
ISNUMBER(SEARCH("ICU",K468)), "ICU",
ISNUMBER(SEARCH("NEONATAL",K468)), PROPER("NEONATAL"),
ISNUMBER(SEARCH("LABOUR",K468)), PROPER("LABOUR"),
ISNUMBER(SEARCH("PAEDIATRIC",K468)), PROPER("PAEDIATRIC"),
ISNUMBER(SEARCH("FEMALE SURGICAL",K468)), PROPER("FEMALE SURG, ORTHO &amp; GYN"),
ISNUMBER(SEARCH("PSYCHIATRIST",K468)), PROPER("PSYCHIATRIST"),
ISNUMBER(SEARCH("GRADE 1",K468)), PROPER("GRADE 1"),
ISNUMBER(SEARCH("MALE SURGICAL",K468)), PROPER("MALE SURG &amp; ORTHOPEDIC"),
ISNUMBER(SEARCH("MALE MEDICAL",K468)), PROPER("MALE MEDICAL"),
ISNUMBER(SEARCH("GRADE 2",K468)), PROPER("GRADE 2"),
ISNUMBER(SEARCH("FEMALE WARD",K468)), PROPER("FEMALE MEDICAL"),
TRUE, "Unmapped: " &amp; K468)</f>
        <v>Labour</v>
      </c>
      <c r="M468" t="s">
        <v>22</v>
      </c>
      <c r="O468" t="s">
        <v>1728</v>
      </c>
      <c r="P468" t="str">
        <f t="shared" si="61"/>
        <v>Text Error</v>
      </c>
      <c r="Q468" s="5">
        <v>46037.006909722222</v>
      </c>
      <c r="R468" t="str">
        <f t="shared" si="62"/>
        <v>Valid Date</v>
      </c>
      <c r="S468" t="s">
        <v>1729</v>
      </c>
      <c r="T468" s="5">
        <v>46040.769270833334</v>
      </c>
      <c r="U468">
        <v>3</v>
      </c>
      <c r="V468" t="str">
        <f t="shared" si="63"/>
        <v>OK</v>
      </c>
      <c r="W468" t="s">
        <v>25</v>
      </c>
      <c r="Y468" t="s">
        <v>30</v>
      </c>
    </row>
    <row r="469" spans="1:25" x14ac:dyDescent="0.25">
      <c r="A469" t="s">
        <v>1730</v>
      </c>
      <c r="B469" t="str">
        <f t="shared" si="57"/>
        <v>Boniphace Bahumenye Busigaliye</v>
      </c>
      <c r="C469">
        <v>128509</v>
      </c>
      <c r="D469" t="str">
        <f t="shared" si="56"/>
        <v>Unique</v>
      </c>
      <c r="E469" t="s">
        <v>922</v>
      </c>
      <c r="F469" s="3">
        <f t="shared" si="58"/>
        <v>65</v>
      </c>
      <c r="G469" t="s">
        <v>19</v>
      </c>
      <c r="H469" t="str">
        <f t="shared" si="59"/>
        <v>Valid</v>
      </c>
      <c r="I469" t="s">
        <v>130</v>
      </c>
      <c r="J469" t="str">
        <f t="shared" si="60"/>
        <v>Buhigwe</v>
      </c>
      <c r="K469" t="s">
        <v>484</v>
      </c>
      <c r="L469" t="str" cm="1">
        <f t="array" ref="L469">_xlfn.IFS(
ISNUMBER(SEARCH("ICU",K469)), "ICU",
ISNUMBER(SEARCH("NEONATAL",K469)), PROPER("NEONATAL"),
ISNUMBER(SEARCH("LABOUR",K469)), PROPER("LABOUR"),
ISNUMBER(SEARCH("PAEDIATRIC",K469)), PROPER("PAEDIATRIC"),
ISNUMBER(SEARCH("FEMALE SURGICAL",K469)), PROPER("FEMALE SURG, ORTHO &amp; GYN"),
ISNUMBER(SEARCH("PSYCHIATRIST",K469)), PROPER("PSYCHIATRIST"),
ISNUMBER(SEARCH("GRADE 1",K469)), PROPER("GRADE 1"),
ISNUMBER(SEARCH("MALE SURGICAL",K469)), PROPER("MALE SURG &amp; ORTHOPEDIC"),
ISNUMBER(SEARCH("MALE MEDICAL",K469)), PROPER("MALE MEDICAL"),
ISNUMBER(SEARCH("GRADE 2",K469)), PROPER("GRADE 2"),
ISNUMBER(SEARCH("FEMALE WARD",K469)), PROPER("FEMALE MEDICAL"),
TRUE, "Unmapped: " &amp; K469)</f>
        <v>Male Medical</v>
      </c>
      <c r="M469" t="s">
        <v>22</v>
      </c>
      <c r="O469" t="s">
        <v>1731</v>
      </c>
      <c r="P469" t="str">
        <f t="shared" si="61"/>
        <v>Text Error</v>
      </c>
      <c r="Q469" s="5">
        <v>46037.600706018522</v>
      </c>
      <c r="R469" t="str">
        <f t="shared" si="62"/>
        <v>Valid Date</v>
      </c>
      <c r="S469" t="s">
        <v>1732</v>
      </c>
      <c r="T469" s="5">
        <v>46041.484710648147</v>
      </c>
      <c r="U469">
        <v>3</v>
      </c>
      <c r="V469" t="str">
        <f t="shared" si="63"/>
        <v>OK</v>
      </c>
      <c r="W469" t="s">
        <v>211</v>
      </c>
      <c r="Y469" t="s">
        <v>30</v>
      </c>
    </row>
    <row r="470" spans="1:25" x14ac:dyDescent="0.25">
      <c r="A470" t="s">
        <v>1733</v>
      </c>
      <c r="B470" t="str">
        <f t="shared" si="57"/>
        <v>Baby Of Halima Sudi Omary</v>
      </c>
      <c r="C470">
        <v>128565</v>
      </c>
      <c r="D470" t="str">
        <f t="shared" si="56"/>
        <v>Unique</v>
      </c>
      <c r="E470" t="s">
        <v>622</v>
      </c>
      <c r="F470" s="3" t="str">
        <f t="shared" si="58"/>
        <v>2/12</v>
      </c>
      <c r="G470" t="s">
        <v>32</v>
      </c>
      <c r="H470" t="str">
        <f t="shared" si="59"/>
        <v>Valid</v>
      </c>
      <c r="I470" t="s">
        <v>33</v>
      </c>
      <c r="J470" t="str">
        <f t="shared" si="60"/>
        <v>Kigoma Ujiji Mc</v>
      </c>
      <c r="K470" t="s">
        <v>21</v>
      </c>
      <c r="L470" t="str" cm="1">
        <f t="array" ref="L470">_xlfn.IFS(
ISNUMBER(SEARCH("ICU",K470)), "ICU",
ISNUMBER(SEARCH("NEONATAL",K470)), PROPER("NEONATAL"),
ISNUMBER(SEARCH("LABOUR",K470)), PROPER("LABOUR"),
ISNUMBER(SEARCH("PAEDIATRIC",K470)), PROPER("PAEDIATRIC"),
ISNUMBER(SEARCH("FEMALE SURGICAL",K470)), PROPER("FEMALE SURG, ORTHO &amp; GYN"),
ISNUMBER(SEARCH("PSYCHIATRIST",K470)), PROPER("PSYCHIATRIST"),
ISNUMBER(SEARCH("GRADE 1",K470)), PROPER("GRADE 1"),
ISNUMBER(SEARCH("MALE SURGICAL",K470)), PROPER("MALE SURG &amp; ORTHOPEDIC"),
ISNUMBER(SEARCH("MALE MEDICAL",K470)), PROPER("MALE MEDICAL"),
ISNUMBER(SEARCH("GRADE 2",K470)), PROPER("GRADE 2"),
ISNUMBER(SEARCH("FEMALE WARD",K470)), PROPER("FEMALE MEDICAL"),
TRUE, "Unmapped: " &amp; K470)</f>
        <v>Neonatal</v>
      </c>
      <c r="M470" t="s">
        <v>22</v>
      </c>
      <c r="O470" t="s">
        <v>1734</v>
      </c>
      <c r="P470" t="str">
        <f t="shared" si="61"/>
        <v>Text Error</v>
      </c>
      <c r="Q470" s="5">
        <v>46037.934884259259</v>
      </c>
      <c r="R470" t="str">
        <f t="shared" si="62"/>
        <v>Valid Date</v>
      </c>
      <c r="S470" t="s">
        <v>1735</v>
      </c>
      <c r="T470" s="5">
        <v>46041.45921296296</v>
      </c>
      <c r="U470">
        <v>3</v>
      </c>
      <c r="V470" t="str">
        <f t="shared" si="63"/>
        <v>OK</v>
      </c>
      <c r="W470" t="s">
        <v>25</v>
      </c>
      <c r="Y470" t="s">
        <v>30</v>
      </c>
    </row>
    <row r="471" spans="1:25" x14ac:dyDescent="0.25">
      <c r="A471" t="s">
        <v>1736</v>
      </c>
      <c r="B471" t="str">
        <f t="shared" si="57"/>
        <v>Asma Abala Mzelela</v>
      </c>
      <c r="C471">
        <v>128576</v>
      </c>
      <c r="D471" t="str">
        <f t="shared" si="56"/>
        <v>Unique</v>
      </c>
      <c r="E471" t="s">
        <v>215</v>
      </c>
      <c r="F471" s="3">
        <f t="shared" si="58"/>
        <v>25</v>
      </c>
      <c r="G471" t="s">
        <v>32</v>
      </c>
      <c r="H471" t="str">
        <f t="shared" si="59"/>
        <v>Valid</v>
      </c>
      <c r="I471" t="s">
        <v>33</v>
      </c>
      <c r="J471" t="str">
        <f t="shared" si="60"/>
        <v>Kigoma Ujiji Mc</v>
      </c>
      <c r="K471" t="s">
        <v>40</v>
      </c>
      <c r="L471" t="str" cm="1">
        <f t="array" ref="L471">_xlfn.IFS(
ISNUMBER(SEARCH("ICU",K471)), "ICU",
ISNUMBER(SEARCH("NEONATAL",K471)), PROPER("NEONATAL"),
ISNUMBER(SEARCH("LABOUR",K471)), PROPER("LABOUR"),
ISNUMBER(SEARCH("PAEDIATRIC",K471)), PROPER("PAEDIATRIC"),
ISNUMBER(SEARCH("FEMALE SURGICAL",K471)), PROPER("FEMALE SURG, ORTHO &amp; GYN"),
ISNUMBER(SEARCH("PSYCHIATRIST",K471)), PROPER("PSYCHIATRIST"),
ISNUMBER(SEARCH("GRADE 1",K471)), PROPER("GRADE 1"),
ISNUMBER(SEARCH("MALE SURGICAL",K471)), PROPER("MALE SURG &amp; ORTHOPEDIC"),
ISNUMBER(SEARCH("MALE MEDICAL",K471)), PROPER("MALE MEDICAL"),
ISNUMBER(SEARCH("GRADE 2",K471)), PROPER("GRADE 2"),
ISNUMBER(SEARCH("FEMALE WARD",K471)), PROPER("FEMALE MEDICAL"),
TRUE, "Unmapped: " &amp; K471)</f>
        <v>Labour</v>
      </c>
      <c r="M471" t="s">
        <v>22</v>
      </c>
      <c r="O471" t="s">
        <v>1737</v>
      </c>
      <c r="P471" t="str">
        <f t="shared" si="61"/>
        <v>Text Error</v>
      </c>
      <c r="Q471" s="5">
        <v>46038.336261574077</v>
      </c>
      <c r="R471" t="str">
        <f t="shared" si="62"/>
        <v>Valid Date</v>
      </c>
      <c r="S471" t="s">
        <v>1738</v>
      </c>
      <c r="T471" s="5">
        <v>46041.662222222221</v>
      </c>
      <c r="U471">
        <v>3</v>
      </c>
      <c r="V471" t="str">
        <f t="shared" si="63"/>
        <v>OK</v>
      </c>
      <c r="W471" t="s">
        <v>25</v>
      </c>
      <c r="Y471" t="s">
        <v>30</v>
      </c>
    </row>
    <row r="472" spans="1:25" x14ac:dyDescent="0.25">
      <c r="A472" t="s">
        <v>1739</v>
      </c>
      <c r="B472" t="str">
        <f t="shared" si="57"/>
        <v>Hamidu Said Ntilubaye</v>
      </c>
      <c r="C472">
        <v>3264</v>
      </c>
      <c r="D472" t="str">
        <f t="shared" si="56"/>
        <v>Unique</v>
      </c>
      <c r="E472" t="s">
        <v>577</v>
      </c>
      <c r="F472" s="3">
        <f t="shared" si="58"/>
        <v>47</v>
      </c>
      <c r="G472" t="s">
        <v>19</v>
      </c>
      <c r="H472" t="str">
        <f t="shared" si="59"/>
        <v>Valid</v>
      </c>
      <c r="I472" t="s">
        <v>754</v>
      </c>
      <c r="J472" t="str">
        <f t="shared" si="60"/>
        <v>KG</v>
      </c>
      <c r="K472" t="s">
        <v>484</v>
      </c>
      <c r="L472" t="str" cm="1">
        <f t="array" ref="L472">_xlfn.IFS(
ISNUMBER(SEARCH("ICU",K472)), "ICU",
ISNUMBER(SEARCH("NEONATAL",K472)), PROPER("NEONATAL"),
ISNUMBER(SEARCH("LABOUR",K472)), PROPER("LABOUR"),
ISNUMBER(SEARCH("PAEDIATRIC",K472)), PROPER("PAEDIATRIC"),
ISNUMBER(SEARCH("FEMALE SURGICAL",K472)), PROPER("FEMALE SURG, ORTHO &amp; GYN"),
ISNUMBER(SEARCH("PSYCHIATRIST",K472)), PROPER("PSYCHIATRIST"),
ISNUMBER(SEARCH("GRADE 1",K472)), PROPER("GRADE 1"),
ISNUMBER(SEARCH("MALE SURGICAL",K472)), PROPER("MALE SURG &amp; ORTHOPEDIC"),
ISNUMBER(SEARCH("MALE MEDICAL",K472)), PROPER("MALE MEDICAL"),
ISNUMBER(SEARCH("GRADE 2",K472)), PROPER("GRADE 2"),
ISNUMBER(SEARCH("FEMALE WARD",K472)), PROPER("FEMALE MEDICAL"),
TRUE, "Unmapped: " &amp; K472)</f>
        <v>Male Medical</v>
      </c>
      <c r="M472" t="s">
        <v>22</v>
      </c>
      <c r="O472" t="s">
        <v>1740</v>
      </c>
      <c r="P472" t="str">
        <f t="shared" si="61"/>
        <v>Text Error</v>
      </c>
      <c r="Q472" s="5">
        <v>46038.992592592593</v>
      </c>
      <c r="R472" t="str">
        <f t="shared" si="62"/>
        <v>Valid Date</v>
      </c>
      <c r="S472" t="s">
        <v>1741</v>
      </c>
      <c r="T472" s="5">
        <v>46042.746400462966</v>
      </c>
      <c r="U472">
        <v>3</v>
      </c>
      <c r="V472" t="str">
        <f t="shared" si="63"/>
        <v>OK</v>
      </c>
      <c r="W472" t="s">
        <v>25</v>
      </c>
      <c r="Y472" t="s">
        <v>30</v>
      </c>
    </row>
    <row r="473" spans="1:25" x14ac:dyDescent="0.25">
      <c r="A473" t="s">
        <v>1742</v>
      </c>
      <c r="B473" t="str">
        <f t="shared" si="57"/>
        <v>Daniel Alfred Luchumo</v>
      </c>
      <c r="C473">
        <v>125686</v>
      </c>
      <c r="D473" t="str">
        <f t="shared" si="56"/>
        <v>Unique</v>
      </c>
      <c r="E473" t="s">
        <v>450</v>
      </c>
      <c r="F473" s="3">
        <f t="shared" si="58"/>
        <v>45</v>
      </c>
      <c r="G473" t="s">
        <v>19</v>
      </c>
      <c r="H473" t="str">
        <f t="shared" si="59"/>
        <v>Valid</v>
      </c>
      <c r="I473" t="s">
        <v>20</v>
      </c>
      <c r="J473" t="str">
        <f t="shared" si="60"/>
        <v>Uvinza</v>
      </c>
      <c r="K473" t="s">
        <v>428</v>
      </c>
      <c r="L473" t="str" cm="1">
        <f t="array" ref="L473">_xlfn.IFS(
ISNUMBER(SEARCH("ICU",K473)), "ICU",
ISNUMBER(SEARCH("NEONATAL",K473)), PROPER("NEONATAL"),
ISNUMBER(SEARCH("LABOUR",K473)), PROPER("LABOUR"),
ISNUMBER(SEARCH("PAEDIATRIC",K473)), PROPER("PAEDIATRIC"),
ISNUMBER(SEARCH("FEMALE SURGICAL",K473)), PROPER("FEMALE SURG, ORTHO &amp; GYN"),
ISNUMBER(SEARCH("PSYCHIATRIST",K473)), PROPER("PSYCHIATRIST"),
ISNUMBER(SEARCH("GRADE 1",K473)), PROPER("GRADE 1"),
ISNUMBER(SEARCH("MALE SURGICAL",K473)), PROPER("MALE SURG &amp; ORTHOPEDIC"),
ISNUMBER(SEARCH("MALE MEDICAL",K473)), PROPER("MALE MEDICAL"),
ISNUMBER(SEARCH("GRADE 2",K473)), PROPER("GRADE 2"),
ISNUMBER(SEARCH("FEMALE WARD",K473)), PROPER("FEMALE MEDICAL"),
TRUE, "Unmapped: " &amp; K473)</f>
        <v>Male Surg &amp; Orthopedic</v>
      </c>
      <c r="M473" t="s">
        <v>22</v>
      </c>
      <c r="O473" t="s">
        <v>1743</v>
      </c>
      <c r="P473" t="str">
        <f t="shared" si="61"/>
        <v>Text Error</v>
      </c>
      <c r="Q473" s="5">
        <v>46039.783796296295</v>
      </c>
      <c r="R473" t="str">
        <f t="shared" si="62"/>
        <v>Valid Date</v>
      </c>
      <c r="S473" t="s">
        <v>1744</v>
      </c>
      <c r="T473" s="5">
        <v>46043.744837962964</v>
      </c>
      <c r="U473">
        <v>3</v>
      </c>
      <c r="V473" t="str">
        <f t="shared" si="63"/>
        <v>OK</v>
      </c>
      <c r="W473" t="s">
        <v>25</v>
      </c>
      <c r="Y473" t="s">
        <v>30</v>
      </c>
    </row>
    <row r="474" spans="1:25" x14ac:dyDescent="0.25">
      <c r="A474" t="s">
        <v>1746</v>
      </c>
      <c r="B474" t="str">
        <f t="shared" si="57"/>
        <v>Fales Jacobo Dungu</v>
      </c>
      <c r="C474">
        <v>128733</v>
      </c>
      <c r="D474" t="str">
        <f t="shared" si="56"/>
        <v>Unique</v>
      </c>
      <c r="E474" t="s">
        <v>454</v>
      </c>
      <c r="F474" s="3">
        <f t="shared" si="58"/>
        <v>3</v>
      </c>
      <c r="G474" t="s">
        <v>19</v>
      </c>
      <c r="H474" t="str">
        <f t="shared" si="59"/>
        <v>Valid</v>
      </c>
      <c r="I474" t="s">
        <v>260</v>
      </c>
      <c r="J474" t="str">
        <f t="shared" si="60"/>
        <v>Kasulu</v>
      </c>
      <c r="K474" t="s">
        <v>109</v>
      </c>
      <c r="L474" t="str" cm="1">
        <f t="array" ref="L474">_xlfn.IFS(
ISNUMBER(SEARCH("ICU",K474)), "ICU",
ISNUMBER(SEARCH("NEONATAL",K474)), PROPER("NEONATAL"),
ISNUMBER(SEARCH("LABOUR",K474)), PROPER("LABOUR"),
ISNUMBER(SEARCH("PAEDIATRIC",K474)), PROPER("PAEDIATRIC"),
ISNUMBER(SEARCH("FEMALE SURGICAL",K474)), PROPER("FEMALE SURG, ORTHO &amp; GYN"),
ISNUMBER(SEARCH("PSYCHIATRIST",K474)), PROPER("PSYCHIATRIST"),
ISNUMBER(SEARCH("GRADE 1",K474)), PROPER("GRADE 1"),
ISNUMBER(SEARCH("MALE SURGICAL",K474)), PROPER("MALE SURG &amp; ORTHOPEDIC"),
ISNUMBER(SEARCH("MALE MEDICAL",K474)), PROPER("MALE MEDICAL"),
ISNUMBER(SEARCH("GRADE 2",K474)), PROPER("GRADE 2"),
ISNUMBER(SEARCH("FEMALE WARD",K474)), PROPER("FEMALE MEDICAL"),
TRUE, "Unmapped: " &amp; K474)</f>
        <v>Paediatric</v>
      </c>
      <c r="M474" t="s">
        <v>22</v>
      </c>
      <c r="O474" t="s">
        <v>1747</v>
      </c>
      <c r="P474" t="str">
        <f t="shared" si="61"/>
        <v>Text Error</v>
      </c>
      <c r="Q474" s="5">
        <v>46039.788715277777</v>
      </c>
      <c r="R474" t="str">
        <f t="shared" si="62"/>
        <v>Valid Date</v>
      </c>
      <c r="S474" t="s">
        <v>1748</v>
      </c>
      <c r="T474" s="5">
        <v>46043.700648148151</v>
      </c>
      <c r="U474">
        <v>3</v>
      </c>
      <c r="V474" t="str">
        <f t="shared" si="63"/>
        <v>OK</v>
      </c>
      <c r="W474" t="s">
        <v>25</v>
      </c>
      <c r="Y474" t="s">
        <v>30</v>
      </c>
    </row>
    <row r="475" spans="1:25" x14ac:dyDescent="0.25">
      <c r="A475" t="s">
        <v>1749</v>
      </c>
      <c r="B475" t="str">
        <f t="shared" si="57"/>
        <v>Asha Sadati Sadiki</v>
      </c>
      <c r="C475">
        <v>128732</v>
      </c>
      <c r="D475" t="str">
        <f t="shared" si="56"/>
        <v>Unique</v>
      </c>
      <c r="E475" t="s">
        <v>142</v>
      </c>
      <c r="F475" s="3">
        <f t="shared" si="58"/>
        <v>20</v>
      </c>
      <c r="G475" t="s">
        <v>32</v>
      </c>
      <c r="H475" t="str">
        <f t="shared" si="59"/>
        <v>Valid</v>
      </c>
      <c r="I475" t="s">
        <v>33</v>
      </c>
      <c r="J475" t="str">
        <f t="shared" si="60"/>
        <v>Kigoma Ujiji Mc</v>
      </c>
      <c r="K475" t="s">
        <v>123</v>
      </c>
      <c r="L475" t="str" cm="1">
        <f t="array" ref="L475">_xlfn.IFS(
ISNUMBER(SEARCH("ICU",K475)), "ICU",
ISNUMBER(SEARCH("NEONATAL",K475)), PROPER("NEONATAL"),
ISNUMBER(SEARCH("LABOUR",K475)), PROPER("LABOUR"),
ISNUMBER(SEARCH("PAEDIATRIC",K475)), PROPER("PAEDIATRIC"),
ISNUMBER(SEARCH("FEMALE SURGICAL",K475)), PROPER("FEMALE SURG, ORTHO &amp; GYN"),
ISNUMBER(SEARCH("PSYCHIATRIST",K475)), PROPER("PSYCHIATRIST"),
ISNUMBER(SEARCH("GRADE 1",K475)), PROPER("GRADE 1"),
ISNUMBER(SEARCH("MALE SURGICAL",K475)), PROPER("MALE SURG &amp; ORTHOPEDIC"),
ISNUMBER(SEARCH("MALE MEDICAL",K475)), PROPER("MALE MEDICAL"),
ISNUMBER(SEARCH("GRADE 2",K475)), PROPER("GRADE 2"),
ISNUMBER(SEARCH("FEMALE WARD",K475)), PROPER("FEMALE MEDICAL"),
TRUE, "Unmapped: " &amp; K475)</f>
        <v>Female Surg, Ortho &amp; Gyn</v>
      </c>
      <c r="M475" t="s">
        <v>22</v>
      </c>
      <c r="O475" t="s">
        <v>1750</v>
      </c>
      <c r="P475" t="str">
        <f t="shared" si="61"/>
        <v>Text Error</v>
      </c>
      <c r="Q475" s="5">
        <v>46039.792361111111</v>
      </c>
      <c r="R475" t="str">
        <f t="shared" si="62"/>
        <v>Valid Date</v>
      </c>
      <c r="S475" t="s">
        <v>1751</v>
      </c>
      <c r="T475" s="5">
        <v>46043.638877314814</v>
      </c>
      <c r="U475">
        <v>3</v>
      </c>
      <c r="V475" t="str">
        <f t="shared" si="63"/>
        <v>OK</v>
      </c>
      <c r="W475" t="s">
        <v>25</v>
      </c>
      <c r="Y475" t="s">
        <v>30</v>
      </c>
    </row>
    <row r="476" spans="1:25" x14ac:dyDescent="0.25">
      <c r="A476" t="s">
        <v>1752</v>
      </c>
      <c r="B476" t="str">
        <f t="shared" si="57"/>
        <v>Piera Nestory Piera</v>
      </c>
      <c r="C476">
        <v>128747</v>
      </c>
      <c r="D476" t="str">
        <f t="shared" si="56"/>
        <v>Unique</v>
      </c>
      <c r="E476" t="s">
        <v>221</v>
      </c>
      <c r="F476" s="3" t="str">
        <f t="shared" si="58"/>
        <v>9/12</v>
      </c>
      <c r="G476" t="s">
        <v>19</v>
      </c>
      <c r="H476" t="str">
        <f t="shared" si="59"/>
        <v>Valid</v>
      </c>
      <c r="I476" t="s">
        <v>33</v>
      </c>
      <c r="J476" t="str">
        <f t="shared" si="60"/>
        <v>Kigoma Ujiji Mc</v>
      </c>
      <c r="K476" t="s">
        <v>109</v>
      </c>
      <c r="L476" t="str" cm="1">
        <f t="array" ref="L476">_xlfn.IFS(
ISNUMBER(SEARCH("ICU",K476)), "ICU",
ISNUMBER(SEARCH("NEONATAL",K476)), PROPER("NEONATAL"),
ISNUMBER(SEARCH("LABOUR",K476)), PROPER("LABOUR"),
ISNUMBER(SEARCH("PAEDIATRIC",K476)), PROPER("PAEDIATRIC"),
ISNUMBER(SEARCH("FEMALE SURGICAL",K476)), PROPER("FEMALE SURG, ORTHO &amp; GYN"),
ISNUMBER(SEARCH("PSYCHIATRIST",K476)), PROPER("PSYCHIATRIST"),
ISNUMBER(SEARCH("GRADE 1",K476)), PROPER("GRADE 1"),
ISNUMBER(SEARCH("MALE SURGICAL",K476)), PROPER("MALE SURG &amp; ORTHOPEDIC"),
ISNUMBER(SEARCH("MALE MEDICAL",K476)), PROPER("MALE MEDICAL"),
ISNUMBER(SEARCH("GRADE 2",K476)), PROPER("GRADE 2"),
ISNUMBER(SEARCH("FEMALE WARD",K476)), PROPER("FEMALE MEDICAL"),
TRUE, "Unmapped: " &amp; K476)</f>
        <v>Paediatric</v>
      </c>
      <c r="M476" t="s">
        <v>22</v>
      </c>
      <c r="O476" t="s">
        <v>1753</v>
      </c>
      <c r="P476" t="str">
        <f t="shared" si="61"/>
        <v>Text Error</v>
      </c>
      <c r="Q476" s="5">
        <v>46040.145416666666</v>
      </c>
      <c r="R476" t="str">
        <f t="shared" si="62"/>
        <v>Valid Date</v>
      </c>
      <c r="S476" t="s">
        <v>1754</v>
      </c>
      <c r="T476" s="5">
        <v>46043.759259259263</v>
      </c>
      <c r="U476">
        <v>3</v>
      </c>
      <c r="V476" t="str">
        <f t="shared" si="63"/>
        <v>OK</v>
      </c>
      <c r="W476" t="s">
        <v>112</v>
      </c>
      <c r="Y476" t="s">
        <v>30</v>
      </c>
    </row>
    <row r="477" spans="1:25" x14ac:dyDescent="0.25">
      <c r="A477" t="s">
        <v>1755</v>
      </c>
      <c r="B477" t="str">
        <f t="shared" si="57"/>
        <v>Witness Tindibenza Costantine</v>
      </c>
      <c r="C477">
        <v>10771</v>
      </c>
      <c r="D477" t="str">
        <f t="shared" si="56"/>
        <v>Unique</v>
      </c>
      <c r="E477" t="s">
        <v>68</v>
      </c>
      <c r="F477" s="3">
        <f t="shared" si="58"/>
        <v>32</v>
      </c>
      <c r="G477" t="s">
        <v>32</v>
      </c>
      <c r="H477" t="str">
        <f t="shared" si="59"/>
        <v>Valid</v>
      </c>
      <c r="I477" t="s">
        <v>33</v>
      </c>
      <c r="J477" t="str">
        <f t="shared" si="60"/>
        <v>Kigoma Ujiji Mc</v>
      </c>
      <c r="K477" t="s">
        <v>40</v>
      </c>
      <c r="L477" t="str" cm="1">
        <f t="array" ref="L477">_xlfn.IFS(
ISNUMBER(SEARCH("ICU",K477)), "ICU",
ISNUMBER(SEARCH("NEONATAL",K477)), PROPER("NEONATAL"),
ISNUMBER(SEARCH("LABOUR",K477)), PROPER("LABOUR"),
ISNUMBER(SEARCH("PAEDIATRIC",K477)), PROPER("PAEDIATRIC"),
ISNUMBER(SEARCH("FEMALE SURGICAL",K477)), PROPER("FEMALE SURG, ORTHO &amp; GYN"),
ISNUMBER(SEARCH("PSYCHIATRIST",K477)), PROPER("PSYCHIATRIST"),
ISNUMBER(SEARCH("GRADE 1",K477)), PROPER("GRADE 1"),
ISNUMBER(SEARCH("MALE SURGICAL",K477)), PROPER("MALE SURG &amp; ORTHOPEDIC"),
ISNUMBER(SEARCH("MALE MEDICAL",K477)), PROPER("MALE MEDICAL"),
ISNUMBER(SEARCH("GRADE 2",K477)), PROPER("GRADE 2"),
ISNUMBER(SEARCH("FEMALE WARD",K477)), PROPER("FEMALE MEDICAL"),
TRUE, "Unmapped: " &amp; K477)</f>
        <v>Labour</v>
      </c>
      <c r="M477" t="s">
        <v>394</v>
      </c>
      <c r="O477" t="s">
        <v>1756</v>
      </c>
      <c r="P477" t="str">
        <f t="shared" si="61"/>
        <v>Text Error</v>
      </c>
      <c r="Q477" s="5">
        <v>46040.595000000001</v>
      </c>
      <c r="R477" t="str">
        <f t="shared" si="62"/>
        <v>Valid Date</v>
      </c>
      <c r="S477" t="s">
        <v>1757</v>
      </c>
      <c r="T477" s="5">
        <v>46044.373888888891</v>
      </c>
      <c r="U477">
        <v>3</v>
      </c>
      <c r="V477" t="str">
        <f t="shared" si="63"/>
        <v>OK</v>
      </c>
      <c r="W477" t="s">
        <v>25</v>
      </c>
      <c r="Y477" t="s">
        <v>30</v>
      </c>
    </row>
    <row r="478" spans="1:25" x14ac:dyDescent="0.25">
      <c r="A478" t="s">
        <v>1758</v>
      </c>
      <c r="B478" t="str">
        <f t="shared" si="57"/>
        <v>Baby Of Sarafina Jailos John</v>
      </c>
      <c r="C478">
        <v>128785</v>
      </c>
      <c r="D478" t="str">
        <f t="shared" si="56"/>
        <v>Unique</v>
      </c>
      <c r="E478" t="s">
        <v>622</v>
      </c>
      <c r="F478" s="3" t="str">
        <f t="shared" si="58"/>
        <v>2/12</v>
      </c>
      <c r="G478" t="s">
        <v>19</v>
      </c>
      <c r="H478" t="str">
        <f t="shared" si="59"/>
        <v>Valid</v>
      </c>
      <c r="I478" t="s">
        <v>33</v>
      </c>
      <c r="J478" t="str">
        <f t="shared" si="60"/>
        <v>Kigoma Ujiji Mc</v>
      </c>
      <c r="K478" t="s">
        <v>21</v>
      </c>
      <c r="L478" t="str" cm="1">
        <f t="array" ref="L478">_xlfn.IFS(
ISNUMBER(SEARCH("ICU",K478)), "ICU",
ISNUMBER(SEARCH("NEONATAL",K478)), PROPER("NEONATAL"),
ISNUMBER(SEARCH("LABOUR",K478)), PROPER("LABOUR"),
ISNUMBER(SEARCH("PAEDIATRIC",K478)), PROPER("PAEDIATRIC"),
ISNUMBER(SEARCH("FEMALE SURGICAL",K478)), PROPER("FEMALE SURG, ORTHO &amp; GYN"),
ISNUMBER(SEARCH("PSYCHIATRIST",K478)), PROPER("PSYCHIATRIST"),
ISNUMBER(SEARCH("GRADE 1",K478)), PROPER("GRADE 1"),
ISNUMBER(SEARCH("MALE SURGICAL",K478)), PROPER("MALE SURG &amp; ORTHOPEDIC"),
ISNUMBER(SEARCH("MALE MEDICAL",K478)), PROPER("MALE MEDICAL"),
ISNUMBER(SEARCH("GRADE 2",K478)), PROPER("GRADE 2"),
ISNUMBER(SEARCH("FEMALE WARD",K478)), PROPER("FEMALE MEDICAL"),
TRUE, "Unmapped: " &amp; K478)</f>
        <v>Neonatal</v>
      </c>
      <c r="M478" t="s">
        <v>22</v>
      </c>
      <c r="O478" t="s">
        <v>1759</v>
      </c>
      <c r="P478" t="str">
        <f t="shared" si="61"/>
        <v>Text Error</v>
      </c>
      <c r="Q478" s="5">
        <v>46040.856770833336</v>
      </c>
      <c r="R478" t="str">
        <f t="shared" si="62"/>
        <v>Valid Date</v>
      </c>
      <c r="S478" t="s">
        <v>1760</v>
      </c>
      <c r="T478" s="5">
        <v>46044.510578703703</v>
      </c>
      <c r="U478">
        <v>3</v>
      </c>
      <c r="V478" t="str">
        <f t="shared" si="63"/>
        <v>OK</v>
      </c>
      <c r="W478" t="s">
        <v>25</v>
      </c>
      <c r="Y478" t="s">
        <v>30</v>
      </c>
    </row>
    <row r="479" spans="1:25" x14ac:dyDescent="0.25">
      <c r="A479" t="s">
        <v>1761</v>
      </c>
      <c r="B479" t="str">
        <f t="shared" si="57"/>
        <v>Ester Jeremia Makwa</v>
      </c>
      <c r="C479">
        <v>128794</v>
      </c>
      <c r="D479" t="str">
        <f t="shared" si="56"/>
        <v>Unique</v>
      </c>
      <c r="E479" t="s">
        <v>188</v>
      </c>
      <c r="F479" s="3">
        <f t="shared" si="58"/>
        <v>28</v>
      </c>
      <c r="G479" t="s">
        <v>32</v>
      </c>
      <c r="H479" t="str">
        <f t="shared" si="59"/>
        <v>Valid</v>
      </c>
      <c r="I479" t="s">
        <v>20</v>
      </c>
      <c r="J479" t="str">
        <f t="shared" si="60"/>
        <v>Uvinza</v>
      </c>
      <c r="K479" t="s">
        <v>40</v>
      </c>
      <c r="L479" t="str" cm="1">
        <f t="array" ref="L479">_xlfn.IFS(
ISNUMBER(SEARCH("ICU",K479)), "ICU",
ISNUMBER(SEARCH("NEONATAL",K479)), PROPER("NEONATAL"),
ISNUMBER(SEARCH("LABOUR",K479)), PROPER("LABOUR"),
ISNUMBER(SEARCH("PAEDIATRIC",K479)), PROPER("PAEDIATRIC"),
ISNUMBER(SEARCH("FEMALE SURGICAL",K479)), PROPER("FEMALE SURG, ORTHO &amp; GYN"),
ISNUMBER(SEARCH("PSYCHIATRIST",K479)), PROPER("PSYCHIATRIST"),
ISNUMBER(SEARCH("GRADE 1",K479)), PROPER("GRADE 1"),
ISNUMBER(SEARCH("MALE SURGICAL",K479)), PROPER("MALE SURG &amp; ORTHOPEDIC"),
ISNUMBER(SEARCH("MALE MEDICAL",K479)), PROPER("MALE MEDICAL"),
ISNUMBER(SEARCH("GRADE 2",K479)), PROPER("GRADE 2"),
ISNUMBER(SEARCH("FEMALE WARD",K479)), PROPER("FEMALE MEDICAL"),
TRUE, "Unmapped: " &amp; K479)</f>
        <v>Labour</v>
      </c>
      <c r="M479" t="s">
        <v>22</v>
      </c>
      <c r="O479" t="s">
        <v>1762</v>
      </c>
      <c r="P479" t="str">
        <f t="shared" si="61"/>
        <v>Text Error</v>
      </c>
      <c r="Q479" s="5">
        <v>46041.093449074076</v>
      </c>
      <c r="R479" t="str">
        <f t="shared" si="62"/>
        <v>Valid Date</v>
      </c>
      <c r="S479" t="s">
        <v>1763</v>
      </c>
      <c r="T479" s="5">
        <v>46044.596192129633</v>
      </c>
      <c r="U479">
        <v>3</v>
      </c>
      <c r="V479" t="str">
        <f t="shared" si="63"/>
        <v>OK</v>
      </c>
      <c r="W479" t="s">
        <v>25</v>
      </c>
      <c r="Y479" t="s">
        <v>30</v>
      </c>
    </row>
    <row r="480" spans="1:25" x14ac:dyDescent="0.25">
      <c r="A480" t="s">
        <v>1764</v>
      </c>
      <c r="B480" t="str">
        <f t="shared" si="57"/>
        <v>Shamsa Mussa Maulidi</v>
      </c>
      <c r="C480">
        <v>128957</v>
      </c>
      <c r="D480" t="str">
        <f t="shared" si="56"/>
        <v>Unique</v>
      </c>
      <c r="E480" t="s">
        <v>758</v>
      </c>
      <c r="F480" s="3">
        <f t="shared" si="58"/>
        <v>19</v>
      </c>
      <c r="G480" t="s">
        <v>32</v>
      </c>
      <c r="H480" t="str">
        <f t="shared" si="59"/>
        <v>Valid</v>
      </c>
      <c r="I480" t="s">
        <v>33</v>
      </c>
      <c r="J480" t="str">
        <f t="shared" si="60"/>
        <v>Kigoma Ujiji Mc</v>
      </c>
      <c r="K480" t="s">
        <v>40</v>
      </c>
      <c r="L480" t="str" cm="1">
        <f t="array" ref="L480">_xlfn.IFS(
ISNUMBER(SEARCH("ICU",K480)), "ICU",
ISNUMBER(SEARCH("NEONATAL",K480)), PROPER("NEONATAL"),
ISNUMBER(SEARCH("LABOUR",K480)), PROPER("LABOUR"),
ISNUMBER(SEARCH("PAEDIATRIC",K480)), PROPER("PAEDIATRIC"),
ISNUMBER(SEARCH("FEMALE SURGICAL",K480)), PROPER("FEMALE SURG, ORTHO &amp; GYN"),
ISNUMBER(SEARCH("PSYCHIATRIST",K480)), PROPER("PSYCHIATRIST"),
ISNUMBER(SEARCH("GRADE 1",K480)), PROPER("GRADE 1"),
ISNUMBER(SEARCH("MALE SURGICAL",K480)), PROPER("MALE SURG &amp; ORTHOPEDIC"),
ISNUMBER(SEARCH("MALE MEDICAL",K480)), PROPER("MALE MEDICAL"),
ISNUMBER(SEARCH("GRADE 2",K480)), PROPER("GRADE 2"),
ISNUMBER(SEARCH("FEMALE WARD",K480)), PROPER("FEMALE MEDICAL"),
TRUE, "Unmapped: " &amp; K480)</f>
        <v>Labour</v>
      </c>
      <c r="M480" t="s">
        <v>22</v>
      </c>
      <c r="O480" t="s">
        <v>1765</v>
      </c>
      <c r="P480" t="str">
        <f t="shared" si="61"/>
        <v>Text Error</v>
      </c>
      <c r="Q480" s="5">
        <v>46041.865254629629</v>
      </c>
      <c r="R480" t="str">
        <f t="shared" si="62"/>
        <v>Valid Date</v>
      </c>
      <c r="S480" t="s">
        <v>1766</v>
      </c>
      <c r="T480" s="5">
        <v>46045.840671296297</v>
      </c>
      <c r="U480">
        <v>3</v>
      </c>
      <c r="V480" t="str">
        <f t="shared" si="63"/>
        <v>OK</v>
      </c>
      <c r="W480" t="s">
        <v>25</v>
      </c>
      <c r="Y480" t="s">
        <v>30</v>
      </c>
    </row>
    <row r="481" spans="1:25" x14ac:dyDescent="0.25">
      <c r="A481" t="s">
        <v>1767</v>
      </c>
      <c r="B481" t="str">
        <f t="shared" si="57"/>
        <v>Joyce Bernard Kamara</v>
      </c>
      <c r="C481">
        <v>128973</v>
      </c>
      <c r="D481" t="str">
        <f t="shared" si="56"/>
        <v>Unique</v>
      </c>
      <c r="E481" t="s">
        <v>530</v>
      </c>
      <c r="F481" s="3">
        <f t="shared" si="58"/>
        <v>34</v>
      </c>
      <c r="G481" t="s">
        <v>32</v>
      </c>
      <c r="H481" t="str">
        <f t="shared" si="59"/>
        <v>Valid</v>
      </c>
      <c r="I481" t="s">
        <v>260</v>
      </c>
      <c r="J481" t="str">
        <f t="shared" si="60"/>
        <v>Kasulu</v>
      </c>
      <c r="K481" t="s">
        <v>40</v>
      </c>
      <c r="L481" t="str" cm="1">
        <f t="array" ref="L481">_xlfn.IFS(
ISNUMBER(SEARCH("ICU",K481)), "ICU",
ISNUMBER(SEARCH("NEONATAL",K481)), PROPER("NEONATAL"),
ISNUMBER(SEARCH("LABOUR",K481)), PROPER("LABOUR"),
ISNUMBER(SEARCH("PAEDIATRIC",K481)), PROPER("PAEDIATRIC"),
ISNUMBER(SEARCH("FEMALE SURGICAL",K481)), PROPER("FEMALE SURG, ORTHO &amp; GYN"),
ISNUMBER(SEARCH("PSYCHIATRIST",K481)), PROPER("PSYCHIATRIST"),
ISNUMBER(SEARCH("GRADE 1",K481)), PROPER("GRADE 1"),
ISNUMBER(SEARCH("MALE SURGICAL",K481)), PROPER("MALE SURG &amp; ORTHOPEDIC"),
ISNUMBER(SEARCH("MALE MEDICAL",K481)), PROPER("MALE MEDICAL"),
ISNUMBER(SEARCH("GRADE 2",K481)), PROPER("GRADE 2"),
ISNUMBER(SEARCH("FEMALE WARD",K481)), PROPER("FEMALE MEDICAL"),
TRUE, "Unmapped: " &amp; K481)</f>
        <v>Labour</v>
      </c>
      <c r="M481" t="s">
        <v>22</v>
      </c>
      <c r="O481" t="s">
        <v>1768</v>
      </c>
      <c r="P481" t="str">
        <f t="shared" si="61"/>
        <v>Text Error</v>
      </c>
      <c r="Q481" s="5">
        <v>46042.048391203702</v>
      </c>
      <c r="R481" t="str">
        <f t="shared" si="62"/>
        <v>Valid Date</v>
      </c>
      <c r="S481" t="s">
        <v>1769</v>
      </c>
      <c r="T481" s="5">
        <v>46045.624305555553</v>
      </c>
      <c r="U481">
        <v>3</v>
      </c>
      <c r="V481" t="str">
        <f t="shared" si="63"/>
        <v>OK</v>
      </c>
      <c r="W481" t="s">
        <v>25</v>
      </c>
      <c r="Y481" t="s">
        <v>30</v>
      </c>
    </row>
    <row r="482" spans="1:25" x14ac:dyDescent="0.25">
      <c r="A482" t="s">
        <v>1770</v>
      </c>
      <c r="B482" t="str">
        <f t="shared" si="57"/>
        <v>Angelina Mashamba Edward</v>
      </c>
      <c r="C482">
        <v>3209</v>
      </c>
      <c r="D482" t="str">
        <f t="shared" si="56"/>
        <v>Duplicate</v>
      </c>
      <c r="E482" t="s">
        <v>68</v>
      </c>
      <c r="F482" s="3">
        <f t="shared" si="58"/>
        <v>32</v>
      </c>
      <c r="G482" t="s">
        <v>32</v>
      </c>
      <c r="H482" t="str">
        <f t="shared" si="59"/>
        <v>Valid</v>
      </c>
      <c r="I482" t="s">
        <v>754</v>
      </c>
      <c r="J482" t="str">
        <f t="shared" si="60"/>
        <v>KG</v>
      </c>
      <c r="K482" t="s">
        <v>40</v>
      </c>
      <c r="L482" t="str" cm="1">
        <f t="array" ref="L482">_xlfn.IFS(
ISNUMBER(SEARCH("ICU",K482)), "ICU",
ISNUMBER(SEARCH("NEONATAL",K482)), PROPER("NEONATAL"),
ISNUMBER(SEARCH("LABOUR",K482)), PROPER("LABOUR"),
ISNUMBER(SEARCH("PAEDIATRIC",K482)), PROPER("PAEDIATRIC"),
ISNUMBER(SEARCH("FEMALE SURGICAL",K482)), PROPER("FEMALE SURG, ORTHO &amp; GYN"),
ISNUMBER(SEARCH("PSYCHIATRIST",K482)), PROPER("PSYCHIATRIST"),
ISNUMBER(SEARCH("GRADE 1",K482)), PROPER("GRADE 1"),
ISNUMBER(SEARCH("MALE SURGICAL",K482)), PROPER("MALE SURG &amp; ORTHOPEDIC"),
ISNUMBER(SEARCH("MALE MEDICAL",K482)), PROPER("MALE MEDICAL"),
ISNUMBER(SEARCH("GRADE 2",K482)), PROPER("GRADE 2"),
ISNUMBER(SEARCH("FEMALE WARD",K482)), PROPER("FEMALE MEDICAL"),
TRUE, "Unmapped: " &amp; K482)</f>
        <v>Labour</v>
      </c>
      <c r="M482" t="s">
        <v>394</v>
      </c>
      <c r="O482" t="s">
        <v>1771</v>
      </c>
      <c r="P482" t="str">
        <f t="shared" si="61"/>
        <v>Text Error</v>
      </c>
      <c r="Q482" s="5">
        <v>46042.498518518521</v>
      </c>
      <c r="R482" t="str">
        <f t="shared" si="62"/>
        <v>Valid Date</v>
      </c>
      <c r="S482" t="s">
        <v>1772</v>
      </c>
      <c r="T482" s="5">
        <v>46045.655127314814</v>
      </c>
      <c r="U482">
        <v>3</v>
      </c>
      <c r="V482" t="str">
        <f t="shared" si="63"/>
        <v>OK</v>
      </c>
      <c r="W482" t="s">
        <v>25</v>
      </c>
      <c r="Y482" t="s">
        <v>30</v>
      </c>
    </row>
    <row r="483" spans="1:25" x14ac:dyDescent="0.25">
      <c r="A483" t="s">
        <v>1773</v>
      </c>
      <c r="B483" t="str">
        <f t="shared" si="57"/>
        <v>Asia Amani Kengwa</v>
      </c>
      <c r="C483">
        <v>129035</v>
      </c>
      <c r="D483" t="str">
        <f t="shared" si="56"/>
        <v>Unique</v>
      </c>
      <c r="E483" t="s">
        <v>68</v>
      </c>
      <c r="F483" s="3">
        <f t="shared" si="58"/>
        <v>32</v>
      </c>
      <c r="G483" t="s">
        <v>32</v>
      </c>
      <c r="H483" t="str">
        <f t="shared" si="59"/>
        <v>Valid</v>
      </c>
      <c r="I483" t="s">
        <v>1774</v>
      </c>
      <c r="J483" t="str">
        <f t="shared" si="60"/>
        <v>Kakonko</v>
      </c>
      <c r="K483" t="s">
        <v>40</v>
      </c>
      <c r="L483" t="str" cm="1">
        <f t="array" ref="L483">_xlfn.IFS(
ISNUMBER(SEARCH("ICU",K483)), "ICU",
ISNUMBER(SEARCH("NEONATAL",K483)), PROPER("NEONATAL"),
ISNUMBER(SEARCH("LABOUR",K483)), PROPER("LABOUR"),
ISNUMBER(SEARCH("PAEDIATRIC",K483)), PROPER("PAEDIATRIC"),
ISNUMBER(SEARCH("FEMALE SURGICAL",K483)), PROPER("FEMALE SURG, ORTHO &amp; GYN"),
ISNUMBER(SEARCH("PSYCHIATRIST",K483)), PROPER("PSYCHIATRIST"),
ISNUMBER(SEARCH("GRADE 1",K483)), PROPER("GRADE 1"),
ISNUMBER(SEARCH("MALE SURGICAL",K483)), PROPER("MALE SURG &amp; ORTHOPEDIC"),
ISNUMBER(SEARCH("MALE MEDICAL",K483)), PROPER("MALE MEDICAL"),
ISNUMBER(SEARCH("GRADE 2",K483)), PROPER("GRADE 2"),
ISNUMBER(SEARCH("FEMALE WARD",K483)), PROPER("FEMALE MEDICAL"),
TRUE, "Unmapped: " &amp; K483)</f>
        <v>Labour</v>
      </c>
      <c r="M483" t="s">
        <v>22</v>
      </c>
      <c r="O483" t="s">
        <v>1775</v>
      </c>
      <c r="P483" t="str">
        <f t="shared" si="61"/>
        <v>Text Error</v>
      </c>
      <c r="Q483" s="5">
        <v>46042.53869212963</v>
      </c>
      <c r="R483" t="str">
        <f t="shared" si="62"/>
        <v>Valid Date</v>
      </c>
      <c r="S483" t="s">
        <v>1776</v>
      </c>
      <c r="T483" s="5">
        <v>46045.78392361111</v>
      </c>
      <c r="U483">
        <v>3</v>
      </c>
      <c r="V483" t="str">
        <f t="shared" si="63"/>
        <v>OK</v>
      </c>
      <c r="W483" t="s">
        <v>25</v>
      </c>
      <c r="Y483" t="s">
        <v>30</v>
      </c>
    </row>
    <row r="484" spans="1:25" x14ac:dyDescent="0.25">
      <c r="A484" t="s">
        <v>1777</v>
      </c>
      <c r="B484" t="str">
        <f t="shared" si="57"/>
        <v>Mvano Haji Mvano</v>
      </c>
      <c r="C484">
        <v>129046</v>
      </c>
      <c r="D484" t="str">
        <f t="shared" si="56"/>
        <v>Unique</v>
      </c>
      <c r="E484" t="s">
        <v>18</v>
      </c>
      <c r="F484" s="3">
        <f t="shared" si="58"/>
        <v>1</v>
      </c>
      <c r="G484" t="s">
        <v>19</v>
      </c>
      <c r="H484" t="str">
        <f t="shared" si="59"/>
        <v>Valid</v>
      </c>
      <c r="I484" t="s">
        <v>33</v>
      </c>
      <c r="J484" t="str">
        <f t="shared" si="60"/>
        <v>Kigoma Ujiji Mc</v>
      </c>
      <c r="K484" t="s">
        <v>109</v>
      </c>
      <c r="L484" t="str" cm="1">
        <f t="array" ref="L484">_xlfn.IFS(
ISNUMBER(SEARCH("ICU",K484)), "ICU",
ISNUMBER(SEARCH("NEONATAL",K484)), PROPER("NEONATAL"),
ISNUMBER(SEARCH("LABOUR",K484)), PROPER("LABOUR"),
ISNUMBER(SEARCH("PAEDIATRIC",K484)), PROPER("PAEDIATRIC"),
ISNUMBER(SEARCH("FEMALE SURGICAL",K484)), PROPER("FEMALE SURG, ORTHO &amp; GYN"),
ISNUMBER(SEARCH("PSYCHIATRIST",K484)), PROPER("PSYCHIATRIST"),
ISNUMBER(SEARCH("GRADE 1",K484)), PROPER("GRADE 1"),
ISNUMBER(SEARCH("MALE SURGICAL",K484)), PROPER("MALE SURG &amp; ORTHOPEDIC"),
ISNUMBER(SEARCH("MALE MEDICAL",K484)), PROPER("MALE MEDICAL"),
ISNUMBER(SEARCH("GRADE 2",K484)), PROPER("GRADE 2"),
ISNUMBER(SEARCH("FEMALE WARD",K484)), PROPER("FEMALE MEDICAL"),
TRUE, "Unmapped: " &amp; K484)</f>
        <v>Paediatric</v>
      </c>
      <c r="M484" t="s">
        <v>22</v>
      </c>
      <c r="O484" t="s">
        <v>1778</v>
      </c>
      <c r="P484" t="str">
        <f t="shared" si="61"/>
        <v>Text Error</v>
      </c>
      <c r="Q484" s="5">
        <v>46042.61519675926</v>
      </c>
      <c r="R484" t="str">
        <f t="shared" si="62"/>
        <v>Valid Date</v>
      </c>
      <c r="S484" t="s">
        <v>1779</v>
      </c>
      <c r="T484" s="5">
        <v>46045.738263888888</v>
      </c>
      <c r="U484">
        <v>3</v>
      </c>
      <c r="V484" t="str">
        <f t="shared" si="63"/>
        <v>OK</v>
      </c>
      <c r="W484" t="s">
        <v>25</v>
      </c>
      <c r="Y484" t="s">
        <v>30</v>
      </c>
    </row>
    <row r="485" spans="1:25" x14ac:dyDescent="0.25">
      <c r="A485" t="s">
        <v>1780</v>
      </c>
      <c r="B485" t="str">
        <f t="shared" si="57"/>
        <v>Zawadi S Hussein</v>
      </c>
      <c r="C485">
        <v>70998</v>
      </c>
      <c r="D485" t="str">
        <f t="shared" si="56"/>
        <v>Unique</v>
      </c>
      <c r="E485" t="s">
        <v>315</v>
      </c>
      <c r="F485" s="3">
        <f t="shared" si="58"/>
        <v>31</v>
      </c>
      <c r="G485" t="s">
        <v>32</v>
      </c>
      <c r="H485" t="str">
        <f t="shared" si="59"/>
        <v>Valid</v>
      </c>
      <c r="I485" t="s">
        <v>227</v>
      </c>
      <c r="J485" t="str">
        <f t="shared" si="60"/>
        <v>KGG</v>
      </c>
      <c r="K485" t="s">
        <v>40</v>
      </c>
      <c r="L485" t="str" cm="1">
        <f t="array" ref="L485">_xlfn.IFS(
ISNUMBER(SEARCH("ICU",K485)), "ICU",
ISNUMBER(SEARCH("NEONATAL",K485)), PROPER("NEONATAL"),
ISNUMBER(SEARCH("LABOUR",K485)), PROPER("LABOUR"),
ISNUMBER(SEARCH("PAEDIATRIC",K485)), PROPER("PAEDIATRIC"),
ISNUMBER(SEARCH("FEMALE SURGICAL",K485)), PROPER("FEMALE SURG, ORTHO &amp; GYN"),
ISNUMBER(SEARCH("PSYCHIATRIST",K485)), PROPER("PSYCHIATRIST"),
ISNUMBER(SEARCH("GRADE 1",K485)), PROPER("GRADE 1"),
ISNUMBER(SEARCH("MALE SURGICAL",K485)), PROPER("MALE SURG &amp; ORTHOPEDIC"),
ISNUMBER(SEARCH("MALE MEDICAL",K485)), PROPER("MALE MEDICAL"),
ISNUMBER(SEARCH("GRADE 2",K485)), PROPER("GRADE 2"),
ISNUMBER(SEARCH("FEMALE WARD",K485)), PROPER("FEMALE MEDICAL"),
TRUE, "Unmapped: " &amp; K485)</f>
        <v>Labour</v>
      </c>
      <c r="M485" t="s">
        <v>394</v>
      </c>
      <c r="O485" t="s">
        <v>1781</v>
      </c>
      <c r="P485" t="str">
        <f t="shared" si="61"/>
        <v>Text Error</v>
      </c>
      <c r="Q485" s="5">
        <v>46042.615763888891</v>
      </c>
      <c r="R485" t="str">
        <f t="shared" si="62"/>
        <v>Valid Date</v>
      </c>
      <c r="S485" t="s">
        <v>1782</v>
      </c>
      <c r="T485" s="5">
        <v>46046.582731481481</v>
      </c>
      <c r="U485">
        <v>3</v>
      </c>
      <c r="V485" t="str">
        <f t="shared" si="63"/>
        <v>OK</v>
      </c>
      <c r="W485" t="s">
        <v>25</v>
      </c>
      <c r="Y485" t="s">
        <v>30</v>
      </c>
    </row>
    <row r="486" spans="1:25" x14ac:dyDescent="0.25">
      <c r="A486" t="s">
        <v>1783</v>
      </c>
      <c r="B486" t="str">
        <f t="shared" si="57"/>
        <v>Mwasiti Hamis Hamis</v>
      </c>
      <c r="C486">
        <v>129060</v>
      </c>
      <c r="D486" t="str">
        <f t="shared" si="56"/>
        <v>Unique</v>
      </c>
      <c r="E486" t="s">
        <v>215</v>
      </c>
      <c r="F486" s="3">
        <f t="shared" si="58"/>
        <v>25</v>
      </c>
      <c r="G486" t="s">
        <v>32</v>
      </c>
      <c r="H486" t="str">
        <f t="shared" si="59"/>
        <v>Valid</v>
      </c>
      <c r="I486" t="s">
        <v>62</v>
      </c>
      <c r="J486" t="str">
        <f t="shared" si="60"/>
        <v>Kigoma Vijijini</v>
      </c>
      <c r="K486" t="s">
        <v>123</v>
      </c>
      <c r="L486" t="str" cm="1">
        <f t="array" ref="L486">_xlfn.IFS(
ISNUMBER(SEARCH("ICU",K486)), "ICU",
ISNUMBER(SEARCH("NEONATAL",K486)), PROPER("NEONATAL"),
ISNUMBER(SEARCH("LABOUR",K486)), PROPER("LABOUR"),
ISNUMBER(SEARCH("PAEDIATRIC",K486)), PROPER("PAEDIATRIC"),
ISNUMBER(SEARCH("FEMALE SURGICAL",K486)), PROPER("FEMALE SURG, ORTHO &amp; GYN"),
ISNUMBER(SEARCH("PSYCHIATRIST",K486)), PROPER("PSYCHIATRIST"),
ISNUMBER(SEARCH("GRADE 1",K486)), PROPER("GRADE 1"),
ISNUMBER(SEARCH("MALE SURGICAL",K486)), PROPER("MALE SURG &amp; ORTHOPEDIC"),
ISNUMBER(SEARCH("MALE MEDICAL",K486)), PROPER("MALE MEDICAL"),
ISNUMBER(SEARCH("GRADE 2",K486)), PROPER("GRADE 2"),
ISNUMBER(SEARCH("FEMALE WARD",K486)), PROPER("FEMALE MEDICAL"),
TRUE, "Unmapped: " &amp; K486)</f>
        <v>Female Surg, Ortho &amp; Gyn</v>
      </c>
      <c r="M486" t="s">
        <v>22</v>
      </c>
      <c r="O486" t="s">
        <v>1784</v>
      </c>
      <c r="P486" t="str">
        <f t="shared" si="61"/>
        <v>Text Error</v>
      </c>
      <c r="Q486" s="5">
        <v>46042.643796296295</v>
      </c>
      <c r="R486" t="str">
        <f t="shared" si="62"/>
        <v>Valid Date</v>
      </c>
      <c r="S486" t="s">
        <v>1785</v>
      </c>
      <c r="T486" s="5">
        <v>46045.787291666667</v>
      </c>
      <c r="U486">
        <v>3</v>
      </c>
      <c r="V486" t="str">
        <f t="shared" si="63"/>
        <v>OK</v>
      </c>
      <c r="W486" t="s">
        <v>25</v>
      </c>
      <c r="Y486" t="s">
        <v>30</v>
      </c>
    </row>
    <row r="487" spans="1:25" x14ac:dyDescent="0.25">
      <c r="A487" t="s">
        <v>1786</v>
      </c>
      <c r="B487" t="str">
        <f t="shared" si="57"/>
        <v>Christian E Katula</v>
      </c>
      <c r="C487">
        <v>128234</v>
      </c>
      <c r="D487" t="str">
        <f t="shared" si="56"/>
        <v>Unique</v>
      </c>
      <c r="E487" t="s">
        <v>18</v>
      </c>
      <c r="F487" s="3">
        <f t="shared" si="58"/>
        <v>1</v>
      </c>
      <c r="G487" t="s">
        <v>19</v>
      </c>
      <c r="H487" t="str">
        <f t="shared" si="59"/>
        <v>Valid</v>
      </c>
      <c r="I487" t="s">
        <v>33</v>
      </c>
      <c r="J487" t="str">
        <f t="shared" si="60"/>
        <v>Kigoma Ujiji Mc</v>
      </c>
      <c r="K487" t="s">
        <v>109</v>
      </c>
      <c r="L487" t="str" cm="1">
        <f t="array" ref="L487">_xlfn.IFS(
ISNUMBER(SEARCH("ICU",K487)), "ICU",
ISNUMBER(SEARCH("NEONATAL",K487)), PROPER("NEONATAL"),
ISNUMBER(SEARCH("LABOUR",K487)), PROPER("LABOUR"),
ISNUMBER(SEARCH("PAEDIATRIC",K487)), PROPER("PAEDIATRIC"),
ISNUMBER(SEARCH("FEMALE SURGICAL",K487)), PROPER("FEMALE SURG, ORTHO &amp; GYN"),
ISNUMBER(SEARCH("PSYCHIATRIST",K487)), PROPER("PSYCHIATRIST"),
ISNUMBER(SEARCH("GRADE 1",K487)), PROPER("GRADE 1"),
ISNUMBER(SEARCH("MALE SURGICAL",K487)), PROPER("MALE SURG &amp; ORTHOPEDIC"),
ISNUMBER(SEARCH("MALE MEDICAL",K487)), PROPER("MALE MEDICAL"),
ISNUMBER(SEARCH("GRADE 2",K487)), PROPER("GRADE 2"),
ISNUMBER(SEARCH("FEMALE WARD",K487)), PROPER("FEMALE MEDICAL"),
TRUE, "Unmapped: " &amp; K487)</f>
        <v>Paediatric</v>
      </c>
      <c r="M487" t="s">
        <v>394</v>
      </c>
      <c r="O487" t="s">
        <v>1787</v>
      </c>
      <c r="P487" t="str">
        <f t="shared" si="61"/>
        <v>Text Error</v>
      </c>
      <c r="Q487" s="5">
        <v>46042.658634259256</v>
      </c>
      <c r="R487" t="str">
        <f t="shared" si="62"/>
        <v>Valid Date</v>
      </c>
      <c r="S487" t="s">
        <v>1788</v>
      </c>
      <c r="T487" s="5">
        <v>46046.478159722225</v>
      </c>
      <c r="U487">
        <v>3</v>
      </c>
      <c r="V487" t="str">
        <f t="shared" si="63"/>
        <v>OK</v>
      </c>
      <c r="W487" t="s">
        <v>25</v>
      </c>
      <c r="Y487" t="s">
        <v>30</v>
      </c>
    </row>
    <row r="488" spans="1:25" x14ac:dyDescent="0.25">
      <c r="A488" t="s">
        <v>1789</v>
      </c>
      <c r="B488" t="str">
        <f t="shared" si="57"/>
        <v>Naomi William Elisha</v>
      </c>
      <c r="C488">
        <v>73214</v>
      </c>
      <c r="D488" t="str">
        <f t="shared" si="56"/>
        <v>Unique</v>
      </c>
      <c r="E488" t="s">
        <v>68</v>
      </c>
      <c r="F488" s="3">
        <f t="shared" si="58"/>
        <v>32</v>
      </c>
      <c r="G488" t="s">
        <v>32</v>
      </c>
      <c r="H488" t="str">
        <f t="shared" si="59"/>
        <v>Valid</v>
      </c>
      <c r="I488" t="s">
        <v>227</v>
      </c>
      <c r="J488" t="str">
        <f t="shared" si="60"/>
        <v>KGG</v>
      </c>
      <c r="K488" t="s">
        <v>40</v>
      </c>
      <c r="L488" t="str" cm="1">
        <f t="array" ref="L488">_xlfn.IFS(
ISNUMBER(SEARCH("ICU",K488)), "ICU",
ISNUMBER(SEARCH("NEONATAL",K488)), PROPER("NEONATAL"),
ISNUMBER(SEARCH("LABOUR",K488)), PROPER("LABOUR"),
ISNUMBER(SEARCH("PAEDIATRIC",K488)), PROPER("PAEDIATRIC"),
ISNUMBER(SEARCH("FEMALE SURGICAL",K488)), PROPER("FEMALE SURG, ORTHO &amp; GYN"),
ISNUMBER(SEARCH("PSYCHIATRIST",K488)), PROPER("PSYCHIATRIST"),
ISNUMBER(SEARCH("GRADE 1",K488)), PROPER("GRADE 1"),
ISNUMBER(SEARCH("MALE SURGICAL",K488)), PROPER("MALE SURG &amp; ORTHOPEDIC"),
ISNUMBER(SEARCH("MALE MEDICAL",K488)), PROPER("MALE MEDICAL"),
ISNUMBER(SEARCH("GRADE 2",K488)), PROPER("GRADE 2"),
ISNUMBER(SEARCH("FEMALE WARD",K488)), PROPER("FEMALE MEDICAL"),
TRUE, "Unmapped: " &amp; K488)</f>
        <v>Labour</v>
      </c>
      <c r="M488" t="s">
        <v>22</v>
      </c>
      <c r="O488" t="s">
        <v>1790</v>
      </c>
      <c r="P488" t="str">
        <f t="shared" si="61"/>
        <v>Text Error</v>
      </c>
      <c r="Q488" s="5">
        <v>46042.668680555558</v>
      </c>
      <c r="R488" t="str">
        <f t="shared" si="62"/>
        <v>Valid Date</v>
      </c>
      <c r="S488" t="s">
        <v>1791</v>
      </c>
      <c r="T488" s="5">
        <v>46045.691064814811</v>
      </c>
      <c r="U488">
        <v>3</v>
      </c>
      <c r="V488" t="str">
        <f t="shared" si="63"/>
        <v>OK</v>
      </c>
      <c r="W488" t="s">
        <v>25</v>
      </c>
      <c r="Y488" t="s">
        <v>30</v>
      </c>
    </row>
    <row r="489" spans="1:25" x14ac:dyDescent="0.25">
      <c r="A489" t="s">
        <v>1792</v>
      </c>
      <c r="B489" t="str">
        <f t="shared" si="57"/>
        <v>Patrick John Samwel</v>
      </c>
      <c r="C489">
        <v>129064</v>
      </c>
      <c r="D489" t="str">
        <f t="shared" si="56"/>
        <v>Unique</v>
      </c>
      <c r="E489" t="s">
        <v>138</v>
      </c>
      <c r="F489" s="3">
        <f t="shared" si="58"/>
        <v>18</v>
      </c>
      <c r="G489" t="s">
        <v>19</v>
      </c>
      <c r="H489" t="str">
        <f t="shared" si="59"/>
        <v>Valid</v>
      </c>
      <c r="I489" t="s">
        <v>33</v>
      </c>
      <c r="J489" t="str">
        <f t="shared" si="60"/>
        <v>Kigoma Ujiji Mc</v>
      </c>
      <c r="K489" t="s">
        <v>428</v>
      </c>
      <c r="L489" t="str" cm="1">
        <f t="array" ref="L489">_xlfn.IFS(
ISNUMBER(SEARCH("ICU",K489)), "ICU",
ISNUMBER(SEARCH("NEONATAL",K489)), PROPER("NEONATAL"),
ISNUMBER(SEARCH("LABOUR",K489)), PROPER("LABOUR"),
ISNUMBER(SEARCH("PAEDIATRIC",K489)), PROPER("PAEDIATRIC"),
ISNUMBER(SEARCH("FEMALE SURGICAL",K489)), PROPER("FEMALE SURG, ORTHO &amp; GYN"),
ISNUMBER(SEARCH("PSYCHIATRIST",K489)), PROPER("PSYCHIATRIST"),
ISNUMBER(SEARCH("GRADE 1",K489)), PROPER("GRADE 1"),
ISNUMBER(SEARCH("MALE SURGICAL",K489)), PROPER("MALE SURG &amp; ORTHOPEDIC"),
ISNUMBER(SEARCH("MALE MEDICAL",K489)), PROPER("MALE MEDICAL"),
ISNUMBER(SEARCH("GRADE 2",K489)), PROPER("GRADE 2"),
ISNUMBER(SEARCH("FEMALE WARD",K489)), PROPER("FEMALE MEDICAL"),
TRUE, "Unmapped: " &amp; K489)</f>
        <v>Male Surg &amp; Orthopedic</v>
      </c>
      <c r="M489" t="s">
        <v>22</v>
      </c>
      <c r="O489" t="s">
        <v>1793</v>
      </c>
      <c r="P489" t="str">
        <f t="shared" si="61"/>
        <v>Text Error</v>
      </c>
      <c r="Q489" s="5">
        <v>46042.760706018518</v>
      </c>
      <c r="R489" t="str">
        <f t="shared" si="62"/>
        <v>Valid Date</v>
      </c>
      <c r="S489" t="s">
        <v>1794</v>
      </c>
      <c r="T489" s="5">
        <v>46046.325567129628</v>
      </c>
      <c r="U489">
        <v>3</v>
      </c>
      <c r="V489" t="str">
        <f t="shared" si="63"/>
        <v>OK</v>
      </c>
      <c r="W489" t="s">
        <v>25</v>
      </c>
      <c r="Y489" t="s">
        <v>30</v>
      </c>
    </row>
    <row r="490" spans="1:25" x14ac:dyDescent="0.25">
      <c r="A490" t="s">
        <v>1795</v>
      </c>
      <c r="B490" t="str">
        <f t="shared" si="57"/>
        <v>Dabonde Almas Dabonde</v>
      </c>
      <c r="C490">
        <v>129086</v>
      </c>
      <c r="D490" t="str">
        <f t="shared" si="56"/>
        <v>Unique</v>
      </c>
      <c r="E490" t="s">
        <v>646</v>
      </c>
      <c r="F490" s="3">
        <f t="shared" si="58"/>
        <v>6</v>
      </c>
      <c r="G490" t="s">
        <v>19</v>
      </c>
      <c r="H490" t="str">
        <f t="shared" si="59"/>
        <v>Valid</v>
      </c>
      <c r="I490" t="s">
        <v>62</v>
      </c>
      <c r="J490" t="str">
        <f t="shared" si="60"/>
        <v>Kigoma Vijijini</v>
      </c>
      <c r="K490" t="s">
        <v>109</v>
      </c>
      <c r="L490" t="str" cm="1">
        <f t="array" ref="L490">_xlfn.IFS(
ISNUMBER(SEARCH("ICU",K490)), "ICU",
ISNUMBER(SEARCH("NEONATAL",K490)), PROPER("NEONATAL"),
ISNUMBER(SEARCH("LABOUR",K490)), PROPER("LABOUR"),
ISNUMBER(SEARCH("PAEDIATRIC",K490)), PROPER("PAEDIATRIC"),
ISNUMBER(SEARCH("FEMALE SURGICAL",K490)), PROPER("FEMALE SURG, ORTHO &amp; GYN"),
ISNUMBER(SEARCH("PSYCHIATRIST",K490)), PROPER("PSYCHIATRIST"),
ISNUMBER(SEARCH("GRADE 1",K490)), PROPER("GRADE 1"),
ISNUMBER(SEARCH("MALE SURGICAL",K490)), PROPER("MALE SURG &amp; ORTHOPEDIC"),
ISNUMBER(SEARCH("MALE MEDICAL",K490)), PROPER("MALE MEDICAL"),
ISNUMBER(SEARCH("GRADE 2",K490)), PROPER("GRADE 2"),
ISNUMBER(SEARCH("FEMALE WARD",K490)), PROPER("FEMALE MEDICAL"),
TRUE, "Unmapped: " &amp; K490)</f>
        <v>Paediatric</v>
      </c>
      <c r="M490" t="s">
        <v>22</v>
      </c>
      <c r="O490" t="s">
        <v>1796</v>
      </c>
      <c r="P490" t="str">
        <f t="shared" si="61"/>
        <v>Text Error</v>
      </c>
      <c r="Q490" s="5">
        <v>46042.988298611112</v>
      </c>
      <c r="R490" t="str">
        <f t="shared" si="62"/>
        <v>Valid Date</v>
      </c>
      <c r="S490" t="s">
        <v>1797</v>
      </c>
      <c r="T490" s="5">
        <v>46046.673379629632</v>
      </c>
      <c r="U490">
        <v>3</v>
      </c>
      <c r="V490" t="str">
        <f t="shared" si="63"/>
        <v>OK</v>
      </c>
      <c r="W490" t="s">
        <v>25</v>
      </c>
      <c r="Y490" t="s">
        <v>30</v>
      </c>
    </row>
    <row r="491" spans="1:25" x14ac:dyDescent="0.25">
      <c r="A491" t="s">
        <v>1798</v>
      </c>
      <c r="B491" t="str">
        <f t="shared" si="57"/>
        <v>Christina Samson Yesse</v>
      </c>
      <c r="C491">
        <v>123626</v>
      </c>
      <c r="D491" t="str">
        <f t="shared" si="56"/>
        <v>Duplicate</v>
      </c>
      <c r="E491" t="s">
        <v>541</v>
      </c>
      <c r="F491" s="3">
        <f t="shared" si="58"/>
        <v>42</v>
      </c>
      <c r="G491" t="s">
        <v>32</v>
      </c>
      <c r="H491" t="str">
        <f t="shared" si="59"/>
        <v>Valid</v>
      </c>
      <c r="I491" t="s">
        <v>33</v>
      </c>
      <c r="J491" t="str">
        <f t="shared" si="60"/>
        <v>Kigoma Ujiji Mc</v>
      </c>
      <c r="K491" t="s">
        <v>40</v>
      </c>
      <c r="L491" t="str" cm="1">
        <f t="array" ref="L491">_xlfn.IFS(
ISNUMBER(SEARCH("ICU",K491)), "ICU",
ISNUMBER(SEARCH("NEONATAL",K491)), PROPER("NEONATAL"),
ISNUMBER(SEARCH("LABOUR",K491)), PROPER("LABOUR"),
ISNUMBER(SEARCH("PAEDIATRIC",K491)), PROPER("PAEDIATRIC"),
ISNUMBER(SEARCH("FEMALE SURGICAL",K491)), PROPER("FEMALE SURG, ORTHO &amp; GYN"),
ISNUMBER(SEARCH("PSYCHIATRIST",K491)), PROPER("PSYCHIATRIST"),
ISNUMBER(SEARCH("GRADE 1",K491)), PROPER("GRADE 1"),
ISNUMBER(SEARCH("MALE SURGICAL",K491)), PROPER("MALE SURG &amp; ORTHOPEDIC"),
ISNUMBER(SEARCH("MALE MEDICAL",K491)), PROPER("MALE MEDICAL"),
ISNUMBER(SEARCH("GRADE 2",K491)), PROPER("GRADE 2"),
ISNUMBER(SEARCH("FEMALE WARD",K491)), PROPER("FEMALE MEDICAL"),
TRUE, "Unmapped: " &amp; K491)</f>
        <v>Labour</v>
      </c>
      <c r="M491" t="s">
        <v>394</v>
      </c>
      <c r="O491" t="s">
        <v>1799</v>
      </c>
      <c r="P491" t="str">
        <f t="shared" si="61"/>
        <v>Text Error</v>
      </c>
      <c r="Q491" s="5">
        <v>46043.369131944448</v>
      </c>
      <c r="R491" t="str">
        <f t="shared" si="62"/>
        <v>Valid Date</v>
      </c>
      <c r="S491" t="s">
        <v>1800</v>
      </c>
      <c r="T491" s="5">
        <v>46046.579375000001</v>
      </c>
      <c r="U491">
        <v>3</v>
      </c>
      <c r="V491" t="str">
        <f t="shared" si="63"/>
        <v>OK</v>
      </c>
      <c r="W491" t="s">
        <v>25</v>
      </c>
      <c r="Y491" t="s">
        <v>30</v>
      </c>
    </row>
    <row r="492" spans="1:25" x14ac:dyDescent="0.25">
      <c r="A492" t="s">
        <v>1801</v>
      </c>
      <c r="B492" t="str">
        <f t="shared" si="57"/>
        <v>B/o Janeth Emmanuel Samaza</v>
      </c>
      <c r="C492">
        <v>129079</v>
      </c>
      <c r="D492" t="str">
        <f t="shared" si="56"/>
        <v>Duplicate</v>
      </c>
      <c r="E492" t="s">
        <v>622</v>
      </c>
      <c r="F492" s="3" t="str">
        <f t="shared" si="58"/>
        <v>2/12</v>
      </c>
      <c r="G492" t="s">
        <v>19</v>
      </c>
      <c r="H492" t="str">
        <f t="shared" si="59"/>
        <v>Valid</v>
      </c>
      <c r="I492" t="s">
        <v>33</v>
      </c>
      <c r="J492" t="str">
        <f t="shared" si="60"/>
        <v>Kigoma Ujiji Mc</v>
      </c>
      <c r="K492" t="s">
        <v>21</v>
      </c>
      <c r="L492" t="str" cm="1">
        <f t="array" ref="L492">_xlfn.IFS(
ISNUMBER(SEARCH("ICU",K492)), "ICU",
ISNUMBER(SEARCH("NEONATAL",K492)), PROPER("NEONATAL"),
ISNUMBER(SEARCH("LABOUR",K492)), PROPER("LABOUR"),
ISNUMBER(SEARCH("PAEDIATRIC",K492)), PROPER("PAEDIATRIC"),
ISNUMBER(SEARCH("FEMALE SURGICAL",K492)), PROPER("FEMALE SURG, ORTHO &amp; GYN"),
ISNUMBER(SEARCH("PSYCHIATRIST",K492)), PROPER("PSYCHIATRIST"),
ISNUMBER(SEARCH("GRADE 1",K492)), PROPER("GRADE 1"),
ISNUMBER(SEARCH("MALE SURGICAL",K492)), PROPER("MALE SURG &amp; ORTHOPEDIC"),
ISNUMBER(SEARCH("MALE MEDICAL",K492)), PROPER("MALE MEDICAL"),
ISNUMBER(SEARCH("GRADE 2",K492)), PROPER("GRADE 2"),
ISNUMBER(SEARCH("FEMALE WARD",K492)), PROPER("FEMALE MEDICAL"),
TRUE, "Unmapped: " &amp; K492)</f>
        <v>Neonatal</v>
      </c>
      <c r="M492" t="s">
        <v>22</v>
      </c>
      <c r="O492" t="s">
        <v>1802</v>
      </c>
      <c r="P492" t="str">
        <f t="shared" si="61"/>
        <v>Text Error</v>
      </c>
      <c r="Q492" s="5">
        <v>46043.548622685186</v>
      </c>
      <c r="R492" t="str">
        <f t="shared" si="62"/>
        <v>Valid Date</v>
      </c>
      <c r="S492" t="s">
        <v>1803</v>
      </c>
      <c r="T492" s="5">
        <v>46047.348391203705</v>
      </c>
      <c r="U492">
        <v>3</v>
      </c>
      <c r="V492" t="str">
        <f t="shared" si="63"/>
        <v>OK</v>
      </c>
      <c r="W492" t="s">
        <v>25</v>
      </c>
      <c r="Y492" t="s">
        <v>30</v>
      </c>
    </row>
    <row r="493" spans="1:25" x14ac:dyDescent="0.25">
      <c r="A493" t="s">
        <v>1804</v>
      </c>
      <c r="B493" t="str">
        <f t="shared" si="57"/>
        <v>Olympia S Lyimo</v>
      </c>
      <c r="C493">
        <v>112641</v>
      </c>
      <c r="D493" t="str">
        <f t="shared" si="56"/>
        <v>Unique</v>
      </c>
      <c r="E493" t="s">
        <v>39</v>
      </c>
      <c r="F493" s="3">
        <f t="shared" si="58"/>
        <v>33</v>
      </c>
      <c r="G493" t="s">
        <v>32</v>
      </c>
      <c r="H493" t="str">
        <f t="shared" si="59"/>
        <v>Valid</v>
      </c>
      <c r="I493" t="s">
        <v>33</v>
      </c>
      <c r="J493" t="str">
        <f t="shared" si="60"/>
        <v>Kigoma Ujiji Mc</v>
      </c>
      <c r="K493" t="s">
        <v>40</v>
      </c>
      <c r="L493" t="str" cm="1">
        <f t="array" ref="L493">_xlfn.IFS(
ISNUMBER(SEARCH("ICU",K493)), "ICU",
ISNUMBER(SEARCH("NEONATAL",K493)), PROPER("NEONATAL"),
ISNUMBER(SEARCH("LABOUR",K493)), PROPER("LABOUR"),
ISNUMBER(SEARCH("PAEDIATRIC",K493)), PROPER("PAEDIATRIC"),
ISNUMBER(SEARCH("FEMALE SURGICAL",K493)), PROPER("FEMALE SURG, ORTHO &amp; GYN"),
ISNUMBER(SEARCH("PSYCHIATRIST",K493)), PROPER("PSYCHIATRIST"),
ISNUMBER(SEARCH("GRADE 1",K493)), PROPER("GRADE 1"),
ISNUMBER(SEARCH("MALE SURGICAL",K493)), PROPER("MALE SURG &amp; ORTHOPEDIC"),
ISNUMBER(SEARCH("MALE MEDICAL",K493)), PROPER("MALE MEDICAL"),
ISNUMBER(SEARCH("GRADE 2",K493)), PROPER("GRADE 2"),
ISNUMBER(SEARCH("FEMALE WARD",K493)), PROPER("FEMALE MEDICAL"),
TRUE, "Unmapped: " &amp; K493)</f>
        <v>Labour</v>
      </c>
      <c r="M493" t="s">
        <v>394</v>
      </c>
      <c r="O493" t="s">
        <v>1805</v>
      </c>
      <c r="P493" t="str">
        <f t="shared" si="61"/>
        <v>Text Error</v>
      </c>
      <c r="Q493" s="5">
        <v>46044.058113425926</v>
      </c>
      <c r="R493" t="str">
        <f t="shared" si="62"/>
        <v>Valid Date</v>
      </c>
      <c r="S493" t="s">
        <v>1806</v>
      </c>
      <c r="T493" s="5">
        <v>46047.355034722219</v>
      </c>
      <c r="U493">
        <v>3</v>
      </c>
      <c r="V493" t="str">
        <f t="shared" si="63"/>
        <v>OK</v>
      </c>
      <c r="W493" t="s">
        <v>25</v>
      </c>
      <c r="Y493" t="s">
        <v>30</v>
      </c>
    </row>
    <row r="494" spans="1:25" x14ac:dyDescent="0.25">
      <c r="A494" t="s">
        <v>1807</v>
      </c>
      <c r="B494" t="str">
        <f t="shared" si="57"/>
        <v>Hadija Ramadhan Hamis</v>
      </c>
      <c r="C494">
        <v>129201</v>
      </c>
      <c r="D494" t="str">
        <f t="shared" si="56"/>
        <v>Unique</v>
      </c>
      <c r="E494" t="s">
        <v>151</v>
      </c>
      <c r="F494" s="3">
        <f t="shared" si="58"/>
        <v>22</v>
      </c>
      <c r="G494" t="s">
        <v>32</v>
      </c>
      <c r="H494" t="str">
        <f t="shared" si="59"/>
        <v>Valid</v>
      </c>
      <c r="I494" t="s">
        <v>33</v>
      </c>
      <c r="J494" t="str">
        <f t="shared" si="60"/>
        <v>Kigoma Ujiji Mc</v>
      </c>
      <c r="K494" t="s">
        <v>700</v>
      </c>
      <c r="L494" t="str" cm="1">
        <f t="array" ref="L494">_xlfn.IFS(
ISNUMBER(SEARCH("ICU",K494)), "ICU",
ISNUMBER(SEARCH("NEONATAL",K494)), PROPER("NEONATAL"),
ISNUMBER(SEARCH("LABOUR",K494)), PROPER("LABOUR"),
ISNUMBER(SEARCH("PAEDIATRIC",K494)), PROPER("PAEDIATRIC"),
ISNUMBER(SEARCH("FEMALE SURGICAL",K494)), PROPER("FEMALE SURG, ORTHO &amp; GYN"),
ISNUMBER(SEARCH("PSYCHIATRIST",K494)), PROPER("PSYCHIATRIST"),
ISNUMBER(SEARCH("GRADE 1",K494)), PROPER("GRADE 1"),
ISNUMBER(SEARCH("MALE SURGICAL",K494)), PROPER("MALE SURG &amp; ORTHOPEDIC"),
ISNUMBER(SEARCH("MALE MEDICAL",K494)), PROPER("MALE MEDICAL"),
ISNUMBER(SEARCH("GRADE 2",K494)), PROPER("GRADE 2"),
ISNUMBER(SEARCH("FEMALE WARD",K494)), PROPER("FEMALE MEDICAL"),
TRUE, "Unmapped: " &amp; K494)</f>
        <v>Female Medical</v>
      </c>
      <c r="M494" t="s">
        <v>22</v>
      </c>
      <c r="O494" t="s">
        <v>1808</v>
      </c>
      <c r="P494" t="str">
        <f t="shared" si="61"/>
        <v>Text Error</v>
      </c>
      <c r="Q494" s="5">
        <v>46044.097511574073</v>
      </c>
      <c r="R494" t="str">
        <f t="shared" si="62"/>
        <v>Valid Date</v>
      </c>
      <c r="S494" t="s">
        <v>1809</v>
      </c>
      <c r="T494" s="5">
        <v>46047.626006944447</v>
      </c>
      <c r="U494">
        <v>3</v>
      </c>
      <c r="V494" t="str">
        <f t="shared" si="63"/>
        <v>OK</v>
      </c>
      <c r="W494" t="s">
        <v>25</v>
      </c>
      <c r="Y494" t="s">
        <v>30</v>
      </c>
    </row>
    <row r="495" spans="1:25" x14ac:dyDescent="0.25">
      <c r="A495" t="s">
        <v>1810</v>
      </c>
      <c r="B495" t="str">
        <f t="shared" si="57"/>
        <v>Ibrahim Twalha Issa</v>
      </c>
      <c r="C495">
        <v>48655</v>
      </c>
      <c r="D495" t="str">
        <f t="shared" si="56"/>
        <v>Unique</v>
      </c>
      <c r="E495" t="s">
        <v>353</v>
      </c>
      <c r="F495" s="3">
        <f t="shared" si="58"/>
        <v>4</v>
      </c>
      <c r="G495" t="s">
        <v>19</v>
      </c>
      <c r="H495" t="str">
        <f t="shared" si="59"/>
        <v>Valid</v>
      </c>
      <c r="I495" t="s">
        <v>227</v>
      </c>
      <c r="J495" t="str">
        <f t="shared" si="60"/>
        <v>KGG</v>
      </c>
      <c r="K495" t="s">
        <v>109</v>
      </c>
      <c r="L495" t="str" cm="1">
        <f t="array" ref="L495">_xlfn.IFS(
ISNUMBER(SEARCH("ICU",K495)), "ICU",
ISNUMBER(SEARCH("NEONATAL",K495)), PROPER("NEONATAL"),
ISNUMBER(SEARCH("LABOUR",K495)), PROPER("LABOUR"),
ISNUMBER(SEARCH("PAEDIATRIC",K495)), PROPER("PAEDIATRIC"),
ISNUMBER(SEARCH("FEMALE SURGICAL",K495)), PROPER("FEMALE SURG, ORTHO &amp; GYN"),
ISNUMBER(SEARCH("PSYCHIATRIST",K495)), PROPER("PSYCHIATRIST"),
ISNUMBER(SEARCH("GRADE 1",K495)), PROPER("GRADE 1"),
ISNUMBER(SEARCH("MALE SURGICAL",K495)), PROPER("MALE SURG &amp; ORTHOPEDIC"),
ISNUMBER(SEARCH("MALE MEDICAL",K495)), PROPER("MALE MEDICAL"),
ISNUMBER(SEARCH("GRADE 2",K495)), PROPER("GRADE 2"),
ISNUMBER(SEARCH("FEMALE WARD",K495)), PROPER("FEMALE MEDICAL"),
TRUE, "Unmapped: " &amp; K495)</f>
        <v>Paediatric</v>
      </c>
      <c r="M495" t="s">
        <v>22</v>
      </c>
      <c r="O495" t="s">
        <v>1811</v>
      </c>
      <c r="P495" t="str">
        <f t="shared" si="61"/>
        <v>Text Error</v>
      </c>
      <c r="Q495" s="5">
        <v>46044.098020833335</v>
      </c>
      <c r="R495" t="str">
        <f t="shared" si="62"/>
        <v>Valid Date</v>
      </c>
      <c r="S495" t="s">
        <v>1812</v>
      </c>
      <c r="T495" s="5">
        <v>46047.351967592593</v>
      </c>
      <c r="U495">
        <v>3</v>
      </c>
      <c r="V495" t="str">
        <f t="shared" si="63"/>
        <v>OK</v>
      </c>
      <c r="W495" t="s">
        <v>112</v>
      </c>
      <c r="Y495" t="s">
        <v>30</v>
      </c>
    </row>
    <row r="496" spans="1:25" x14ac:dyDescent="0.25">
      <c r="A496" t="s">
        <v>1813</v>
      </c>
      <c r="B496" t="str">
        <f t="shared" si="57"/>
        <v>Salma Sharifu Ibrahim</v>
      </c>
      <c r="C496">
        <v>71283</v>
      </c>
      <c r="D496" t="str">
        <f t="shared" si="56"/>
        <v>Unique</v>
      </c>
      <c r="E496" t="s">
        <v>188</v>
      </c>
      <c r="F496" s="3">
        <f t="shared" si="58"/>
        <v>28</v>
      </c>
      <c r="G496" t="s">
        <v>32</v>
      </c>
      <c r="H496" t="str">
        <f t="shared" si="59"/>
        <v>Valid</v>
      </c>
      <c r="I496" t="s">
        <v>227</v>
      </c>
      <c r="J496" t="str">
        <f t="shared" si="60"/>
        <v>KGG</v>
      </c>
      <c r="K496" t="s">
        <v>40</v>
      </c>
      <c r="L496" t="str" cm="1">
        <f t="array" ref="L496">_xlfn.IFS(
ISNUMBER(SEARCH("ICU",K496)), "ICU",
ISNUMBER(SEARCH("NEONATAL",K496)), PROPER("NEONATAL"),
ISNUMBER(SEARCH("LABOUR",K496)), PROPER("LABOUR"),
ISNUMBER(SEARCH("PAEDIATRIC",K496)), PROPER("PAEDIATRIC"),
ISNUMBER(SEARCH("FEMALE SURGICAL",K496)), PROPER("FEMALE SURG, ORTHO &amp; GYN"),
ISNUMBER(SEARCH("PSYCHIATRIST",K496)), PROPER("PSYCHIATRIST"),
ISNUMBER(SEARCH("GRADE 1",K496)), PROPER("GRADE 1"),
ISNUMBER(SEARCH("MALE SURGICAL",K496)), PROPER("MALE SURG &amp; ORTHOPEDIC"),
ISNUMBER(SEARCH("MALE MEDICAL",K496)), PROPER("MALE MEDICAL"),
ISNUMBER(SEARCH("GRADE 2",K496)), PROPER("GRADE 2"),
ISNUMBER(SEARCH("FEMALE WARD",K496)), PROPER("FEMALE MEDICAL"),
TRUE, "Unmapped: " &amp; K496)</f>
        <v>Labour</v>
      </c>
      <c r="M496" t="s">
        <v>22</v>
      </c>
      <c r="O496" t="s">
        <v>1814</v>
      </c>
      <c r="P496" t="str">
        <f t="shared" si="61"/>
        <v>Text Error</v>
      </c>
      <c r="Q496" s="5">
        <v>46044.886053240742</v>
      </c>
      <c r="R496" t="str">
        <f t="shared" si="62"/>
        <v>Valid Date</v>
      </c>
      <c r="S496" t="s">
        <v>1815</v>
      </c>
      <c r="T496" s="5">
        <v>46048.663622685184</v>
      </c>
      <c r="U496">
        <v>3</v>
      </c>
      <c r="V496" t="str">
        <f t="shared" si="63"/>
        <v>OK</v>
      </c>
      <c r="W496" t="s">
        <v>25</v>
      </c>
      <c r="Y496" t="s">
        <v>30</v>
      </c>
    </row>
    <row r="497" spans="1:25" x14ac:dyDescent="0.25">
      <c r="A497" t="s">
        <v>1816</v>
      </c>
      <c r="B497" t="str">
        <f t="shared" si="57"/>
        <v>Asnath Dabal Dabal</v>
      </c>
      <c r="C497">
        <v>129319</v>
      </c>
      <c r="D497" t="str">
        <f t="shared" si="56"/>
        <v>Unique</v>
      </c>
      <c r="E497" t="s">
        <v>285</v>
      </c>
      <c r="F497" s="3">
        <f t="shared" si="58"/>
        <v>38</v>
      </c>
      <c r="G497" t="s">
        <v>32</v>
      </c>
      <c r="H497" t="str">
        <f t="shared" si="59"/>
        <v>Valid</v>
      </c>
      <c r="I497" t="s">
        <v>260</v>
      </c>
      <c r="J497" t="str">
        <f t="shared" si="60"/>
        <v>Kasulu</v>
      </c>
      <c r="K497" t="s">
        <v>40</v>
      </c>
      <c r="L497" t="str" cm="1">
        <f t="array" ref="L497">_xlfn.IFS(
ISNUMBER(SEARCH("ICU",K497)), "ICU",
ISNUMBER(SEARCH("NEONATAL",K497)), PROPER("NEONATAL"),
ISNUMBER(SEARCH("LABOUR",K497)), PROPER("LABOUR"),
ISNUMBER(SEARCH("PAEDIATRIC",K497)), PROPER("PAEDIATRIC"),
ISNUMBER(SEARCH("FEMALE SURGICAL",K497)), PROPER("FEMALE SURG, ORTHO &amp; GYN"),
ISNUMBER(SEARCH("PSYCHIATRIST",K497)), PROPER("PSYCHIATRIST"),
ISNUMBER(SEARCH("GRADE 1",K497)), PROPER("GRADE 1"),
ISNUMBER(SEARCH("MALE SURGICAL",K497)), PROPER("MALE SURG &amp; ORTHOPEDIC"),
ISNUMBER(SEARCH("MALE MEDICAL",K497)), PROPER("MALE MEDICAL"),
ISNUMBER(SEARCH("GRADE 2",K497)), PROPER("GRADE 2"),
ISNUMBER(SEARCH("FEMALE WARD",K497)), PROPER("FEMALE MEDICAL"),
TRUE, "Unmapped: " &amp; K497)</f>
        <v>Labour</v>
      </c>
      <c r="M497" t="s">
        <v>22</v>
      </c>
      <c r="O497" t="s">
        <v>1817</v>
      </c>
      <c r="P497" t="str">
        <f t="shared" si="61"/>
        <v>Text Error</v>
      </c>
      <c r="Q497" s="5">
        <v>46044.928356481483</v>
      </c>
      <c r="R497" t="str">
        <f t="shared" si="62"/>
        <v>Valid Date</v>
      </c>
      <c r="S497" t="s">
        <v>1818</v>
      </c>
      <c r="T497" s="5">
        <v>46048.688703703701</v>
      </c>
      <c r="U497">
        <v>3</v>
      </c>
      <c r="V497" t="str">
        <f t="shared" si="63"/>
        <v>OK</v>
      </c>
      <c r="W497" t="s">
        <v>25</v>
      </c>
      <c r="Y497" t="s">
        <v>30</v>
      </c>
    </row>
    <row r="498" spans="1:25" x14ac:dyDescent="0.25">
      <c r="A498" t="s">
        <v>1819</v>
      </c>
      <c r="B498" t="str">
        <f t="shared" si="57"/>
        <v>Neema Ismail Abeid</v>
      </c>
      <c r="C498">
        <v>129326</v>
      </c>
      <c r="D498" t="str">
        <f t="shared" si="56"/>
        <v>Unique</v>
      </c>
      <c r="E498" t="s">
        <v>530</v>
      </c>
      <c r="F498" s="3">
        <f t="shared" si="58"/>
        <v>34</v>
      </c>
      <c r="G498" t="s">
        <v>32</v>
      </c>
      <c r="H498" t="str">
        <f t="shared" si="59"/>
        <v>Valid</v>
      </c>
      <c r="I498" t="s">
        <v>33</v>
      </c>
      <c r="J498" t="str">
        <f t="shared" si="60"/>
        <v>Kigoma Ujiji Mc</v>
      </c>
      <c r="K498" t="s">
        <v>40</v>
      </c>
      <c r="L498" t="str" cm="1">
        <f t="array" ref="L498">_xlfn.IFS(
ISNUMBER(SEARCH("ICU",K498)), "ICU",
ISNUMBER(SEARCH("NEONATAL",K498)), PROPER("NEONATAL"),
ISNUMBER(SEARCH("LABOUR",K498)), PROPER("LABOUR"),
ISNUMBER(SEARCH("PAEDIATRIC",K498)), PROPER("PAEDIATRIC"),
ISNUMBER(SEARCH("FEMALE SURGICAL",K498)), PROPER("FEMALE SURG, ORTHO &amp; GYN"),
ISNUMBER(SEARCH("PSYCHIATRIST",K498)), PROPER("PSYCHIATRIST"),
ISNUMBER(SEARCH("GRADE 1",K498)), PROPER("GRADE 1"),
ISNUMBER(SEARCH("MALE SURGICAL",K498)), PROPER("MALE SURG &amp; ORTHOPEDIC"),
ISNUMBER(SEARCH("MALE MEDICAL",K498)), PROPER("MALE MEDICAL"),
ISNUMBER(SEARCH("GRADE 2",K498)), PROPER("GRADE 2"),
ISNUMBER(SEARCH("FEMALE WARD",K498)), PROPER("FEMALE MEDICAL"),
TRUE, "Unmapped: " &amp; K498)</f>
        <v>Labour</v>
      </c>
      <c r="M498" t="s">
        <v>22</v>
      </c>
      <c r="O498" t="s">
        <v>1820</v>
      </c>
      <c r="P498" t="str">
        <f t="shared" si="61"/>
        <v>Text Error</v>
      </c>
      <c r="Q498" s="5">
        <v>46045.365266203706</v>
      </c>
      <c r="R498" t="str">
        <f t="shared" si="62"/>
        <v>Valid Date</v>
      </c>
      <c r="S498" t="s">
        <v>1821</v>
      </c>
      <c r="T498" s="5">
        <v>46048.732430555552</v>
      </c>
      <c r="U498">
        <v>3</v>
      </c>
      <c r="V498" t="str">
        <f t="shared" si="63"/>
        <v>OK</v>
      </c>
      <c r="W498" t="s">
        <v>25</v>
      </c>
      <c r="Y498" t="s">
        <v>30</v>
      </c>
    </row>
    <row r="499" spans="1:25" x14ac:dyDescent="0.25">
      <c r="A499" t="s">
        <v>1822</v>
      </c>
      <c r="B499" t="str">
        <f t="shared" si="57"/>
        <v>Baby Of Neema Abedi Issa</v>
      </c>
      <c r="C499">
        <v>129333</v>
      </c>
      <c r="D499" t="str">
        <f t="shared" si="56"/>
        <v>Unique</v>
      </c>
      <c r="E499" t="s">
        <v>1172</v>
      </c>
      <c r="F499" s="3" t="str">
        <f t="shared" si="58"/>
        <v>1/12</v>
      </c>
      <c r="G499" t="s">
        <v>19</v>
      </c>
      <c r="H499" t="str">
        <f t="shared" si="59"/>
        <v>Valid</v>
      </c>
      <c r="I499" t="s">
        <v>33</v>
      </c>
      <c r="J499" t="str">
        <f t="shared" si="60"/>
        <v>Kigoma Ujiji Mc</v>
      </c>
      <c r="K499" t="s">
        <v>21</v>
      </c>
      <c r="L499" t="str" cm="1">
        <f t="array" ref="L499">_xlfn.IFS(
ISNUMBER(SEARCH("ICU",K499)), "ICU",
ISNUMBER(SEARCH("NEONATAL",K499)), PROPER("NEONATAL"),
ISNUMBER(SEARCH("LABOUR",K499)), PROPER("LABOUR"),
ISNUMBER(SEARCH("PAEDIATRIC",K499)), PROPER("PAEDIATRIC"),
ISNUMBER(SEARCH("FEMALE SURGICAL",K499)), PROPER("FEMALE SURG, ORTHO &amp; GYN"),
ISNUMBER(SEARCH("PSYCHIATRIST",K499)), PROPER("PSYCHIATRIST"),
ISNUMBER(SEARCH("GRADE 1",K499)), PROPER("GRADE 1"),
ISNUMBER(SEARCH("MALE SURGICAL",K499)), PROPER("MALE SURG &amp; ORTHOPEDIC"),
ISNUMBER(SEARCH("MALE MEDICAL",K499)), PROPER("MALE MEDICAL"),
ISNUMBER(SEARCH("GRADE 2",K499)), PROPER("GRADE 2"),
ISNUMBER(SEARCH("FEMALE WARD",K499)), PROPER("FEMALE MEDICAL"),
TRUE, "Unmapped: " &amp; K499)</f>
        <v>Neonatal</v>
      </c>
      <c r="M499" t="s">
        <v>22</v>
      </c>
      <c r="O499" t="s">
        <v>1823</v>
      </c>
      <c r="P499" t="str">
        <f t="shared" si="61"/>
        <v>Text Error</v>
      </c>
      <c r="Q499" s="5">
        <v>46045.728425925925</v>
      </c>
      <c r="R499" t="str">
        <f t="shared" si="62"/>
        <v>Valid Date</v>
      </c>
      <c r="S499" t="s">
        <v>1824</v>
      </c>
      <c r="T499" s="5">
        <v>46048.734259259261</v>
      </c>
      <c r="U499">
        <v>3</v>
      </c>
      <c r="V499" t="str">
        <f t="shared" si="63"/>
        <v>OK</v>
      </c>
      <c r="W499" t="s">
        <v>25</v>
      </c>
      <c r="Y499" t="s">
        <v>30</v>
      </c>
    </row>
    <row r="500" spans="1:25" x14ac:dyDescent="0.25">
      <c r="A500" t="s">
        <v>1825</v>
      </c>
      <c r="B500" t="str">
        <f t="shared" si="57"/>
        <v>Zainabu Amran Hussein</v>
      </c>
      <c r="C500">
        <v>129428</v>
      </c>
      <c r="D500" t="str">
        <f t="shared" si="56"/>
        <v>Unique</v>
      </c>
      <c r="E500" t="s">
        <v>18</v>
      </c>
      <c r="F500" s="3">
        <f t="shared" si="58"/>
        <v>1</v>
      </c>
      <c r="G500" t="s">
        <v>32</v>
      </c>
      <c r="H500" t="str">
        <f t="shared" si="59"/>
        <v>Valid</v>
      </c>
      <c r="I500" t="s">
        <v>33</v>
      </c>
      <c r="J500" t="str">
        <f t="shared" si="60"/>
        <v>Kigoma Ujiji Mc</v>
      </c>
      <c r="K500" t="s">
        <v>763</v>
      </c>
      <c r="L500" t="str" cm="1">
        <f t="array" ref="L500">_xlfn.IFS(
ISNUMBER(SEARCH("ICU",K500)), "ICU",
ISNUMBER(SEARCH("NEONATAL",K500)), PROPER("NEONATAL"),
ISNUMBER(SEARCH("LABOUR",K500)), PROPER("LABOUR"),
ISNUMBER(SEARCH("PAEDIATRIC",K500)), PROPER("PAEDIATRIC"),
ISNUMBER(SEARCH("FEMALE SURGICAL",K500)), PROPER("FEMALE SURG, ORTHO &amp; GYN"),
ISNUMBER(SEARCH("PSYCHIATRIST",K500)), PROPER("PSYCHIATRIST"),
ISNUMBER(SEARCH("GRADE 1",K500)), PROPER("GRADE 1"),
ISNUMBER(SEARCH("MALE SURGICAL",K500)), PROPER("MALE SURG &amp; ORTHOPEDIC"),
ISNUMBER(SEARCH("MALE MEDICAL",K500)), PROPER("MALE MEDICAL"),
ISNUMBER(SEARCH("GRADE 2",K500)), PROPER("GRADE 2"),
ISNUMBER(SEARCH("FEMALE WARD",K500)), PROPER("FEMALE MEDICAL"),
TRUE, "Unmapped: " &amp; K500)</f>
        <v>ICU</v>
      </c>
      <c r="M500" t="s">
        <v>22</v>
      </c>
      <c r="O500" t="s">
        <v>1826</v>
      </c>
      <c r="P500" t="str">
        <f t="shared" si="61"/>
        <v>Text Error</v>
      </c>
      <c r="Q500" s="5">
        <v>46045.817523148151</v>
      </c>
      <c r="R500" t="str">
        <f t="shared" si="62"/>
        <v>Valid Date</v>
      </c>
      <c r="S500" t="s">
        <v>1827</v>
      </c>
      <c r="T500" s="5">
        <v>46049.376875000002</v>
      </c>
      <c r="U500">
        <v>3</v>
      </c>
      <c r="V500" t="str">
        <f t="shared" si="63"/>
        <v>OK</v>
      </c>
      <c r="W500" t="s">
        <v>211</v>
      </c>
      <c r="Y500" t="s">
        <v>30</v>
      </c>
    </row>
    <row r="501" spans="1:25" x14ac:dyDescent="0.25">
      <c r="A501" t="s">
        <v>1829</v>
      </c>
      <c r="B501" t="str">
        <f t="shared" si="57"/>
        <v>Salma Mzee Kibole</v>
      </c>
      <c r="C501">
        <v>129416</v>
      </c>
      <c r="D501" t="str">
        <f t="shared" si="56"/>
        <v>Unique</v>
      </c>
      <c r="E501" t="s">
        <v>441</v>
      </c>
      <c r="F501" s="3">
        <f t="shared" si="58"/>
        <v>60</v>
      </c>
      <c r="G501" t="s">
        <v>32</v>
      </c>
      <c r="H501" t="str">
        <f t="shared" si="59"/>
        <v>Valid</v>
      </c>
      <c r="I501" t="s">
        <v>33</v>
      </c>
      <c r="J501" t="str">
        <f t="shared" si="60"/>
        <v>Kigoma Ujiji Mc</v>
      </c>
      <c r="K501" t="s">
        <v>700</v>
      </c>
      <c r="L501" t="str" cm="1">
        <f t="array" ref="L501">_xlfn.IFS(
ISNUMBER(SEARCH("ICU",K501)), "ICU",
ISNUMBER(SEARCH("NEONATAL",K501)), PROPER("NEONATAL"),
ISNUMBER(SEARCH("LABOUR",K501)), PROPER("LABOUR"),
ISNUMBER(SEARCH("PAEDIATRIC",K501)), PROPER("PAEDIATRIC"),
ISNUMBER(SEARCH("FEMALE SURGICAL",K501)), PROPER("FEMALE SURG, ORTHO &amp; GYN"),
ISNUMBER(SEARCH("PSYCHIATRIST",K501)), PROPER("PSYCHIATRIST"),
ISNUMBER(SEARCH("GRADE 1",K501)), PROPER("GRADE 1"),
ISNUMBER(SEARCH("MALE SURGICAL",K501)), PROPER("MALE SURG &amp; ORTHOPEDIC"),
ISNUMBER(SEARCH("MALE MEDICAL",K501)), PROPER("MALE MEDICAL"),
ISNUMBER(SEARCH("GRADE 2",K501)), PROPER("GRADE 2"),
ISNUMBER(SEARCH("FEMALE WARD",K501)), PROPER("FEMALE MEDICAL"),
TRUE, "Unmapped: " &amp; K501)</f>
        <v>Female Medical</v>
      </c>
      <c r="M501" t="s">
        <v>22</v>
      </c>
      <c r="O501" t="s">
        <v>1830</v>
      </c>
      <c r="P501" t="str">
        <f t="shared" si="61"/>
        <v>Text Error</v>
      </c>
      <c r="Q501" s="5">
        <v>46045.831041666665</v>
      </c>
      <c r="R501" t="str">
        <f t="shared" si="62"/>
        <v>Valid Date</v>
      </c>
      <c r="S501" t="s">
        <v>1831</v>
      </c>
      <c r="T501" s="5">
        <v>46049.723298611112</v>
      </c>
      <c r="U501">
        <v>3</v>
      </c>
      <c r="V501" t="str">
        <f t="shared" si="63"/>
        <v>OK</v>
      </c>
      <c r="W501" t="s">
        <v>211</v>
      </c>
      <c r="Y501" t="s">
        <v>30</v>
      </c>
    </row>
    <row r="502" spans="1:25" x14ac:dyDescent="0.25">
      <c r="A502" t="s">
        <v>1832</v>
      </c>
      <c r="B502" t="str">
        <f t="shared" si="57"/>
        <v>Amina Bakari Chongera</v>
      </c>
      <c r="C502">
        <v>129451</v>
      </c>
      <c r="D502" t="str">
        <f t="shared" si="56"/>
        <v>Unique</v>
      </c>
      <c r="E502" t="s">
        <v>80</v>
      </c>
      <c r="F502" s="3">
        <f t="shared" si="58"/>
        <v>24</v>
      </c>
      <c r="G502" t="s">
        <v>32</v>
      </c>
      <c r="H502" t="str">
        <f t="shared" si="59"/>
        <v>Valid</v>
      </c>
      <c r="I502" t="s">
        <v>33</v>
      </c>
      <c r="J502" t="str">
        <f t="shared" si="60"/>
        <v>Kigoma Ujiji Mc</v>
      </c>
      <c r="K502" t="s">
        <v>40</v>
      </c>
      <c r="L502" t="str" cm="1">
        <f t="array" ref="L502">_xlfn.IFS(
ISNUMBER(SEARCH("ICU",K502)), "ICU",
ISNUMBER(SEARCH("NEONATAL",K502)), PROPER("NEONATAL"),
ISNUMBER(SEARCH("LABOUR",K502)), PROPER("LABOUR"),
ISNUMBER(SEARCH("PAEDIATRIC",K502)), PROPER("PAEDIATRIC"),
ISNUMBER(SEARCH("FEMALE SURGICAL",K502)), PROPER("FEMALE SURG, ORTHO &amp; GYN"),
ISNUMBER(SEARCH("PSYCHIATRIST",K502)), PROPER("PSYCHIATRIST"),
ISNUMBER(SEARCH("GRADE 1",K502)), PROPER("GRADE 1"),
ISNUMBER(SEARCH("MALE SURGICAL",K502)), PROPER("MALE SURG &amp; ORTHOPEDIC"),
ISNUMBER(SEARCH("MALE MEDICAL",K502)), PROPER("MALE MEDICAL"),
ISNUMBER(SEARCH("GRADE 2",K502)), PROPER("GRADE 2"),
ISNUMBER(SEARCH("FEMALE WARD",K502)), PROPER("FEMALE MEDICAL"),
TRUE, "Unmapped: " &amp; K502)</f>
        <v>Labour</v>
      </c>
      <c r="M502" t="s">
        <v>22</v>
      </c>
      <c r="O502" t="s">
        <v>1833</v>
      </c>
      <c r="P502" t="str">
        <f t="shared" si="61"/>
        <v>Text Error</v>
      </c>
      <c r="Q502" s="5">
        <v>46046.2502662037</v>
      </c>
      <c r="R502" t="str">
        <f t="shared" si="62"/>
        <v>Valid Date</v>
      </c>
      <c r="S502" t="s">
        <v>1834</v>
      </c>
      <c r="T502" s="5">
        <v>46049.697002314817</v>
      </c>
      <c r="U502">
        <v>3</v>
      </c>
      <c r="V502" t="str">
        <f t="shared" si="63"/>
        <v>OK</v>
      </c>
      <c r="W502" t="s">
        <v>25</v>
      </c>
      <c r="Y502" t="s">
        <v>30</v>
      </c>
    </row>
    <row r="503" spans="1:25" x14ac:dyDescent="0.25">
      <c r="A503" t="s">
        <v>1835</v>
      </c>
      <c r="B503" t="str">
        <f t="shared" si="57"/>
        <v>Tinasi Alex Kimpi</v>
      </c>
      <c r="C503">
        <v>129475</v>
      </c>
      <c r="D503" t="str">
        <f t="shared" si="56"/>
        <v>Unique</v>
      </c>
      <c r="E503" t="s">
        <v>601</v>
      </c>
      <c r="F503" s="3">
        <f t="shared" si="58"/>
        <v>17</v>
      </c>
      <c r="G503" t="s">
        <v>19</v>
      </c>
      <c r="H503" t="str">
        <f t="shared" si="59"/>
        <v>Valid</v>
      </c>
      <c r="I503" t="s">
        <v>20</v>
      </c>
      <c r="J503" t="str">
        <f t="shared" si="60"/>
        <v>Uvinza</v>
      </c>
      <c r="K503" t="s">
        <v>484</v>
      </c>
      <c r="L503" t="str" cm="1">
        <f t="array" ref="L503">_xlfn.IFS(
ISNUMBER(SEARCH("ICU",K503)), "ICU",
ISNUMBER(SEARCH("NEONATAL",K503)), PROPER("NEONATAL"),
ISNUMBER(SEARCH("LABOUR",K503)), PROPER("LABOUR"),
ISNUMBER(SEARCH("PAEDIATRIC",K503)), PROPER("PAEDIATRIC"),
ISNUMBER(SEARCH("FEMALE SURGICAL",K503)), PROPER("FEMALE SURG, ORTHO &amp; GYN"),
ISNUMBER(SEARCH("PSYCHIATRIST",K503)), PROPER("PSYCHIATRIST"),
ISNUMBER(SEARCH("GRADE 1",K503)), PROPER("GRADE 1"),
ISNUMBER(SEARCH("MALE SURGICAL",K503)), PROPER("MALE SURG &amp; ORTHOPEDIC"),
ISNUMBER(SEARCH("MALE MEDICAL",K503)), PROPER("MALE MEDICAL"),
ISNUMBER(SEARCH("GRADE 2",K503)), PROPER("GRADE 2"),
ISNUMBER(SEARCH("FEMALE WARD",K503)), PROPER("FEMALE MEDICAL"),
TRUE, "Unmapped: " &amp; K503)</f>
        <v>Male Medical</v>
      </c>
      <c r="M503" t="s">
        <v>22</v>
      </c>
      <c r="O503" t="s">
        <v>1836</v>
      </c>
      <c r="P503" t="str">
        <f t="shared" si="61"/>
        <v>Text Error</v>
      </c>
      <c r="Q503" s="5">
        <v>46046.623090277775</v>
      </c>
      <c r="R503" t="str">
        <f t="shared" si="62"/>
        <v>Valid Date</v>
      </c>
      <c r="S503" t="s">
        <v>1837</v>
      </c>
      <c r="T503" s="5">
        <v>46049.688275462962</v>
      </c>
      <c r="U503">
        <v>3</v>
      </c>
      <c r="V503" t="str">
        <f t="shared" si="63"/>
        <v>OK</v>
      </c>
      <c r="W503" t="s">
        <v>25</v>
      </c>
      <c r="Y503" t="s">
        <v>30</v>
      </c>
    </row>
    <row r="504" spans="1:25" x14ac:dyDescent="0.25">
      <c r="A504" t="s">
        <v>1838</v>
      </c>
      <c r="B504" t="str">
        <f t="shared" si="57"/>
        <v>Milgreda Ntilulagana Kinyamgala</v>
      </c>
      <c r="C504">
        <v>129492</v>
      </c>
      <c r="D504" t="str">
        <f t="shared" si="56"/>
        <v>Unique</v>
      </c>
      <c r="E504" t="s">
        <v>718</v>
      </c>
      <c r="F504" s="3">
        <f t="shared" si="58"/>
        <v>64</v>
      </c>
      <c r="G504" t="s">
        <v>32</v>
      </c>
      <c r="H504" t="str">
        <f t="shared" si="59"/>
        <v>Valid</v>
      </c>
      <c r="I504" t="s">
        <v>130</v>
      </c>
      <c r="J504" t="str">
        <f t="shared" si="60"/>
        <v>Buhigwe</v>
      </c>
      <c r="K504" t="s">
        <v>123</v>
      </c>
      <c r="L504" t="str" cm="1">
        <f t="array" ref="L504">_xlfn.IFS(
ISNUMBER(SEARCH("ICU",K504)), "ICU",
ISNUMBER(SEARCH("NEONATAL",K504)), PROPER("NEONATAL"),
ISNUMBER(SEARCH("LABOUR",K504)), PROPER("LABOUR"),
ISNUMBER(SEARCH("PAEDIATRIC",K504)), PROPER("PAEDIATRIC"),
ISNUMBER(SEARCH("FEMALE SURGICAL",K504)), PROPER("FEMALE SURG, ORTHO &amp; GYN"),
ISNUMBER(SEARCH("PSYCHIATRIST",K504)), PROPER("PSYCHIATRIST"),
ISNUMBER(SEARCH("GRADE 1",K504)), PROPER("GRADE 1"),
ISNUMBER(SEARCH("MALE SURGICAL",K504)), PROPER("MALE SURG &amp; ORTHOPEDIC"),
ISNUMBER(SEARCH("MALE MEDICAL",K504)), PROPER("MALE MEDICAL"),
ISNUMBER(SEARCH("GRADE 2",K504)), PROPER("GRADE 2"),
ISNUMBER(SEARCH("FEMALE WARD",K504)), PROPER("FEMALE MEDICAL"),
TRUE, "Unmapped: " &amp; K504)</f>
        <v>Female Surg, Ortho &amp; Gyn</v>
      </c>
      <c r="M504" t="s">
        <v>22</v>
      </c>
      <c r="O504" t="s">
        <v>1839</v>
      </c>
      <c r="P504" t="str">
        <f t="shared" si="61"/>
        <v>Text Error</v>
      </c>
      <c r="Q504" s="5">
        <v>46046.710243055553</v>
      </c>
      <c r="R504" t="str">
        <f t="shared" si="62"/>
        <v>Valid Date</v>
      </c>
      <c r="S504" t="s">
        <v>1840</v>
      </c>
      <c r="T504" s="5">
        <v>46050.382974537039</v>
      </c>
      <c r="U504">
        <v>3</v>
      </c>
      <c r="V504" t="str">
        <f t="shared" si="63"/>
        <v>OK</v>
      </c>
      <c r="W504" t="s">
        <v>211</v>
      </c>
      <c r="Y504" t="s">
        <v>30</v>
      </c>
    </row>
    <row r="505" spans="1:25" x14ac:dyDescent="0.25">
      <c r="A505" t="s">
        <v>1842</v>
      </c>
      <c r="B505" t="str">
        <f t="shared" si="57"/>
        <v>Romense Alfayo Shabani</v>
      </c>
      <c r="C505">
        <v>129476</v>
      </c>
      <c r="D505" t="str">
        <f t="shared" si="56"/>
        <v>Unique</v>
      </c>
      <c r="E505" t="s">
        <v>181</v>
      </c>
      <c r="F505" s="3">
        <f t="shared" si="58"/>
        <v>7</v>
      </c>
      <c r="G505" t="s">
        <v>19</v>
      </c>
      <c r="H505" t="str">
        <f t="shared" si="59"/>
        <v>Valid</v>
      </c>
      <c r="I505" t="s">
        <v>33</v>
      </c>
      <c r="J505" t="str">
        <f t="shared" si="60"/>
        <v>Kigoma Ujiji Mc</v>
      </c>
      <c r="K505" t="s">
        <v>109</v>
      </c>
      <c r="L505" t="str" cm="1">
        <f t="array" ref="L505">_xlfn.IFS(
ISNUMBER(SEARCH("ICU",K505)), "ICU",
ISNUMBER(SEARCH("NEONATAL",K505)), PROPER("NEONATAL"),
ISNUMBER(SEARCH("LABOUR",K505)), PROPER("LABOUR"),
ISNUMBER(SEARCH("PAEDIATRIC",K505)), PROPER("PAEDIATRIC"),
ISNUMBER(SEARCH("FEMALE SURGICAL",K505)), PROPER("FEMALE SURG, ORTHO &amp; GYN"),
ISNUMBER(SEARCH("PSYCHIATRIST",K505)), PROPER("PSYCHIATRIST"),
ISNUMBER(SEARCH("GRADE 1",K505)), PROPER("GRADE 1"),
ISNUMBER(SEARCH("MALE SURGICAL",K505)), PROPER("MALE SURG &amp; ORTHOPEDIC"),
ISNUMBER(SEARCH("MALE MEDICAL",K505)), PROPER("MALE MEDICAL"),
ISNUMBER(SEARCH("GRADE 2",K505)), PROPER("GRADE 2"),
ISNUMBER(SEARCH("FEMALE WARD",K505)), PROPER("FEMALE MEDICAL"),
TRUE, "Unmapped: " &amp; K505)</f>
        <v>Paediatric</v>
      </c>
      <c r="M505" t="s">
        <v>22</v>
      </c>
      <c r="O505" t="s">
        <v>1843</v>
      </c>
      <c r="P505" t="str">
        <f t="shared" si="61"/>
        <v>Text Error</v>
      </c>
      <c r="Q505" s="5">
        <v>46046.722118055557</v>
      </c>
      <c r="R505" t="str">
        <f t="shared" si="62"/>
        <v>Valid Date</v>
      </c>
      <c r="S505" t="s">
        <v>1844</v>
      </c>
      <c r="T505" s="5">
        <v>46049.730671296296</v>
      </c>
      <c r="U505">
        <v>3</v>
      </c>
      <c r="V505" t="str">
        <f t="shared" si="63"/>
        <v>OK</v>
      </c>
      <c r="W505" t="s">
        <v>25</v>
      </c>
      <c r="Y505" t="s">
        <v>30</v>
      </c>
    </row>
    <row r="506" spans="1:25" x14ac:dyDescent="0.25">
      <c r="A506" t="s">
        <v>1845</v>
      </c>
      <c r="B506" t="str">
        <f t="shared" si="57"/>
        <v>Safi Bweka Masudi</v>
      </c>
      <c r="C506">
        <v>129503</v>
      </c>
      <c r="D506" t="str">
        <f t="shared" si="56"/>
        <v>Unique</v>
      </c>
      <c r="E506" t="s">
        <v>122</v>
      </c>
      <c r="F506" s="3">
        <f t="shared" si="58"/>
        <v>40</v>
      </c>
      <c r="G506" t="s">
        <v>32</v>
      </c>
      <c r="H506" t="str">
        <f t="shared" si="59"/>
        <v>Valid</v>
      </c>
      <c r="I506" t="s">
        <v>20</v>
      </c>
      <c r="J506" t="str">
        <f t="shared" si="60"/>
        <v>Uvinza</v>
      </c>
      <c r="K506" t="s">
        <v>40</v>
      </c>
      <c r="L506" t="str" cm="1">
        <f t="array" ref="L506">_xlfn.IFS(
ISNUMBER(SEARCH("ICU",K506)), "ICU",
ISNUMBER(SEARCH("NEONATAL",K506)), PROPER("NEONATAL"),
ISNUMBER(SEARCH("LABOUR",K506)), PROPER("LABOUR"),
ISNUMBER(SEARCH("PAEDIATRIC",K506)), PROPER("PAEDIATRIC"),
ISNUMBER(SEARCH("FEMALE SURGICAL",K506)), PROPER("FEMALE SURG, ORTHO &amp; GYN"),
ISNUMBER(SEARCH("PSYCHIATRIST",K506)), PROPER("PSYCHIATRIST"),
ISNUMBER(SEARCH("GRADE 1",K506)), PROPER("GRADE 1"),
ISNUMBER(SEARCH("MALE SURGICAL",K506)), PROPER("MALE SURG &amp; ORTHOPEDIC"),
ISNUMBER(SEARCH("MALE MEDICAL",K506)), PROPER("MALE MEDICAL"),
ISNUMBER(SEARCH("GRADE 2",K506)), PROPER("GRADE 2"),
ISNUMBER(SEARCH("FEMALE WARD",K506)), PROPER("FEMALE MEDICAL"),
TRUE, "Unmapped: " &amp; K506)</f>
        <v>Labour</v>
      </c>
      <c r="M506" t="s">
        <v>22</v>
      </c>
      <c r="O506" t="s">
        <v>1846</v>
      </c>
      <c r="P506" t="str">
        <f t="shared" si="61"/>
        <v>Text Error</v>
      </c>
      <c r="Q506" s="5">
        <v>46046.96334490741</v>
      </c>
      <c r="R506" t="str">
        <f t="shared" si="62"/>
        <v>Valid Date</v>
      </c>
      <c r="S506" t="s">
        <v>1847</v>
      </c>
      <c r="T506" s="5">
        <v>46050.657719907409</v>
      </c>
      <c r="U506">
        <v>3</v>
      </c>
      <c r="V506" t="str">
        <f t="shared" si="63"/>
        <v>OK</v>
      </c>
      <c r="W506" t="s">
        <v>25</v>
      </c>
      <c r="Y506" t="s">
        <v>30</v>
      </c>
    </row>
    <row r="507" spans="1:25" x14ac:dyDescent="0.25">
      <c r="A507" t="s">
        <v>1848</v>
      </c>
      <c r="B507" t="str">
        <f t="shared" si="57"/>
        <v>Jesca Philimoni Chakupewa</v>
      </c>
      <c r="C507">
        <v>129506</v>
      </c>
      <c r="D507" t="str">
        <f t="shared" si="56"/>
        <v>Unique</v>
      </c>
      <c r="E507" t="s">
        <v>188</v>
      </c>
      <c r="F507" s="3">
        <f t="shared" si="58"/>
        <v>28</v>
      </c>
      <c r="G507" t="s">
        <v>32</v>
      </c>
      <c r="H507" t="str">
        <f t="shared" si="59"/>
        <v>Valid</v>
      </c>
      <c r="I507" t="s">
        <v>33</v>
      </c>
      <c r="J507" t="str">
        <f t="shared" si="60"/>
        <v>Kigoma Ujiji Mc</v>
      </c>
      <c r="K507" t="s">
        <v>40</v>
      </c>
      <c r="L507" t="str" cm="1">
        <f t="array" ref="L507">_xlfn.IFS(
ISNUMBER(SEARCH("ICU",K507)), "ICU",
ISNUMBER(SEARCH("NEONATAL",K507)), PROPER("NEONATAL"),
ISNUMBER(SEARCH("LABOUR",K507)), PROPER("LABOUR"),
ISNUMBER(SEARCH("PAEDIATRIC",K507)), PROPER("PAEDIATRIC"),
ISNUMBER(SEARCH("FEMALE SURGICAL",K507)), PROPER("FEMALE SURG, ORTHO &amp; GYN"),
ISNUMBER(SEARCH("PSYCHIATRIST",K507)), PROPER("PSYCHIATRIST"),
ISNUMBER(SEARCH("GRADE 1",K507)), PROPER("GRADE 1"),
ISNUMBER(SEARCH("MALE SURGICAL",K507)), PROPER("MALE SURG &amp; ORTHOPEDIC"),
ISNUMBER(SEARCH("MALE MEDICAL",K507)), PROPER("MALE MEDICAL"),
ISNUMBER(SEARCH("GRADE 2",K507)), PROPER("GRADE 2"),
ISNUMBER(SEARCH("FEMALE WARD",K507)), PROPER("FEMALE MEDICAL"),
TRUE, "Unmapped: " &amp; K507)</f>
        <v>Labour</v>
      </c>
      <c r="M507" t="s">
        <v>22</v>
      </c>
      <c r="O507" t="s">
        <v>1849</v>
      </c>
      <c r="P507" t="str">
        <f t="shared" si="61"/>
        <v>Text Error</v>
      </c>
      <c r="Q507" s="5">
        <v>46047.092233796298</v>
      </c>
      <c r="R507" t="str">
        <f t="shared" si="62"/>
        <v>Valid Date</v>
      </c>
      <c r="S507" t="s">
        <v>1850</v>
      </c>
      <c r="T507" s="5">
        <v>46050.572604166664</v>
      </c>
      <c r="U507">
        <v>3</v>
      </c>
      <c r="V507" t="str">
        <f t="shared" si="63"/>
        <v>OK</v>
      </c>
      <c r="W507" t="s">
        <v>25</v>
      </c>
      <c r="Y507" t="s">
        <v>30</v>
      </c>
    </row>
    <row r="508" spans="1:25" x14ac:dyDescent="0.25">
      <c r="A508" t="s">
        <v>1851</v>
      </c>
      <c r="B508" t="str">
        <f t="shared" si="57"/>
        <v>Anatoria Daudi Yabiro</v>
      </c>
      <c r="C508">
        <v>129502</v>
      </c>
      <c r="D508" t="str">
        <f t="shared" si="56"/>
        <v>Unique</v>
      </c>
      <c r="E508" t="s">
        <v>773</v>
      </c>
      <c r="F508" s="3">
        <f t="shared" si="58"/>
        <v>68</v>
      </c>
      <c r="G508" t="s">
        <v>32</v>
      </c>
      <c r="H508" t="str">
        <f t="shared" si="59"/>
        <v>Valid</v>
      </c>
      <c r="I508" t="s">
        <v>62</v>
      </c>
      <c r="J508" t="str">
        <f t="shared" si="60"/>
        <v>Kigoma Vijijini</v>
      </c>
      <c r="K508" t="s">
        <v>700</v>
      </c>
      <c r="L508" t="str" cm="1">
        <f t="array" ref="L508">_xlfn.IFS(
ISNUMBER(SEARCH("ICU",K508)), "ICU",
ISNUMBER(SEARCH("NEONATAL",K508)), PROPER("NEONATAL"),
ISNUMBER(SEARCH("LABOUR",K508)), PROPER("LABOUR"),
ISNUMBER(SEARCH("PAEDIATRIC",K508)), PROPER("PAEDIATRIC"),
ISNUMBER(SEARCH("FEMALE SURGICAL",K508)), PROPER("FEMALE SURG, ORTHO &amp; GYN"),
ISNUMBER(SEARCH("PSYCHIATRIST",K508)), PROPER("PSYCHIATRIST"),
ISNUMBER(SEARCH("GRADE 1",K508)), PROPER("GRADE 1"),
ISNUMBER(SEARCH("MALE SURGICAL",K508)), PROPER("MALE SURG &amp; ORTHOPEDIC"),
ISNUMBER(SEARCH("MALE MEDICAL",K508)), PROPER("MALE MEDICAL"),
ISNUMBER(SEARCH("GRADE 2",K508)), PROPER("GRADE 2"),
ISNUMBER(SEARCH("FEMALE WARD",K508)), PROPER("FEMALE MEDICAL"),
TRUE, "Unmapped: " &amp; K508)</f>
        <v>Female Medical</v>
      </c>
      <c r="M508" t="s">
        <v>22</v>
      </c>
      <c r="O508" t="s">
        <v>1852</v>
      </c>
      <c r="P508" t="str">
        <f t="shared" si="61"/>
        <v>Text Error</v>
      </c>
      <c r="Q508" s="5">
        <v>46047.375671296293</v>
      </c>
      <c r="R508" t="str">
        <f t="shared" si="62"/>
        <v>Valid Date</v>
      </c>
      <c r="S508" t="s">
        <v>1853</v>
      </c>
      <c r="T508" s="5">
        <v>46050.624768518515</v>
      </c>
      <c r="U508">
        <v>3</v>
      </c>
      <c r="V508" t="str">
        <f t="shared" si="63"/>
        <v>OK</v>
      </c>
      <c r="W508" t="s">
        <v>25</v>
      </c>
      <c r="Y508" t="s">
        <v>30</v>
      </c>
    </row>
    <row r="509" spans="1:25" x14ac:dyDescent="0.25">
      <c r="A509" t="s">
        <v>1854</v>
      </c>
      <c r="B509" t="str">
        <f t="shared" si="57"/>
        <v>Pelepetua Kacha Kamo</v>
      </c>
      <c r="C509">
        <v>77930</v>
      </c>
      <c r="D509" t="str">
        <f t="shared" si="56"/>
        <v>Unique</v>
      </c>
      <c r="E509" t="s">
        <v>1855</v>
      </c>
      <c r="F509" s="3">
        <f t="shared" si="58"/>
        <v>82</v>
      </c>
      <c r="G509" t="s">
        <v>32</v>
      </c>
      <c r="H509" t="str">
        <f t="shared" si="59"/>
        <v>Valid</v>
      </c>
      <c r="I509" t="s">
        <v>227</v>
      </c>
      <c r="J509" t="str">
        <f t="shared" si="60"/>
        <v>KGG</v>
      </c>
      <c r="K509" t="s">
        <v>685</v>
      </c>
      <c r="L509" t="str" cm="1">
        <f t="array" ref="L509">_xlfn.IFS(
ISNUMBER(SEARCH("ICU",K509)), "ICU",
ISNUMBER(SEARCH("NEONATAL",K509)), PROPER("NEONATAL"),
ISNUMBER(SEARCH("LABOUR",K509)), PROPER("LABOUR"),
ISNUMBER(SEARCH("PAEDIATRIC",K509)), PROPER("PAEDIATRIC"),
ISNUMBER(SEARCH("FEMALE SURGICAL",K509)), PROPER("FEMALE SURG, ORTHO &amp; GYN"),
ISNUMBER(SEARCH("PSYCHIATRIST",K509)), PROPER("PSYCHIATRIST"),
ISNUMBER(SEARCH("GRADE 1",K509)), PROPER("GRADE 1"),
ISNUMBER(SEARCH("MALE SURGICAL",K509)), PROPER("MALE SURG &amp; ORTHOPEDIC"),
ISNUMBER(SEARCH("MALE MEDICAL",K509)), PROPER("MALE MEDICAL"),
ISNUMBER(SEARCH("GRADE 2",K509)), PROPER("GRADE 2"),
ISNUMBER(SEARCH("FEMALE WARD",K509)), PROPER("FEMALE MEDICAL"),
TRUE, "Unmapped: " &amp; K509)</f>
        <v>Grade 2</v>
      </c>
      <c r="M509" t="s">
        <v>394</v>
      </c>
      <c r="O509" t="s">
        <v>1856</v>
      </c>
      <c r="P509" t="str">
        <f t="shared" si="61"/>
        <v>Text Error</v>
      </c>
      <c r="Q509" s="5">
        <v>46047.489560185182</v>
      </c>
      <c r="R509" t="str">
        <f t="shared" si="62"/>
        <v>Valid Date</v>
      </c>
      <c r="S509" t="s">
        <v>1857</v>
      </c>
      <c r="T509" s="5">
        <v>46050.62222222222</v>
      </c>
      <c r="U509">
        <v>3</v>
      </c>
      <c r="V509" t="str">
        <f t="shared" si="63"/>
        <v>OK</v>
      </c>
      <c r="W509" t="s">
        <v>25</v>
      </c>
      <c r="Y509" t="s">
        <v>30</v>
      </c>
    </row>
    <row r="510" spans="1:25" x14ac:dyDescent="0.25">
      <c r="A510" t="s">
        <v>1858</v>
      </c>
      <c r="B510" t="str">
        <f t="shared" si="57"/>
        <v>Leobelle Malima Machumu</v>
      </c>
      <c r="C510">
        <v>12194</v>
      </c>
      <c r="D510" t="str">
        <f t="shared" si="56"/>
        <v>Unique</v>
      </c>
      <c r="E510" t="s">
        <v>193</v>
      </c>
      <c r="F510" s="3">
        <f t="shared" si="58"/>
        <v>5</v>
      </c>
      <c r="G510" t="s">
        <v>32</v>
      </c>
      <c r="H510" t="str">
        <f t="shared" si="59"/>
        <v>Valid</v>
      </c>
      <c r="I510" t="s">
        <v>754</v>
      </c>
      <c r="J510" t="str">
        <f t="shared" si="60"/>
        <v>KG</v>
      </c>
      <c r="K510" t="s">
        <v>393</v>
      </c>
      <c r="L510" t="str" cm="1">
        <f t="array" ref="L510">_xlfn.IFS(
ISNUMBER(SEARCH("ICU",K510)), "ICU",
ISNUMBER(SEARCH("NEONATAL",K510)), PROPER("NEONATAL"),
ISNUMBER(SEARCH("LABOUR",K510)), PROPER("LABOUR"),
ISNUMBER(SEARCH("PAEDIATRIC",K510)), PROPER("PAEDIATRIC"),
ISNUMBER(SEARCH("FEMALE SURGICAL",K510)), PROPER("FEMALE SURG, ORTHO &amp; GYN"),
ISNUMBER(SEARCH("PSYCHIATRIST",K510)), PROPER("PSYCHIATRIST"),
ISNUMBER(SEARCH("GRADE 1",K510)), PROPER("GRADE 1"),
ISNUMBER(SEARCH("MALE SURGICAL",K510)), PROPER("MALE SURG &amp; ORTHOPEDIC"),
ISNUMBER(SEARCH("MALE MEDICAL",K510)), PROPER("MALE MEDICAL"),
ISNUMBER(SEARCH("GRADE 2",K510)), PROPER("GRADE 2"),
ISNUMBER(SEARCH("FEMALE WARD",K510)), PROPER("FEMALE MEDICAL"),
TRUE, "Unmapped: " &amp; K510)</f>
        <v>Grade 1</v>
      </c>
      <c r="M510" t="s">
        <v>394</v>
      </c>
      <c r="O510" t="s">
        <v>1859</v>
      </c>
      <c r="P510" t="str">
        <f t="shared" si="61"/>
        <v>Text Error</v>
      </c>
      <c r="Q510" s="5">
        <v>46047.658090277779</v>
      </c>
      <c r="R510" t="str">
        <f t="shared" si="62"/>
        <v>Valid Date</v>
      </c>
      <c r="S510" t="s">
        <v>1860</v>
      </c>
      <c r="T510" s="5">
        <v>46051.518078703702</v>
      </c>
      <c r="U510">
        <v>3</v>
      </c>
      <c r="V510" t="str">
        <f t="shared" si="63"/>
        <v>OK</v>
      </c>
      <c r="W510" t="s">
        <v>25</v>
      </c>
      <c r="Y510" t="s">
        <v>30</v>
      </c>
    </row>
    <row r="511" spans="1:25" x14ac:dyDescent="0.25">
      <c r="A511" t="s">
        <v>1861</v>
      </c>
      <c r="B511" t="str">
        <f t="shared" si="57"/>
        <v>Ismail Moshi Ramadhan</v>
      </c>
      <c r="C511">
        <v>86347</v>
      </c>
      <c r="D511" t="str">
        <f t="shared" si="56"/>
        <v>Duplicate</v>
      </c>
      <c r="E511" t="s">
        <v>454</v>
      </c>
      <c r="F511" s="3">
        <f t="shared" si="58"/>
        <v>3</v>
      </c>
      <c r="G511" t="s">
        <v>19</v>
      </c>
      <c r="H511" t="str">
        <f t="shared" si="59"/>
        <v>Valid</v>
      </c>
      <c r="I511" t="s">
        <v>33</v>
      </c>
      <c r="J511" t="str">
        <f t="shared" si="60"/>
        <v>Kigoma Ujiji Mc</v>
      </c>
      <c r="K511" t="s">
        <v>109</v>
      </c>
      <c r="L511" t="str" cm="1">
        <f t="array" ref="L511">_xlfn.IFS(
ISNUMBER(SEARCH("ICU",K511)), "ICU",
ISNUMBER(SEARCH("NEONATAL",K511)), PROPER("NEONATAL"),
ISNUMBER(SEARCH("LABOUR",K511)), PROPER("LABOUR"),
ISNUMBER(SEARCH("PAEDIATRIC",K511)), PROPER("PAEDIATRIC"),
ISNUMBER(SEARCH("FEMALE SURGICAL",K511)), PROPER("FEMALE SURG, ORTHO &amp; GYN"),
ISNUMBER(SEARCH("PSYCHIATRIST",K511)), PROPER("PSYCHIATRIST"),
ISNUMBER(SEARCH("GRADE 1",K511)), PROPER("GRADE 1"),
ISNUMBER(SEARCH("MALE SURGICAL",K511)), PROPER("MALE SURG &amp; ORTHOPEDIC"),
ISNUMBER(SEARCH("MALE MEDICAL",K511)), PROPER("MALE MEDICAL"),
ISNUMBER(SEARCH("GRADE 2",K511)), PROPER("GRADE 2"),
ISNUMBER(SEARCH("FEMALE WARD",K511)), PROPER("FEMALE MEDICAL"),
TRUE, "Unmapped: " &amp; K511)</f>
        <v>Paediatric</v>
      </c>
      <c r="M511" t="s">
        <v>22</v>
      </c>
      <c r="O511" t="s">
        <v>1862</v>
      </c>
      <c r="P511" t="str">
        <f t="shared" si="61"/>
        <v>Text Error</v>
      </c>
      <c r="Q511" s="5">
        <v>46047.687997685185</v>
      </c>
      <c r="R511" t="str">
        <f t="shared" si="62"/>
        <v>Valid Date</v>
      </c>
      <c r="S511" t="s">
        <v>1863</v>
      </c>
      <c r="T511" s="5">
        <v>46051.682129629633</v>
      </c>
      <c r="U511">
        <v>3</v>
      </c>
      <c r="V511" t="str">
        <f t="shared" si="63"/>
        <v>OK</v>
      </c>
      <c r="W511" t="s">
        <v>25</v>
      </c>
      <c r="Y511" t="s">
        <v>30</v>
      </c>
    </row>
    <row r="512" spans="1:25" x14ac:dyDescent="0.25">
      <c r="A512" t="s">
        <v>1864</v>
      </c>
      <c r="B512" t="str">
        <f t="shared" si="57"/>
        <v>Ramadhan Issa Mnyefu</v>
      </c>
      <c r="C512">
        <v>128539</v>
      </c>
      <c r="D512" t="str">
        <f t="shared" si="56"/>
        <v>Unique</v>
      </c>
      <c r="E512" t="s">
        <v>400</v>
      </c>
      <c r="F512" s="3">
        <f t="shared" si="58"/>
        <v>39</v>
      </c>
      <c r="G512" t="s">
        <v>19</v>
      </c>
      <c r="H512" t="str">
        <f t="shared" si="59"/>
        <v>Valid</v>
      </c>
      <c r="I512" t="s">
        <v>1865</v>
      </c>
      <c r="J512" t="str">
        <f t="shared" si="60"/>
        <v>Mlele</v>
      </c>
      <c r="K512" t="s">
        <v>428</v>
      </c>
      <c r="L512" t="str" cm="1">
        <f t="array" ref="L512">_xlfn.IFS(
ISNUMBER(SEARCH("ICU",K512)), "ICU",
ISNUMBER(SEARCH("NEONATAL",K512)), PROPER("NEONATAL"),
ISNUMBER(SEARCH("LABOUR",K512)), PROPER("LABOUR"),
ISNUMBER(SEARCH("PAEDIATRIC",K512)), PROPER("PAEDIATRIC"),
ISNUMBER(SEARCH("FEMALE SURGICAL",K512)), PROPER("FEMALE SURG, ORTHO &amp; GYN"),
ISNUMBER(SEARCH("PSYCHIATRIST",K512)), PROPER("PSYCHIATRIST"),
ISNUMBER(SEARCH("GRADE 1",K512)), PROPER("GRADE 1"),
ISNUMBER(SEARCH("MALE SURGICAL",K512)), PROPER("MALE SURG &amp; ORTHOPEDIC"),
ISNUMBER(SEARCH("MALE MEDICAL",K512)), PROPER("MALE MEDICAL"),
ISNUMBER(SEARCH("GRADE 2",K512)), PROPER("GRADE 2"),
ISNUMBER(SEARCH("FEMALE WARD",K512)), PROPER("FEMALE MEDICAL"),
TRUE, "Unmapped: " &amp; K512)</f>
        <v>Male Surg &amp; Orthopedic</v>
      </c>
      <c r="M512" t="s">
        <v>22</v>
      </c>
      <c r="O512" t="s">
        <v>1866</v>
      </c>
      <c r="P512" t="str">
        <f t="shared" si="61"/>
        <v>Text Error</v>
      </c>
      <c r="Q512" s="5">
        <v>46048.599502314813</v>
      </c>
      <c r="R512" t="str">
        <f t="shared" si="62"/>
        <v>Valid Date</v>
      </c>
      <c r="S512" t="s">
        <v>1867</v>
      </c>
      <c r="T512" s="5">
        <v>46051.608877314815</v>
      </c>
      <c r="U512">
        <v>3</v>
      </c>
      <c r="V512" t="str">
        <f t="shared" si="63"/>
        <v>OK</v>
      </c>
      <c r="W512" t="s">
        <v>25</v>
      </c>
      <c r="Y512" t="s">
        <v>1869</v>
      </c>
    </row>
    <row r="513" spans="1:25" x14ac:dyDescent="0.25">
      <c r="A513" t="s">
        <v>1870</v>
      </c>
      <c r="B513" t="str">
        <f t="shared" si="57"/>
        <v>Josephina Mtangi Kitenza</v>
      </c>
      <c r="C513">
        <v>64732</v>
      </c>
      <c r="D513" t="str">
        <f t="shared" si="56"/>
        <v>Unique</v>
      </c>
      <c r="E513" t="s">
        <v>572</v>
      </c>
      <c r="F513" s="3">
        <f t="shared" si="58"/>
        <v>61</v>
      </c>
      <c r="G513" t="s">
        <v>32</v>
      </c>
      <c r="H513" t="str">
        <f t="shared" si="59"/>
        <v>Valid</v>
      </c>
      <c r="I513" t="s">
        <v>227</v>
      </c>
      <c r="J513" t="str">
        <f t="shared" si="60"/>
        <v>KGG</v>
      </c>
      <c r="K513" t="s">
        <v>700</v>
      </c>
      <c r="L513" t="str" cm="1">
        <f t="array" ref="L513">_xlfn.IFS(
ISNUMBER(SEARCH("ICU",K513)), "ICU",
ISNUMBER(SEARCH("NEONATAL",K513)), PROPER("NEONATAL"),
ISNUMBER(SEARCH("LABOUR",K513)), PROPER("LABOUR"),
ISNUMBER(SEARCH("PAEDIATRIC",K513)), PROPER("PAEDIATRIC"),
ISNUMBER(SEARCH("FEMALE SURGICAL",K513)), PROPER("FEMALE SURG, ORTHO &amp; GYN"),
ISNUMBER(SEARCH("PSYCHIATRIST",K513)), PROPER("PSYCHIATRIST"),
ISNUMBER(SEARCH("GRADE 1",K513)), PROPER("GRADE 1"),
ISNUMBER(SEARCH("MALE SURGICAL",K513)), PROPER("MALE SURG &amp; ORTHOPEDIC"),
ISNUMBER(SEARCH("MALE MEDICAL",K513)), PROPER("MALE MEDICAL"),
ISNUMBER(SEARCH("GRADE 2",K513)), PROPER("GRADE 2"),
ISNUMBER(SEARCH("FEMALE WARD",K513)), PROPER("FEMALE MEDICAL"),
TRUE, "Unmapped: " &amp; K513)</f>
        <v>Female Medical</v>
      </c>
      <c r="M513" t="s">
        <v>22</v>
      </c>
      <c r="O513" t="s">
        <v>1871</v>
      </c>
      <c r="P513" t="str">
        <f t="shared" si="61"/>
        <v>Text Error</v>
      </c>
      <c r="Q513" s="5">
        <v>46048.617291666669</v>
      </c>
      <c r="R513" t="str">
        <f t="shared" si="62"/>
        <v>Valid Date</v>
      </c>
      <c r="S513" t="s">
        <v>1872</v>
      </c>
      <c r="T513" s="5">
        <v>46052.532384259262</v>
      </c>
      <c r="U513">
        <v>3</v>
      </c>
      <c r="V513" t="str">
        <f t="shared" si="63"/>
        <v>OK</v>
      </c>
      <c r="W513" t="s">
        <v>211</v>
      </c>
      <c r="Y513" t="s">
        <v>30</v>
      </c>
    </row>
    <row r="514" spans="1:25" x14ac:dyDescent="0.25">
      <c r="A514" t="s">
        <v>1874</v>
      </c>
      <c r="B514" t="str">
        <f t="shared" si="57"/>
        <v>Steven Anord Sazi</v>
      </c>
      <c r="C514">
        <v>129678</v>
      </c>
      <c r="D514" t="str">
        <f t="shared" ref="D514:D577" si="64">IF(COUNTIF($C$2:$C$905,C514)&gt;1,"Duplicate","Unique")</f>
        <v>Unique</v>
      </c>
      <c r="E514" t="s">
        <v>1217</v>
      </c>
      <c r="F514" s="3">
        <f t="shared" si="58"/>
        <v>9</v>
      </c>
      <c r="G514" t="s">
        <v>19</v>
      </c>
      <c r="H514" t="str">
        <f t="shared" si="59"/>
        <v>Valid</v>
      </c>
      <c r="I514" t="s">
        <v>62</v>
      </c>
      <c r="J514" t="str">
        <f t="shared" si="60"/>
        <v>Kigoma Vijijini</v>
      </c>
      <c r="K514" t="s">
        <v>109</v>
      </c>
      <c r="L514" t="str" cm="1">
        <f t="array" ref="L514">_xlfn.IFS(
ISNUMBER(SEARCH("ICU",K514)), "ICU",
ISNUMBER(SEARCH("NEONATAL",K514)), PROPER("NEONATAL"),
ISNUMBER(SEARCH("LABOUR",K514)), PROPER("LABOUR"),
ISNUMBER(SEARCH("PAEDIATRIC",K514)), PROPER("PAEDIATRIC"),
ISNUMBER(SEARCH("FEMALE SURGICAL",K514)), PROPER("FEMALE SURG, ORTHO &amp; GYN"),
ISNUMBER(SEARCH("PSYCHIATRIST",K514)), PROPER("PSYCHIATRIST"),
ISNUMBER(SEARCH("GRADE 1",K514)), PROPER("GRADE 1"),
ISNUMBER(SEARCH("MALE SURGICAL",K514)), PROPER("MALE SURG &amp; ORTHOPEDIC"),
ISNUMBER(SEARCH("MALE MEDICAL",K514)), PROPER("MALE MEDICAL"),
ISNUMBER(SEARCH("GRADE 2",K514)), PROPER("GRADE 2"),
ISNUMBER(SEARCH("FEMALE WARD",K514)), PROPER("FEMALE MEDICAL"),
TRUE, "Unmapped: " &amp; K514)</f>
        <v>Paediatric</v>
      </c>
      <c r="M514" t="s">
        <v>22</v>
      </c>
      <c r="O514" t="s">
        <v>1875</v>
      </c>
      <c r="P514" t="str">
        <f t="shared" si="61"/>
        <v>Text Error</v>
      </c>
      <c r="Q514" s="5">
        <v>46048.896145833336</v>
      </c>
      <c r="R514" t="str">
        <f t="shared" si="62"/>
        <v>Valid Date</v>
      </c>
      <c r="S514" t="s">
        <v>1876</v>
      </c>
      <c r="T514" s="5">
        <v>46052.646956018521</v>
      </c>
      <c r="U514">
        <v>3</v>
      </c>
      <c r="V514" t="str">
        <f t="shared" si="63"/>
        <v>OK</v>
      </c>
      <c r="W514" t="s">
        <v>25</v>
      </c>
      <c r="Y514" t="s">
        <v>30</v>
      </c>
    </row>
    <row r="515" spans="1:25" x14ac:dyDescent="0.25">
      <c r="A515" t="s">
        <v>1877</v>
      </c>
      <c r="B515" t="str">
        <f t="shared" ref="B515:B578" si="65">IF(LEN(TRIM(A515))-LEN(SUBSTITUTE(TRIM(A515)," ",""))&gt;=1,TRIM(A515),"⚠ Only 1 name: "&amp;TRIM(A515))</f>
        <v>Ernest E Toyi</v>
      </c>
      <c r="C515">
        <v>38056</v>
      </c>
      <c r="D515" t="str">
        <f t="shared" si="64"/>
        <v>Unique</v>
      </c>
      <c r="E515" t="s">
        <v>285</v>
      </c>
      <c r="F515" s="3">
        <f t="shared" ref="F515:F578" si="66">IF(ISNUMBER(SEARCH("month",E515)), LEFT(E515,FIND(" ",E515)-1)&amp;"/12", VALUE(LEFT(E515,FIND(" ",E515)-1)))</f>
        <v>38</v>
      </c>
      <c r="G515" t="s">
        <v>19</v>
      </c>
      <c r="H515" t="str">
        <f t="shared" ref="H515:H578" si="67">IF(OR(TRIM(G515)="Male", TRIM(G515)="Female"), "Valid", "Inconsistent")</f>
        <v>Valid</v>
      </c>
      <c r="I515" t="s">
        <v>33</v>
      </c>
      <c r="J515" t="str">
        <f t="shared" ref="J515:J578" si="68">SUBSTITUTE(SUBSTITUTE(TRIM(CLEAN(I515)),"Manisipaa ya kigoma ujiji","Kigoma Ujiji Mc"),"Buhingwe","Buhigwe")</f>
        <v>Kigoma Ujiji Mc</v>
      </c>
      <c r="K515" t="s">
        <v>685</v>
      </c>
      <c r="L515" t="str" cm="1">
        <f t="array" ref="L515">_xlfn.IFS(
ISNUMBER(SEARCH("ICU",K515)), "ICU",
ISNUMBER(SEARCH("NEONATAL",K515)), PROPER("NEONATAL"),
ISNUMBER(SEARCH("LABOUR",K515)), PROPER("LABOUR"),
ISNUMBER(SEARCH("PAEDIATRIC",K515)), PROPER("PAEDIATRIC"),
ISNUMBER(SEARCH("FEMALE SURGICAL",K515)), PROPER("FEMALE SURG, ORTHO &amp; GYN"),
ISNUMBER(SEARCH("PSYCHIATRIST",K515)), PROPER("PSYCHIATRIST"),
ISNUMBER(SEARCH("GRADE 1",K515)), PROPER("GRADE 1"),
ISNUMBER(SEARCH("MALE SURGICAL",K515)), PROPER("MALE SURG &amp; ORTHOPEDIC"),
ISNUMBER(SEARCH("MALE MEDICAL",K515)), PROPER("MALE MEDICAL"),
ISNUMBER(SEARCH("GRADE 2",K515)), PROPER("GRADE 2"),
ISNUMBER(SEARCH("FEMALE WARD",K515)), PROPER("FEMALE MEDICAL"),
TRUE, "Unmapped: " &amp; K515)</f>
        <v>Grade 2</v>
      </c>
      <c r="M515" t="s">
        <v>394</v>
      </c>
      <c r="O515" t="s">
        <v>1878</v>
      </c>
      <c r="P515" t="str">
        <f t="shared" ref="P515:P578" si="69">IF(ISNUMBER(O515), "Valid Date", "Text Error")</f>
        <v>Text Error</v>
      </c>
      <c r="Q515" s="5">
        <v>46048.971238425926</v>
      </c>
      <c r="R515" t="str">
        <f t="shared" ref="R515:R578" si="70">IF(ISNUMBER(Q515), "Valid Date", "Text Error")</f>
        <v>Valid Date</v>
      </c>
      <c r="S515" t="s">
        <v>1879</v>
      </c>
      <c r="T515" s="5">
        <v>46052.60696759259</v>
      </c>
      <c r="U515">
        <v>3</v>
      </c>
      <c r="V515" t="str">
        <f t="shared" ref="V515:V578" si="71">IF(NOT(ISNUMBER(U515)), "Text Error", IF(U515&lt;0, "Negative", "OK"))</f>
        <v>OK</v>
      </c>
      <c r="W515" t="s">
        <v>25</v>
      </c>
      <c r="Y515" t="s">
        <v>30</v>
      </c>
    </row>
    <row r="516" spans="1:25" x14ac:dyDescent="0.25">
      <c r="A516" t="s">
        <v>1880</v>
      </c>
      <c r="B516" t="str">
        <f t="shared" si="65"/>
        <v>Baby Of Mariam Zephani Lenard</v>
      </c>
      <c r="C516">
        <v>129617</v>
      </c>
      <c r="D516" t="str">
        <f t="shared" si="64"/>
        <v>Unique</v>
      </c>
      <c r="E516" t="s">
        <v>622</v>
      </c>
      <c r="F516" s="3" t="str">
        <f t="shared" si="66"/>
        <v>2/12</v>
      </c>
      <c r="G516" t="s">
        <v>32</v>
      </c>
      <c r="H516" t="str">
        <f t="shared" si="67"/>
        <v>Valid</v>
      </c>
      <c r="I516" t="s">
        <v>33</v>
      </c>
      <c r="J516" t="str">
        <f t="shared" si="68"/>
        <v>Kigoma Ujiji Mc</v>
      </c>
      <c r="K516" t="s">
        <v>21</v>
      </c>
      <c r="L516" t="str" cm="1">
        <f t="array" ref="L516">_xlfn.IFS(
ISNUMBER(SEARCH("ICU",K516)), "ICU",
ISNUMBER(SEARCH("NEONATAL",K516)), PROPER("NEONATAL"),
ISNUMBER(SEARCH("LABOUR",K516)), PROPER("LABOUR"),
ISNUMBER(SEARCH("PAEDIATRIC",K516)), PROPER("PAEDIATRIC"),
ISNUMBER(SEARCH("FEMALE SURGICAL",K516)), PROPER("FEMALE SURG, ORTHO &amp; GYN"),
ISNUMBER(SEARCH("PSYCHIATRIST",K516)), PROPER("PSYCHIATRIST"),
ISNUMBER(SEARCH("GRADE 1",K516)), PROPER("GRADE 1"),
ISNUMBER(SEARCH("MALE SURGICAL",K516)), PROPER("MALE SURG &amp; ORTHOPEDIC"),
ISNUMBER(SEARCH("MALE MEDICAL",K516)), PROPER("MALE MEDICAL"),
ISNUMBER(SEARCH("GRADE 2",K516)), PROPER("GRADE 2"),
ISNUMBER(SEARCH("FEMALE WARD",K516)), PROPER("FEMALE MEDICAL"),
TRUE, "Unmapped: " &amp; K516)</f>
        <v>Neonatal</v>
      </c>
      <c r="M516" t="s">
        <v>22</v>
      </c>
      <c r="O516" t="s">
        <v>1881</v>
      </c>
      <c r="P516" t="str">
        <f t="shared" si="69"/>
        <v>Text Error</v>
      </c>
      <c r="Q516" s="5">
        <v>46049.294745370367</v>
      </c>
      <c r="R516" t="str">
        <f t="shared" si="70"/>
        <v>Valid Date</v>
      </c>
      <c r="S516" t="s">
        <v>1882</v>
      </c>
      <c r="T516" s="5">
        <v>46052.695115740738</v>
      </c>
      <c r="U516">
        <v>3</v>
      </c>
      <c r="V516" t="str">
        <f t="shared" si="71"/>
        <v>OK</v>
      </c>
      <c r="W516" t="s">
        <v>25</v>
      </c>
      <c r="Y516" t="s">
        <v>30</v>
      </c>
    </row>
    <row r="517" spans="1:25" x14ac:dyDescent="0.25">
      <c r="A517" t="s">
        <v>1883</v>
      </c>
      <c r="B517" t="str">
        <f t="shared" si="65"/>
        <v>Sophia Edwin Rugwiza</v>
      </c>
      <c r="C517">
        <v>16186</v>
      </c>
      <c r="D517" t="str">
        <f t="shared" si="64"/>
        <v>Unique</v>
      </c>
      <c r="E517" t="s">
        <v>181</v>
      </c>
      <c r="F517" s="3">
        <f t="shared" si="66"/>
        <v>7</v>
      </c>
      <c r="G517" t="s">
        <v>32</v>
      </c>
      <c r="H517" t="str">
        <f t="shared" si="67"/>
        <v>Valid</v>
      </c>
      <c r="I517" t="s">
        <v>62</v>
      </c>
      <c r="J517" t="str">
        <f t="shared" si="68"/>
        <v>Kigoma Vijijini</v>
      </c>
      <c r="K517" t="s">
        <v>109</v>
      </c>
      <c r="L517" t="str" cm="1">
        <f t="array" ref="L517">_xlfn.IFS(
ISNUMBER(SEARCH("ICU",K517)), "ICU",
ISNUMBER(SEARCH("NEONATAL",K517)), PROPER("NEONATAL"),
ISNUMBER(SEARCH("LABOUR",K517)), PROPER("LABOUR"),
ISNUMBER(SEARCH("PAEDIATRIC",K517)), PROPER("PAEDIATRIC"),
ISNUMBER(SEARCH("FEMALE SURGICAL",K517)), PROPER("FEMALE SURG, ORTHO &amp; GYN"),
ISNUMBER(SEARCH("PSYCHIATRIST",K517)), PROPER("PSYCHIATRIST"),
ISNUMBER(SEARCH("GRADE 1",K517)), PROPER("GRADE 1"),
ISNUMBER(SEARCH("MALE SURGICAL",K517)), PROPER("MALE SURG &amp; ORTHOPEDIC"),
ISNUMBER(SEARCH("MALE MEDICAL",K517)), PROPER("MALE MEDICAL"),
ISNUMBER(SEARCH("GRADE 2",K517)), PROPER("GRADE 2"),
ISNUMBER(SEARCH("FEMALE WARD",K517)), PROPER("FEMALE MEDICAL"),
TRUE, "Unmapped: " &amp; K517)</f>
        <v>Paediatric</v>
      </c>
      <c r="M517" t="s">
        <v>394</v>
      </c>
      <c r="O517" t="s">
        <v>1884</v>
      </c>
      <c r="P517" t="str">
        <f t="shared" si="69"/>
        <v>Text Error</v>
      </c>
      <c r="Q517" s="5">
        <v>46049.65353009259</v>
      </c>
      <c r="R517" t="str">
        <f t="shared" si="70"/>
        <v>Valid Date</v>
      </c>
      <c r="S517" t="s">
        <v>1885</v>
      </c>
      <c r="T517" s="5">
        <v>46053.634305555555</v>
      </c>
      <c r="U517">
        <v>3</v>
      </c>
      <c r="V517" t="str">
        <f t="shared" si="71"/>
        <v>OK</v>
      </c>
      <c r="W517" t="s">
        <v>25</v>
      </c>
      <c r="Y517" t="s">
        <v>30</v>
      </c>
    </row>
    <row r="518" spans="1:25" x14ac:dyDescent="0.25">
      <c r="A518" t="s">
        <v>1886</v>
      </c>
      <c r="B518" t="str">
        <f t="shared" si="65"/>
        <v>Akina Isack Bihele</v>
      </c>
      <c r="C518">
        <v>96277</v>
      </c>
      <c r="D518" t="str">
        <f t="shared" si="64"/>
        <v>Unique</v>
      </c>
      <c r="E518" t="s">
        <v>61</v>
      </c>
      <c r="F518" s="3">
        <f t="shared" si="66"/>
        <v>29</v>
      </c>
      <c r="G518" t="s">
        <v>32</v>
      </c>
      <c r="H518" t="str">
        <f t="shared" si="67"/>
        <v>Valid</v>
      </c>
      <c r="I518" t="s">
        <v>33</v>
      </c>
      <c r="J518" t="str">
        <f t="shared" si="68"/>
        <v>Kigoma Ujiji Mc</v>
      </c>
      <c r="K518" t="s">
        <v>40</v>
      </c>
      <c r="L518" t="str" cm="1">
        <f t="array" ref="L518">_xlfn.IFS(
ISNUMBER(SEARCH("ICU",K518)), "ICU",
ISNUMBER(SEARCH("NEONATAL",K518)), PROPER("NEONATAL"),
ISNUMBER(SEARCH("LABOUR",K518)), PROPER("LABOUR"),
ISNUMBER(SEARCH("PAEDIATRIC",K518)), PROPER("PAEDIATRIC"),
ISNUMBER(SEARCH("FEMALE SURGICAL",K518)), PROPER("FEMALE SURG, ORTHO &amp; GYN"),
ISNUMBER(SEARCH("PSYCHIATRIST",K518)), PROPER("PSYCHIATRIST"),
ISNUMBER(SEARCH("GRADE 1",K518)), PROPER("GRADE 1"),
ISNUMBER(SEARCH("MALE SURGICAL",K518)), PROPER("MALE SURG &amp; ORTHOPEDIC"),
ISNUMBER(SEARCH("MALE MEDICAL",K518)), PROPER("MALE MEDICAL"),
ISNUMBER(SEARCH("GRADE 2",K518)), PROPER("GRADE 2"),
ISNUMBER(SEARCH("FEMALE WARD",K518)), PROPER("FEMALE MEDICAL"),
TRUE, "Unmapped: " &amp; K518)</f>
        <v>Labour</v>
      </c>
      <c r="M518" t="s">
        <v>22</v>
      </c>
      <c r="O518" t="s">
        <v>1887</v>
      </c>
      <c r="P518" t="str">
        <f t="shared" si="69"/>
        <v>Text Error</v>
      </c>
      <c r="Q518" s="5">
        <v>46049.770914351851</v>
      </c>
      <c r="R518" t="str">
        <f t="shared" si="70"/>
        <v>Valid Date</v>
      </c>
      <c r="S518" t="s">
        <v>1888</v>
      </c>
      <c r="T518" s="5">
        <v>46053.697129629632</v>
      </c>
      <c r="U518">
        <v>3</v>
      </c>
      <c r="V518" t="str">
        <f t="shared" si="71"/>
        <v>OK</v>
      </c>
      <c r="W518" t="s">
        <v>25</v>
      </c>
      <c r="Y518" t="s">
        <v>30</v>
      </c>
    </row>
    <row r="519" spans="1:25" x14ac:dyDescent="0.25">
      <c r="A519" t="s">
        <v>1801</v>
      </c>
      <c r="B519" t="str">
        <f t="shared" si="65"/>
        <v>B/o Janeth Emmanuel Samaza</v>
      </c>
      <c r="C519">
        <v>129079</v>
      </c>
      <c r="D519" t="str">
        <f t="shared" si="64"/>
        <v>Duplicate</v>
      </c>
      <c r="E519" t="s">
        <v>622</v>
      </c>
      <c r="F519" s="3" t="str">
        <f t="shared" si="66"/>
        <v>2/12</v>
      </c>
      <c r="G519" t="s">
        <v>19</v>
      </c>
      <c r="H519" t="str">
        <f t="shared" si="67"/>
        <v>Valid</v>
      </c>
      <c r="I519" t="s">
        <v>33</v>
      </c>
      <c r="J519" t="str">
        <f t="shared" si="68"/>
        <v>Kigoma Ujiji Mc</v>
      </c>
      <c r="K519" t="s">
        <v>21</v>
      </c>
      <c r="L519" t="str" cm="1">
        <f t="array" ref="L519">_xlfn.IFS(
ISNUMBER(SEARCH("ICU",K519)), "ICU",
ISNUMBER(SEARCH("NEONATAL",K519)), PROPER("NEONATAL"),
ISNUMBER(SEARCH("LABOUR",K519)), PROPER("LABOUR"),
ISNUMBER(SEARCH("PAEDIATRIC",K519)), PROPER("PAEDIATRIC"),
ISNUMBER(SEARCH("FEMALE SURGICAL",K519)), PROPER("FEMALE SURG, ORTHO &amp; GYN"),
ISNUMBER(SEARCH("PSYCHIATRIST",K519)), PROPER("PSYCHIATRIST"),
ISNUMBER(SEARCH("GRADE 1",K519)), PROPER("GRADE 1"),
ISNUMBER(SEARCH("MALE SURGICAL",K519)), PROPER("MALE SURG &amp; ORTHOPEDIC"),
ISNUMBER(SEARCH("MALE MEDICAL",K519)), PROPER("MALE MEDICAL"),
ISNUMBER(SEARCH("GRADE 2",K519)), PROPER("GRADE 2"),
ISNUMBER(SEARCH("FEMALE WARD",K519)), PROPER("FEMALE MEDICAL"),
TRUE, "Unmapped: " &amp; K519)</f>
        <v>Neonatal</v>
      </c>
      <c r="M519" t="s">
        <v>22</v>
      </c>
      <c r="O519" t="s">
        <v>1889</v>
      </c>
      <c r="P519" t="str">
        <f t="shared" si="69"/>
        <v>Text Error</v>
      </c>
      <c r="Q519" s="5">
        <v>46050.381631944445</v>
      </c>
      <c r="R519" t="str">
        <f t="shared" si="70"/>
        <v>Valid Date</v>
      </c>
      <c r="S519" t="s">
        <v>1890</v>
      </c>
      <c r="T519" s="5">
        <v>46053.651087962964</v>
      </c>
      <c r="U519">
        <v>3</v>
      </c>
      <c r="V519" t="str">
        <f t="shared" si="71"/>
        <v>OK</v>
      </c>
      <c r="W519" t="s">
        <v>25</v>
      </c>
      <c r="Y519" t="s">
        <v>30</v>
      </c>
    </row>
    <row r="520" spans="1:25" x14ac:dyDescent="0.25">
      <c r="A520" t="s">
        <v>1891</v>
      </c>
      <c r="B520" t="str">
        <f t="shared" si="65"/>
        <v>Baby Of Jamila Sadi Waridi</v>
      </c>
      <c r="C520">
        <v>129673</v>
      </c>
      <c r="D520" t="str">
        <f t="shared" si="64"/>
        <v>Unique</v>
      </c>
      <c r="E520" t="s">
        <v>1172</v>
      </c>
      <c r="F520" s="3" t="str">
        <f t="shared" si="66"/>
        <v>1/12</v>
      </c>
      <c r="G520" t="s">
        <v>19</v>
      </c>
      <c r="H520" t="str">
        <f t="shared" si="67"/>
        <v>Valid</v>
      </c>
      <c r="I520" t="s">
        <v>33</v>
      </c>
      <c r="J520" t="str">
        <f t="shared" si="68"/>
        <v>Kigoma Ujiji Mc</v>
      </c>
      <c r="K520" t="s">
        <v>21</v>
      </c>
      <c r="L520" t="str" cm="1">
        <f t="array" ref="L520">_xlfn.IFS(
ISNUMBER(SEARCH("ICU",K520)), "ICU",
ISNUMBER(SEARCH("NEONATAL",K520)), PROPER("NEONATAL"),
ISNUMBER(SEARCH("LABOUR",K520)), PROPER("LABOUR"),
ISNUMBER(SEARCH("PAEDIATRIC",K520)), PROPER("PAEDIATRIC"),
ISNUMBER(SEARCH("FEMALE SURGICAL",K520)), PROPER("FEMALE SURG, ORTHO &amp; GYN"),
ISNUMBER(SEARCH("PSYCHIATRIST",K520)), PROPER("PSYCHIATRIST"),
ISNUMBER(SEARCH("GRADE 1",K520)), PROPER("GRADE 1"),
ISNUMBER(SEARCH("MALE SURGICAL",K520)), PROPER("MALE SURG &amp; ORTHOPEDIC"),
ISNUMBER(SEARCH("MALE MEDICAL",K520)), PROPER("MALE MEDICAL"),
ISNUMBER(SEARCH("GRADE 2",K520)), PROPER("GRADE 2"),
ISNUMBER(SEARCH("FEMALE WARD",K520)), PROPER("FEMALE MEDICAL"),
TRUE, "Unmapped: " &amp; K520)</f>
        <v>Neonatal</v>
      </c>
      <c r="M520" t="s">
        <v>22</v>
      </c>
      <c r="O520" t="s">
        <v>1892</v>
      </c>
      <c r="P520" t="str">
        <f t="shared" si="69"/>
        <v>Text Error</v>
      </c>
      <c r="Q520" s="5">
        <v>46050.405902777777</v>
      </c>
      <c r="R520" t="str">
        <f t="shared" si="70"/>
        <v>Valid Date</v>
      </c>
      <c r="S520" t="s">
        <v>1893</v>
      </c>
      <c r="T520" s="5">
        <v>46053.665347222224</v>
      </c>
      <c r="U520">
        <v>3</v>
      </c>
      <c r="V520" t="str">
        <f t="shared" si="71"/>
        <v>OK</v>
      </c>
      <c r="W520" t="s">
        <v>25</v>
      </c>
      <c r="Y520" t="s">
        <v>30</v>
      </c>
    </row>
    <row r="521" spans="1:25" x14ac:dyDescent="0.25">
      <c r="A521" t="s">
        <v>1894</v>
      </c>
      <c r="B521" t="str">
        <f t="shared" si="65"/>
        <v>Hadija Ramadhani Ismail</v>
      </c>
      <c r="C521">
        <v>129851</v>
      </c>
      <c r="D521" t="str">
        <f t="shared" si="64"/>
        <v>Unique</v>
      </c>
      <c r="E521" t="s">
        <v>296</v>
      </c>
      <c r="F521" s="3">
        <f t="shared" si="66"/>
        <v>26</v>
      </c>
      <c r="G521" t="s">
        <v>32</v>
      </c>
      <c r="H521" t="str">
        <f t="shared" si="67"/>
        <v>Valid</v>
      </c>
      <c r="I521" t="s">
        <v>62</v>
      </c>
      <c r="J521" t="str">
        <f t="shared" si="68"/>
        <v>Kigoma Vijijini</v>
      </c>
      <c r="K521" t="s">
        <v>40</v>
      </c>
      <c r="L521" t="str" cm="1">
        <f t="array" ref="L521">_xlfn.IFS(
ISNUMBER(SEARCH("ICU",K521)), "ICU",
ISNUMBER(SEARCH("NEONATAL",K521)), PROPER("NEONATAL"),
ISNUMBER(SEARCH("LABOUR",K521)), PROPER("LABOUR"),
ISNUMBER(SEARCH("PAEDIATRIC",K521)), PROPER("PAEDIATRIC"),
ISNUMBER(SEARCH("FEMALE SURGICAL",K521)), PROPER("FEMALE SURG, ORTHO &amp; GYN"),
ISNUMBER(SEARCH("PSYCHIATRIST",K521)), PROPER("PSYCHIATRIST"),
ISNUMBER(SEARCH("GRADE 1",K521)), PROPER("GRADE 1"),
ISNUMBER(SEARCH("MALE SURGICAL",K521)), PROPER("MALE SURG &amp; ORTHOPEDIC"),
ISNUMBER(SEARCH("MALE MEDICAL",K521)), PROPER("MALE MEDICAL"),
ISNUMBER(SEARCH("GRADE 2",K521)), PROPER("GRADE 2"),
ISNUMBER(SEARCH("FEMALE WARD",K521)), PROPER("FEMALE MEDICAL"),
TRUE, "Unmapped: " &amp; K521)</f>
        <v>Labour</v>
      </c>
      <c r="M521" t="s">
        <v>22</v>
      </c>
      <c r="O521" t="s">
        <v>1895</v>
      </c>
      <c r="P521" t="str">
        <f t="shared" si="69"/>
        <v>Text Error</v>
      </c>
      <c r="Q521" s="5">
        <v>46050.434814814813</v>
      </c>
      <c r="R521" t="str">
        <f t="shared" si="70"/>
        <v>Valid Date</v>
      </c>
      <c r="S521" t="s">
        <v>1896</v>
      </c>
      <c r="T521" s="5">
        <v>46053.701979166668</v>
      </c>
      <c r="U521">
        <v>3</v>
      </c>
      <c r="V521" t="str">
        <f t="shared" si="71"/>
        <v>OK</v>
      </c>
      <c r="W521" t="s">
        <v>25</v>
      </c>
      <c r="Y521" t="s">
        <v>30</v>
      </c>
    </row>
    <row r="522" spans="1:25" x14ac:dyDescent="0.25">
      <c r="A522" t="s">
        <v>1897</v>
      </c>
      <c r="B522" t="str">
        <f t="shared" si="65"/>
        <v>Shedrack Nyaburanga Sula</v>
      </c>
      <c r="C522">
        <v>129810</v>
      </c>
      <c r="D522" t="str">
        <f t="shared" si="64"/>
        <v>Unique</v>
      </c>
      <c r="E522" t="s">
        <v>758</v>
      </c>
      <c r="F522" s="3">
        <f t="shared" si="66"/>
        <v>19</v>
      </c>
      <c r="G522" t="s">
        <v>19</v>
      </c>
      <c r="H522" t="str">
        <f t="shared" si="67"/>
        <v>Valid</v>
      </c>
      <c r="I522" t="s">
        <v>33</v>
      </c>
      <c r="J522" t="str">
        <f t="shared" si="68"/>
        <v>Kigoma Ujiji Mc</v>
      </c>
      <c r="K522" t="s">
        <v>428</v>
      </c>
      <c r="L522" t="str" cm="1">
        <f t="array" ref="L522">_xlfn.IFS(
ISNUMBER(SEARCH("ICU",K522)), "ICU",
ISNUMBER(SEARCH("NEONATAL",K522)), PROPER("NEONATAL"),
ISNUMBER(SEARCH("LABOUR",K522)), PROPER("LABOUR"),
ISNUMBER(SEARCH("PAEDIATRIC",K522)), PROPER("PAEDIATRIC"),
ISNUMBER(SEARCH("FEMALE SURGICAL",K522)), PROPER("FEMALE SURG, ORTHO &amp; GYN"),
ISNUMBER(SEARCH("PSYCHIATRIST",K522)), PROPER("PSYCHIATRIST"),
ISNUMBER(SEARCH("GRADE 1",K522)), PROPER("GRADE 1"),
ISNUMBER(SEARCH("MALE SURGICAL",K522)), PROPER("MALE SURG &amp; ORTHOPEDIC"),
ISNUMBER(SEARCH("MALE MEDICAL",K522)), PROPER("MALE MEDICAL"),
ISNUMBER(SEARCH("GRADE 2",K522)), PROPER("GRADE 2"),
ISNUMBER(SEARCH("FEMALE WARD",K522)), PROPER("FEMALE MEDICAL"),
TRUE, "Unmapped: " &amp; K522)</f>
        <v>Male Surg &amp; Orthopedic</v>
      </c>
      <c r="M522" t="s">
        <v>22</v>
      </c>
      <c r="O522" t="s">
        <v>1898</v>
      </c>
      <c r="P522" t="str">
        <f t="shared" si="69"/>
        <v>Text Error</v>
      </c>
      <c r="Q522" s="5">
        <v>46050.572152777779</v>
      </c>
      <c r="R522" t="str">
        <f t="shared" si="70"/>
        <v>Valid Date</v>
      </c>
      <c r="S522" t="s">
        <v>1899</v>
      </c>
      <c r="T522" s="5">
        <v>46053.639687499999</v>
      </c>
      <c r="U522">
        <v>3</v>
      </c>
      <c r="V522" t="str">
        <f t="shared" si="71"/>
        <v>OK</v>
      </c>
      <c r="W522" t="s">
        <v>112</v>
      </c>
      <c r="Y522" t="s">
        <v>30</v>
      </c>
    </row>
    <row r="523" spans="1:25" x14ac:dyDescent="0.25">
      <c r="A523" t="s">
        <v>1900</v>
      </c>
      <c r="B523" t="str">
        <f t="shared" si="65"/>
        <v>Getruda J Kalinde</v>
      </c>
      <c r="C523">
        <v>102872</v>
      </c>
      <c r="D523" t="str">
        <f t="shared" si="64"/>
        <v>Unique</v>
      </c>
      <c r="E523" t="s">
        <v>188</v>
      </c>
      <c r="F523" s="3">
        <f t="shared" si="66"/>
        <v>28</v>
      </c>
      <c r="G523" t="s">
        <v>32</v>
      </c>
      <c r="H523" t="str">
        <f t="shared" si="67"/>
        <v>Valid</v>
      </c>
      <c r="I523" t="s">
        <v>33</v>
      </c>
      <c r="J523" t="str">
        <f t="shared" si="68"/>
        <v>Kigoma Ujiji Mc</v>
      </c>
      <c r="K523" t="s">
        <v>40</v>
      </c>
      <c r="L523" t="str" cm="1">
        <f t="array" ref="L523">_xlfn.IFS(
ISNUMBER(SEARCH("ICU",K523)), "ICU",
ISNUMBER(SEARCH("NEONATAL",K523)), PROPER("NEONATAL"),
ISNUMBER(SEARCH("LABOUR",K523)), PROPER("LABOUR"),
ISNUMBER(SEARCH("PAEDIATRIC",K523)), PROPER("PAEDIATRIC"),
ISNUMBER(SEARCH("FEMALE SURGICAL",K523)), PROPER("FEMALE SURG, ORTHO &amp; GYN"),
ISNUMBER(SEARCH("PSYCHIATRIST",K523)), PROPER("PSYCHIATRIST"),
ISNUMBER(SEARCH("GRADE 1",K523)), PROPER("GRADE 1"),
ISNUMBER(SEARCH("MALE SURGICAL",K523)), PROPER("MALE SURG &amp; ORTHOPEDIC"),
ISNUMBER(SEARCH("MALE MEDICAL",K523)), PROPER("MALE MEDICAL"),
ISNUMBER(SEARCH("GRADE 2",K523)), PROPER("GRADE 2"),
ISNUMBER(SEARCH("FEMALE WARD",K523)), PROPER("FEMALE MEDICAL"),
TRUE, "Unmapped: " &amp; K523)</f>
        <v>Labour</v>
      </c>
      <c r="M523" t="s">
        <v>394</v>
      </c>
      <c r="O523" t="s">
        <v>1901</v>
      </c>
      <c r="P523" t="str">
        <f t="shared" si="69"/>
        <v>Text Error</v>
      </c>
      <c r="Q523" s="5">
        <v>46020.554571759261</v>
      </c>
      <c r="R523" t="str">
        <f t="shared" si="70"/>
        <v>Valid Date</v>
      </c>
      <c r="S523" t="s">
        <v>1902</v>
      </c>
      <c r="T523" s="5">
        <v>46023.409282407411</v>
      </c>
      <c r="U523">
        <v>2</v>
      </c>
      <c r="V523" t="str">
        <f t="shared" si="71"/>
        <v>OK</v>
      </c>
      <c r="W523" t="s">
        <v>25</v>
      </c>
      <c r="Y523" t="s">
        <v>30</v>
      </c>
    </row>
    <row r="524" spans="1:25" x14ac:dyDescent="0.25">
      <c r="A524" t="s">
        <v>1903</v>
      </c>
      <c r="B524" t="str">
        <f t="shared" si="65"/>
        <v>Naima Mustafa Lukamvya</v>
      </c>
      <c r="C524">
        <v>126729</v>
      </c>
      <c r="D524" t="str">
        <f t="shared" si="64"/>
        <v>Unique</v>
      </c>
      <c r="E524" t="s">
        <v>147</v>
      </c>
      <c r="F524" s="3">
        <f t="shared" si="66"/>
        <v>30</v>
      </c>
      <c r="G524" t="s">
        <v>32</v>
      </c>
      <c r="H524" t="str">
        <f t="shared" si="67"/>
        <v>Valid</v>
      </c>
      <c r="I524" t="s">
        <v>62</v>
      </c>
      <c r="J524" t="str">
        <f t="shared" si="68"/>
        <v>Kigoma Vijijini</v>
      </c>
      <c r="K524" t="s">
        <v>40</v>
      </c>
      <c r="L524" t="str" cm="1">
        <f t="array" ref="L524">_xlfn.IFS(
ISNUMBER(SEARCH("ICU",K524)), "ICU",
ISNUMBER(SEARCH("NEONATAL",K524)), PROPER("NEONATAL"),
ISNUMBER(SEARCH("LABOUR",K524)), PROPER("LABOUR"),
ISNUMBER(SEARCH("PAEDIATRIC",K524)), PROPER("PAEDIATRIC"),
ISNUMBER(SEARCH("FEMALE SURGICAL",K524)), PROPER("FEMALE SURG, ORTHO &amp; GYN"),
ISNUMBER(SEARCH("PSYCHIATRIST",K524)), PROPER("PSYCHIATRIST"),
ISNUMBER(SEARCH("GRADE 1",K524)), PROPER("GRADE 1"),
ISNUMBER(SEARCH("MALE SURGICAL",K524)), PROPER("MALE SURG &amp; ORTHOPEDIC"),
ISNUMBER(SEARCH("MALE MEDICAL",K524)), PROPER("MALE MEDICAL"),
ISNUMBER(SEARCH("GRADE 2",K524)), PROPER("GRADE 2"),
ISNUMBER(SEARCH("FEMALE WARD",K524)), PROPER("FEMALE MEDICAL"),
TRUE, "Unmapped: " &amp; K524)</f>
        <v>Labour</v>
      </c>
      <c r="M524" t="s">
        <v>22</v>
      </c>
      <c r="O524" t="s">
        <v>1904</v>
      </c>
      <c r="P524" t="str">
        <f t="shared" si="69"/>
        <v>Text Error</v>
      </c>
      <c r="Q524" s="5">
        <v>46021.174189814818</v>
      </c>
      <c r="R524" t="str">
        <f t="shared" si="70"/>
        <v>Valid Date</v>
      </c>
      <c r="S524" t="s">
        <v>1905</v>
      </c>
      <c r="T524" s="5">
        <v>46023.63013888889</v>
      </c>
      <c r="U524">
        <v>2</v>
      </c>
      <c r="V524" t="str">
        <f t="shared" si="71"/>
        <v>OK</v>
      </c>
      <c r="W524" t="s">
        <v>25</v>
      </c>
      <c r="Y524" t="s">
        <v>30</v>
      </c>
    </row>
    <row r="525" spans="1:25" x14ac:dyDescent="0.25">
      <c r="A525" t="s">
        <v>1906</v>
      </c>
      <c r="B525" t="str">
        <f t="shared" si="65"/>
        <v>Sibomana J Amon</v>
      </c>
      <c r="C525">
        <v>55537</v>
      </c>
      <c r="D525" t="str">
        <f t="shared" si="64"/>
        <v>Unique</v>
      </c>
      <c r="E525" t="s">
        <v>315</v>
      </c>
      <c r="F525" s="3">
        <f t="shared" si="66"/>
        <v>31</v>
      </c>
      <c r="G525" t="s">
        <v>32</v>
      </c>
      <c r="H525" t="str">
        <f t="shared" si="67"/>
        <v>Valid</v>
      </c>
      <c r="I525" t="s">
        <v>227</v>
      </c>
      <c r="J525" t="str">
        <f t="shared" si="68"/>
        <v>KGG</v>
      </c>
      <c r="K525" t="s">
        <v>123</v>
      </c>
      <c r="L525" t="str" cm="1">
        <f t="array" ref="L525">_xlfn.IFS(
ISNUMBER(SEARCH("ICU",K525)), "ICU",
ISNUMBER(SEARCH("NEONATAL",K525)), PROPER("NEONATAL"),
ISNUMBER(SEARCH("LABOUR",K525)), PROPER("LABOUR"),
ISNUMBER(SEARCH("PAEDIATRIC",K525)), PROPER("PAEDIATRIC"),
ISNUMBER(SEARCH("FEMALE SURGICAL",K525)), PROPER("FEMALE SURG, ORTHO &amp; GYN"),
ISNUMBER(SEARCH("PSYCHIATRIST",K525)), PROPER("PSYCHIATRIST"),
ISNUMBER(SEARCH("GRADE 1",K525)), PROPER("GRADE 1"),
ISNUMBER(SEARCH("MALE SURGICAL",K525)), PROPER("MALE SURG &amp; ORTHOPEDIC"),
ISNUMBER(SEARCH("MALE MEDICAL",K525)), PROPER("MALE MEDICAL"),
ISNUMBER(SEARCH("GRADE 2",K525)), PROPER("GRADE 2"),
ISNUMBER(SEARCH("FEMALE WARD",K525)), PROPER("FEMALE MEDICAL"),
TRUE, "Unmapped: " &amp; K525)</f>
        <v>Female Surg, Ortho &amp; Gyn</v>
      </c>
      <c r="M525" t="s">
        <v>394</v>
      </c>
      <c r="O525" t="s">
        <v>1907</v>
      </c>
      <c r="P525" t="str">
        <f t="shared" si="69"/>
        <v>Text Error</v>
      </c>
      <c r="Q525" s="5">
        <v>46021.649189814816</v>
      </c>
      <c r="R525" t="str">
        <f t="shared" si="70"/>
        <v>Valid Date</v>
      </c>
      <c r="S525" t="s">
        <v>1908</v>
      </c>
      <c r="T525" s="5">
        <v>46023.673946759256</v>
      </c>
      <c r="U525">
        <v>2</v>
      </c>
      <c r="V525" t="str">
        <f t="shared" si="71"/>
        <v>OK</v>
      </c>
      <c r="W525" t="s">
        <v>25</v>
      </c>
      <c r="Y525" t="s">
        <v>30</v>
      </c>
    </row>
    <row r="526" spans="1:25" x14ac:dyDescent="0.25">
      <c r="A526" t="s">
        <v>1909</v>
      </c>
      <c r="B526" t="str">
        <f t="shared" si="65"/>
        <v>Irene Ilunga Ngoi</v>
      </c>
      <c r="C526">
        <v>23620</v>
      </c>
      <c r="D526" t="str">
        <f t="shared" si="64"/>
        <v>Duplicate</v>
      </c>
      <c r="E526" t="s">
        <v>296</v>
      </c>
      <c r="F526" s="3">
        <f t="shared" si="66"/>
        <v>26</v>
      </c>
      <c r="G526" t="s">
        <v>32</v>
      </c>
      <c r="H526" t="str">
        <f t="shared" si="67"/>
        <v>Valid</v>
      </c>
      <c r="I526" t="s">
        <v>227</v>
      </c>
      <c r="J526" t="str">
        <f t="shared" si="68"/>
        <v>KGG</v>
      </c>
      <c r="K526" t="s">
        <v>40</v>
      </c>
      <c r="L526" t="str" cm="1">
        <f t="array" ref="L526">_xlfn.IFS(
ISNUMBER(SEARCH("ICU",K526)), "ICU",
ISNUMBER(SEARCH("NEONATAL",K526)), PROPER("NEONATAL"),
ISNUMBER(SEARCH("LABOUR",K526)), PROPER("LABOUR"),
ISNUMBER(SEARCH("PAEDIATRIC",K526)), PROPER("PAEDIATRIC"),
ISNUMBER(SEARCH("FEMALE SURGICAL",K526)), PROPER("FEMALE SURG, ORTHO &amp; GYN"),
ISNUMBER(SEARCH("PSYCHIATRIST",K526)), PROPER("PSYCHIATRIST"),
ISNUMBER(SEARCH("GRADE 1",K526)), PROPER("GRADE 1"),
ISNUMBER(SEARCH("MALE SURGICAL",K526)), PROPER("MALE SURG &amp; ORTHOPEDIC"),
ISNUMBER(SEARCH("MALE MEDICAL",K526)), PROPER("MALE MEDICAL"),
ISNUMBER(SEARCH("GRADE 2",K526)), PROPER("GRADE 2"),
ISNUMBER(SEARCH("FEMALE WARD",K526)), PROPER("FEMALE MEDICAL"),
TRUE, "Unmapped: " &amp; K526)</f>
        <v>Labour</v>
      </c>
      <c r="M526" t="s">
        <v>22</v>
      </c>
      <c r="O526" t="s">
        <v>1910</v>
      </c>
      <c r="P526" t="str">
        <f t="shared" si="69"/>
        <v>Text Error</v>
      </c>
      <c r="Q526" s="5">
        <v>46021.849479166667</v>
      </c>
      <c r="R526" t="str">
        <f t="shared" si="70"/>
        <v>Valid Date</v>
      </c>
      <c r="S526" t="s">
        <v>1911</v>
      </c>
      <c r="T526" s="5">
        <v>46024.627708333333</v>
      </c>
      <c r="U526">
        <v>2</v>
      </c>
      <c r="V526" t="str">
        <f t="shared" si="71"/>
        <v>OK</v>
      </c>
      <c r="W526" t="s">
        <v>25</v>
      </c>
      <c r="Y526" t="s">
        <v>30</v>
      </c>
    </row>
    <row r="527" spans="1:25" x14ac:dyDescent="0.25">
      <c r="A527" t="s">
        <v>1912</v>
      </c>
      <c r="B527" t="str">
        <f t="shared" si="65"/>
        <v>Kashindye Masangu Masaganya</v>
      </c>
      <c r="C527">
        <v>126862</v>
      </c>
      <c r="D527" t="str">
        <f t="shared" si="64"/>
        <v>Unique</v>
      </c>
      <c r="E527" t="s">
        <v>392</v>
      </c>
      <c r="F527" s="3">
        <f t="shared" si="66"/>
        <v>51</v>
      </c>
      <c r="G527" t="s">
        <v>32</v>
      </c>
      <c r="H527" t="str">
        <f t="shared" si="67"/>
        <v>Valid</v>
      </c>
      <c r="I527" t="s">
        <v>20</v>
      </c>
      <c r="J527" t="str">
        <f t="shared" si="68"/>
        <v>Uvinza</v>
      </c>
      <c r="K527" t="s">
        <v>700</v>
      </c>
      <c r="L527" t="str" cm="1">
        <f t="array" ref="L527">_xlfn.IFS(
ISNUMBER(SEARCH("ICU",K527)), "ICU",
ISNUMBER(SEARCH("NEONATAL",K527)), PROPER("NEONATAL"),
ISNUMBER(SEARCH("LABOUR",K527)), PROPER("LABOUR"),
ISNUMBER(SEARCH("PAEDIATRIC",K527)), PROPER("PAEDIATRIC"),
ISNUMBER(SEARCH("FEMALE SURGICAL",K527)), PROPER("FEMALE SURG, ORTHO &amp; GYN"),
ISNUMBER(SEARCH("PSYCHIATRIST",K527)), PROPER("PSYCHIATRIST"),
ISNUMBER(SEARCH("GRADE 1",K527)), PROPER("GRADE 1"),
ISNUMBER(SEARCH("MALE SURGICAL",K527)), PROPER("MALE SURG &amp; ORTHOPEDIC"),
ISNUMBER(SEARCH("MALE MEDICAL",K527)), PROPER("MALE MEDICAL"),
ISNUMBER(SEARCH("GRADE 2",K527)), PROPER("GRADE 2"),
ISNUMBER(SEARCH("FEMALE WARD",K527)), PROPER("FEMALE MEDICAL"),
TRUE, "Unmapped: " &amp; K527)</f>
        <v>Female Medical</v>
      </c>
      <c r="M527" t="s">
        <v>22</v>
      </c>
      <c r="O527" t="s">
        <v>1913</v>
      </c>
      <c r="P527" t="str">
        <f t="shared" si="69"/>
        <v>Text Error</v>
      </c>
      <c r="Q527" s="5">
        <v>46022.035451388889</v>
      </c>
      <c r="R527" t="str">
        <f t="shared" si="70"/>
        <v>Valid Date</v>
      </c>
      <c r="S527" t="s">
        <v>1914</v>
      </c>
      <c r="T527" s="5">
        <v>46024.365335648145</v>
      </c>
      <c r="U527">
        <v>2</v>
      </c>
      <c r="V527" t="str">
        <f t="shared" si="71"/>
        <v>OK</v>
      </c>
      <c r="W527" t="s">
        <v>25</v>
      </c>
      <c r="Y527" t="s">
        <v>30</v>
      </c>
    </row>
    <row r="528" spans="1:25" x14ac:dyDescent="0.25">
      <c r="A528" t="s">
        <v>1915</v>
      </c>
      <c r="B528" t="str">
        <f t="shared" si="65"/>
        <v>Mary Godwin Elimeliki</v>
      </c>
      <c r="C528">
        <v>126992</v>
      </c>
      <c r="D528" t="str">
        <f t="shared" si="64"/>
        <v>Unique</v>
      </c>
      <c r="E528" t="s">
        <v>215</v>
      </c>
      <c r="F528" s="3">
        <f t="shared" si="66"/>
        <v>25</v>
      </c>
      <c r="G528" t="s">
        <v>32</v>
      </c>
      <c r="H528" t="str">
        <f t="shared" si="67"/>
        <v>Valid</v>
      </c>
      <c r="I528" t="s">
        <v>20</v>
      </c>
      <c r="J528" t="str">
        <f t="shared" si="68"/>
        <v>Uvinza</v>
      </c>
      <c r="K528" t="s">
        <v>40</v>
      </c>
      <c r="L528" t="str" cm="1">
        <f t="array" ref="L528">_xlfn.IFS(
ISNUMBER(SEARCH("ICU",K528)), "ICU",
ISNUMBER(SEARCH("NEONATAL",K528)), PROPER("NEONATAL"),
ISNUMBER(SEARCH("LABOUR",K528)), PROPER("LABOUR"),
ISNUMBER(SEARCH("PAEDIATRIC",K528)), PROPER("PAEDIATRIC"),
ISNUMBER(SEARCH("FEMALE SURGICAL",K528)), PROPER("FEMALE SURG, ORTHO &amp; GYN"),
ISNUMBER(SEARCH("PSYCHIATRIST",K528)), PROPER("PSYCHIATRIST"),
ISNUMBER(SEARCH("GRADE 1",K528)), PROPER("GRADE 1"),
ISNUMBER(SEARCH("MALE SURGICAL",K528)), PROPER("MALE SURG &amp; ORTHOPEDIC"),
ISNUMBER(SEARCH("MALE MEDICAL",K528)), PROPER("MALE MEDICAL"),
ISNUMBER(SEARCH("GRADE 2",K528)), PROPER("GRADE 2"),
ISNUMBER(SEARCH("FEMALE WARD",K528)), PROPER("FEMALE MEDICAL"),
TRUE, "Unmapped: " &amp; K528)</f>
        <v>Labour</v>
      </c>
      <c r="M528" t="s">
        <v>292</v>
      </c>
      <c r="O528" t="s">
        <v>1916</v>
      </c>
      <c r="P528" t="str">
        <f t="shared" si="69"/>
        <v>Text Error</v>
      </c>
      <c r="Q528" s="5">
        <v>46023.585729166669</v>
      </c>
      <c r="R528" t="str">
        <f t="shared" si="70"/>
        <v>Valid Date</v>
      </c>
      <c r="S528" t="s">
        <v>1917</v>
      </c>
      <c r="T528" s="5">
        <v>46025.653912037036</v>
      </c>
      <c r="U528">
        <v>2</v>
      </c>
      <c r="V528" t="str">
        <f t="shared" si="71"/>
        <v>OK</v>
      </c>
      <c r="W528" t="s">
        <v>25</v>
      </c>
      <c r="Y528" t="s">
        <v>30</v>
      </c>
    </row>
    <row r="529" spans="1:25" x14ac:dyDescent="0.25">
      <c r="A529" t="s">
        <v>1633</v>
      </c>
      <c r="B529" t="str">
        <f t="shared" si="65"/>
        <v>Shabani Karume Shabani</v>
      </c>
      <c r="C529">
        <v>127010</v>
      </c>
      <c r="D529" t="str">
        <f t="shared" si="64"/>
        <v>Duplicate</v>
      </c>
      <c r="E529" t="s">
        <v>622</v>
      </c>
      <c r="F529" s="3" t="str">
        <f t="shared" si="66"/>
        <v>2/12</v>
      </c>
      <c r="G529" t="s">
        <v>19</v>
      </c>
      <c r="H529" t="str">
        <f t="shared" si="67"/>
        <v>Valid</v>
      </c>
      <c r="I529" t="s">
        <v>33</v>
      </c>
      <c r="J529" t="str">
        <f t="shared" si="68"/>
        <v>Kigoma Ujiji Mc</v>
      </c>
      <c r="K529" t="s">
        <v>21</v>
      </c>
      <c r="L529" t="str" cm="1">
        <f t="array" ref="L529">_xlfn.IFS(
ISNUMBER(SEARCH("ICU",K529)), "ICU",
ISNUMBER(SEARCH("NEONATAL",K529)), PROPER("NEONATAL"),
ISNUMBER(SEARCH("LABOUR",K529)), PROPER("LABOUR"),
ISNUMBER(SEARCH("PAEDIATRIC",K529)), PROPER("PAEDIATRIC"),
ISNUMBER(SEARCH("FEMALE SURGICAL",K529)), PROPER("FEMALE SURG, ORTHO &amp; GYN"),
ISNUMBER(SEARCH("PSYCHIATRIST",K529)), PROPER("PSYCHIATRIST"),
ISNUMBER(SEARCH("GRADE 1",K529)), PROPER("GRADE 1"),
ISNUMBER(SEARCH("MALE SURGICAL",K529)), PROPER("MALE SURG &amp; ORTHOPEDIC"),
ISNUMBER(SEARCH("MALE MEDICAL",K529)), PROPER("MALE MEDICAL"),
ISNUMBER(SEARCH("GRADE 2",K529)), PROPER("GRADE 2"),
ISNUMBER(SEARCH("FEMALE WARD",K529)), PROPER("FEMALE MEDICAL"),
TRUE, "Unmapped: " &amp; K529)</f>
        <v>Neonatal</v>
      </c>
      <c r="M529" t="s">
        <v>22</v>
      </c>
      <c r="O529" t="s">
        <v>1918</v>
      </c>
      <c r="P529" t="str">
        <f t="shared" si="69"/>
        <v>Text Error</v>
      </c>
      <c r="Q529" s="5">
        <v>46023.877395833333</v>
      </c>
      <c r="R529" t="str">
        <f t="shared" si="70"/>
        <v>Valid Date</v>
      </c>
      <c r="S529" t="s">
        <v>1919</v>
      </c>
      <c r="T529" s="5">
        <v>46026.560497685183</v>
      </c>
      <c r="U529">
        <v>2</v>
      </c>
      <c r="V529" t="str">
        <f t="shared" si="71"/>
        <v>OK</v>
      </c>
      <c r="W529" t="s">
        <v>25</v>
      </c>
      <c r="Y529" t="s">
        <v>30</v>
      </c>
    </row>
    <row r="530" spans="1:25" x14ac:dyDescent="0.25">
      <c r="A530" t="s">
        <v>1920</v>
      </c>
      <c r="B530" t="str">
        <f t="shared" si="65"/>
        <v>Ally Ramadhan Zuber</v>
      </c>
      <c r="C530">
        <v>127001</v>
      </c>
      <c r="D530" t="str">
        <f t="shared" si="64"/>
        <v>Unique</v>
      </c>
      <c r="E530" t="s">
        <v>181</v>
      </c>
      <c r="F530" s="3">
        <f t="shared" si="66"/>
        <v>7</v>
      </c>
      <c r="G530" t="s">
        <v>19</v>
      </c>
      <c r="H530" t="str">
        <f t="shared" si="67"/>
        <v>Valid</v>
      </c>
      <c r="I530" t="s">
        <v>20</v>
      </c>
      <c r="J530" t="str">
        <f t="shared" si="68"/>
        <v>Uvinza</v>
      </c>
      <c r="K530" t="s">
        <v>109</v>
      </c>
      <c r="L530" t="str" cm="1">
        <f t="array" ref="L530">_xlfn.IFS(
ISNUMBER(SEARCH("ICU",K530)), "ICU",
ISNUMBER(SEARCH("NEONATAL",K530)), PROPER("NEONATAL"),
ISNUMBER(SEARCH("LABOUR",K530)), PROPER("LABOUR"),
ISNUMBER(SEARCH("PAEDIATRIC",K530)), PROPER("PAEDIATRIC"),
ISNUMBER(SEARCH("FEMALE SURGICAL",K530)), PROPER("FEMALE SURG, ORTHO &amp; GYN"),
ISNUMBER(SEARCH("PSYCHIATRIST",K530)), PROPER("PSYCHIATRIST"),
ISNUMBER(SEARCH("GRADE 1",K530)), PROPER("GRADE 1"),
ISNUMBER(SEARCH("MALE SURGICAL",K530)), PROPER("MALE SURG &amp; ORTHOPEDIC"),
ISNUMBER(SEARCH("MALE MEDICAL",K530)), PROPER("MALE MEDICAL"),
ISNUMBER(SEARCH("GRADE 2",K530)), PROPER("GRADE 2"),
ISNUMBER(SEARCH("FEMALE WARD",K530)), PROPER("FEMALE MEDICAL"),
TRUE, "Unmapped: " &amp; K530)</f>
        <v>Paediatric</v>
      </c>
      <c r="M530" t="s">
        <v>22</v>
      </c>
      <c r="O530" t="s">
        <v>1921</v>
      </c>
      <c r="P530" t="str">
        <f t="shared" si="69"/>
        <v>Text Error</v>
      </c>
      <c r="Q530" s="5">
        <v>46024.016331018516</v>
      </c>
      <c r="R530" t="str">
        <f t="shared" si="70"/>
        <v>Valid Date</v>
      </c>
      <c r="S530" t="s">
        <v>1922</v>
      </c>
      <c r="T530" s="5">
        <v>46026.638460648152</v>
      </c>
      <c r="U530">
        <v>2</v>
      </c>
      <c r="V530" t="str">
        <f t="shared" si="71"/>
        <v>OK</v>
      </c>
      <c r="W530" t="s">
        <v>211</v>
      </c>
      <c r="Y530" t="s">
        <v>30</v>
      </c>
    </row>
    <row r="531" spans="1:25" x14ac:dyDescent="0.25">
      <c r="A531" t="s">
        <v>1923</v>
      </c>
      <c r="B531" t="str">
        <f t="shared" si="65"/>
        <v>Gloria L Makela</v>
      </c>
      <c r="C531">
        <v>103279</v>
      </c>
      <c r="D531" t="str">
        <f t="shared" si="64"/>
        <v>Unique</v>
      </c>
      <c r="E531" t="s">
        <v>462</v>
      </c>
      <c r="F531" s="3">
        <f t="shared" si="66"/>
        <v>15</v>
      </c>
      <c r="G531" t="s">
        <v>32</v>
      </c>
      <c r="H531" t="str">
        <f t="shared" si="67"/>
        <v>Valid</v>
      </c>
      <c r="I531" t="s">
        <v>62</v>
      </c>
      <c r="J531" t="str">
        <f t="shared" si="68"/>
        <v>Kigoma Vijijini</v>
      </c>
      <c r="K531" t="s">
        <v>700</v>
      </c>
      <c r="L531" t="str" cm="1">
        <f t="array" ref="L531">_xlfn.IFS(
ISNUMBER(SEARCH("ICU",K531)), "ICU",
ISNUMBER(SEARCH("NEONATAL",K531)), PROPER("NEONATAL"),
ISNUMBER(SEARCH("LABOUR",K531)), PROPER("LABOUR"),
ISNUMBER(SEARCH("PAEDIATRIC",K531)), PROPER("PAEDIATRIC"),
ISNUMBER(SEARCH("FEMALE SURGICAL",K531)), PROPER("FEMALE SURG, ORTHO &amp; GYN"),
ISNUMBER(SEARCH("PSYCHIATRIST",K531)), PROPER("PSYCHIATRIST"),
ISNUMBER(SEARCH("GRADE 1",K531)), PROPER("GRADE 1"),
ISNUMBER(SEARCH("MALE SURGICAL",K531)), PROPER("MALE SURG &amp; ORTHOPEDIC"),
ISNUMBER(SEARCH("MALE MEDICAL",K531)), PROPER("MALE MEDICAL"),
ISNUMBER(SEARCH("GRADE 2",K531)), PROPER("GRADE 2"),
ISNUMBER(SEARCH("FEMALE WARD",K531)), PROPER("FEMALE MEDICAL"),
TRUE, "Unmapped: " &amp; K531)</f>
        <v>Female Medical</v>
      </c>
      <c r="M531" t="s">
        <v>394</v>
      </c>
      <c r="O531" t="s">
        <v>1924</v>
      </c>
      <c r="P531" t="str">
        <f t="shared" si="69"/>
        <v>Text Error</v>
      </c>
      <c r="Q531" s="5">
        <v>46024.095011574071</v>
      </c>
      <c r="R531" t="str">
        <f t="shared" si="70"/>
        <v>Valid Date</v>
      </c>
      <c r="S531" t="s">
        <v>1925</v>
      </c>
      <c r="T531" s="5">
        <v>46026.44803240741</v>
      </c>
      <c r="U531">
        <v>2</v>
      </c>
      <c r="V531" t="str">
        <f t="shared" si="71"/>
        <v>OK</v>
      </c>
      <c r="W531" t="s">
        <v>25</v>
      </c>
      <c r="Y531" t="s">
        <v>30</v>
      </c>
    </row>
    <row r="532" spans="1:25" x14ac:dyDescent="0.25">
      <c r="A532" t="s">
        <v>1926</v>
      </c>
      <c r="B532" t="str">
        <f t="shared" si="65"/>
        <v>Shimiyeimana B Nashon</v>
      </c>
      <c r="C532">
        <v>127021</v>
      </c>
      <c r="D532" t="str">
        <f t="shared" si="64"/>
        <v>Unique</v>
      </c>
      <c r="E532" t="s">
        <v>193</v>
      </c>
      <c r="F532" s="3">
        <f t="shared" si="66"/>
        <v>5</v>
      </c>
      <c r="G532" t="s">
        <v>32</v>
      </c>
      <c r="H532" t="str">
        <f t="shared" si="67"/>
        <v>Valid</v>
      </c>
      <c r="I532" t="s">
        <v>62</v>
      </c>
      <c r="J532" t="str">
        <f t="shared" si="68"/>
        <v>Kigoma Vijijini</v>
      </c>
      <c r="K532" t="s">
        <v>109</v>
      </c>
      <c r="L532" t="str" cm="1">
        <f t="array" ref="L532">_xlfn.IFS(
ISNUMBER(SEARCH("ICU",K532)), "ICU",
ISNUMBER(SEARCH("NEONATAL",K532)), PROPER("NEONATAL"),
ISNUMBER(SEARCH("LABOUR",K532)), PROPER("LABOUR"),
ISNUMBER(SEARCH("PAEDIATRIC",K532)), PROPER("PAEDIATRIC"),
ISNUMBER(SEARCH("FEMALE SURGICAL",K532)), PROPER("FEMALE SURG, ORTHO &amp; GYN"),
ISNUMBER(SEARCH("PSYCHIATRIST",K532)), PROPER("PSYCHIATRIST"),
ISNUMBER(SEARCH("GRADE 1",K532)), PROPER("GRADE 1"),
ISNUMBER(SEARCH("MALE SURGICAL",K532)), PROPER("MALE SURG &amp; ORTHOPEDIC"),
ISNUMBER(SEARCH("MALE MEDICAL",K532)), PROPER("MALE MEDICAL"),
ISNUMBER(SEARCH("GRADE 2",K532)), PROPER("GRADE 2"),
ISNUMBER(SEARCH("FEMALE WARD",K532)), PROPER("FEMALE MEDICAL"),
TRUE, "Unmapped: " &amp; K532)</f>
        <v>Paediatric</v>
      </c>
      <c r="M532" t="s">
        <v>394</v>
      </c>
      <c r="O532" t="s">
        <v>1927</v>
      </c>
      <c r="P532" t="str">
        <f t="shared" si="69"/>
        <v>Text Error</v>
      </c>
      <c r="Q532" s="5">
        <v>46024.100798611114</v>
      </c>
      <c r="R532" t="str">
        <f t="shared" si="70"/>
        <v>Valid Date</v>
      </c>
      <c r="S532" t="s">
        <v>1928</v>
      </c>
      <c r="T532" s="5">
        <v>46026.683634259258</v>
      </c>
      <c r="U532">
        <v>2</v>
      </c>
      <c r="V532" t="str">
        <f t="shared" si="71"/>
        <v>OK</v>
      </c>
      <c r="W532" t="s">
        <v>25</v>
      </c>
      <c r="Y532" t="s">
        <v>30</v>
      </c>
    </row>
    <row r="533" spans="1:25" x14ac:dyDescent="0.25">
      <c r="A533" t="s">
        <v>1929</v>
      </c>
      <c r="B533" t="str">
        <f t="shared" si="65"/>
        <v>Zuwena A Issa</v>
      </c>
      <c r="C533">
        <v>28040</v>
      </c>
      <c r="D533" t="str">
        <f t="shared" si="64"/>
        <v>Unique</v>
      </c>
      <c r="E533" t="s">
        <v>138</v>
      </c>
      <c r="F533" s="3">
        <f t="shared" si="66"/>
        <v>18</v>
      </c>
      <c r="G533" t="s">
        <v>32</v>
      </c>
      <c r="H533" t="str">
        <f t="shared" si="67"/>
        <v>Valid</v>
      </c>
      <c r="I533" t="s">
        <v>227</v>
      </c>
      <c r="J533" t="str">
        <f t="shared" si="68"/>
        <v>KGG</v>
      </c>
      <c r="K533" t="s">
        <v>700</v>
      </c>
      <c r="L533" t="str" cm="1">
        <f t="array" ref="L533">_xlfn.IFS(
ISNUMBER(SEARCH("ICU",K533)), "ICU",
ISNUMBER(SEARCH("NEONATAL",K533)), PROPER("NEONATAL"),
ISNUMBER(SEARCH("LABOUR",K533)), PROPER("LABOUR"),
ISNUMBER(SEARCH("PAEDIATRIC",K533)), PROPER("PAEDIATRIC"),
ISNUMBER(SEARCH("FEMALE SURGICAL",K533)), PROPER("FEMALE SURG, ORTHO &amp; GYN"),
ISNUMBER(SEARCH("PSYCHIATRIST",K533)), PROPER("PSYCHIATRIST"),
ISNUMBER(SEARCH("GRADE 1",K533)), PROPER("GRADE 1"),
ISNUMBER(SEARCH("MALE SURGICAL",K533)), PROPER("MALE SURG &amp; ORTHOPEDIC"),
ISNUMBER(SEARCH("MALE MEDICAL",K533)), PROPER("MALE MEDICAL"),
ISNUMBER(SEARCH("GRADE 2",K533)), PROPER("GRADE 2"),
ISNUMBER(SEARCH("FEMALE WARD",K533)), PROPER("FEMALE MEDICAL"),
TRUE, "Unmapped: " &amp; K533)</f>
        <v>Female Medical</v>
      </c>
      <c r="M533" t="s">
        <v>394</v>
      </c>
      <c r="O533" t="s">
        <v>1930</v>
      </c>
      <c r="P533" t="str">
        <f t="shared" si="69"/>
        <v>Text Error</v>
      </c>
      <c r="Q533" s="5">
        <v>46024.165231481478</v>
      </c>
      <c r="R533" t="str">
        <f t="shared" si="70"/>
        <v>Valid Date</v>
      </c>
      <c r="S533" t="s">
        <v>1931</v>
      </c>
      <c r="T533" s="5">
        <v>46026.450150462966</v>
      </c>
      <c r="U533">
        <v>2</v>
      </c>
      <c r="V533" t="str">
        <f t="shared" si="71"/>
        <v>OK</v>
      </c>
      <c r="W533" t="s">
        <v>25</v>
      </c>
      <c r="Y533" t="s">
        <v>30</v>
      </c>
    </row>
    <row r="534" spans="1:25" x14ac:dyDescent="0.25">
      <c r="A534" t="s">
        <v>1932</v>
      </c>
      <c r="B534" t="str">
        <f t="shared" si="65"/>
        <v>Hadija Shamtee Hamisi</v>
      </c>
      <c r="C534">
        <v>127133</v>
      </c>
      <c r="D534" t="str">
        <f t="shared" si="64"/>
        <v>Unique</v>
      </c>
      <c r="E534" t="s">
        <v>39</v>
      </c>
      <c r="F534" s="3">
        <f t="shared" si="66"/>
        <v>33</v>
      </c>
      <c r="G534" t="s">
        <v>32</v>
      </c>
      <c r="H534" t="str">
        <f t="shared" si="67"/>
        <v>Valid</v>
      </c>
      <c r="I534" t="s">
        <v>33</v>
      </c>
      <c r="J534" t="str">
        <f t="shared" si="68"/>
        <v>Kigoma Ujiji Mc</v>
      </c>
      <c r="K534" t="s">
        <v>40</v>
      </c>
      <c r="L534" t="str" cm="1">
        <f t="array" ref="L534">_xlfn.IFS(
ISNUMBER(SEARCH("ICU",K534)), "ICU",
ISNUMBER(SEARCH("NEONATAL",K534)), PROPER("NEONATAL"),
ISNUMBER(SEARCH("LABOUR",K534)), PROPER("LABOUR"),
ISNUMBER(SEARCH("PAEDIATRIC",K534)), PROPER("PAEDIATRIC"),
ISNUMBER(SEARCH("FEMALE SURGICAL",K534)), PROPER("FEMALE SURG, ORTHO &amp; GYN"),
ISNUMBER(SEARCH("PSYCHIATRIST",K534)), PROPER("PSYCHIATRIST"),
ISNUMBER(SEARCH("GRADE 1",K534)), PROPER("GRADE 1"),
ISNUMBER(SEARCH("MALE SURGICAL",K534)), PROPER("MALE SURG &amp; ORTHOPEDIC"),
ISNUMBER(SEARCH("MALE MEDICAL",K534)), PROPER("MALE MEDICAL"),
ISNUMBER(SEARCH("GRADE 2",K534)), PROPER("GRADE 2"),
ISNUMBER(SEARCH("FEMALE WARD",K534)), PROPER("FEMALE MEDICAL"),
TRUE, "Unmapped: " &amp; K534)</f>
        <v>Labour</v>
      </c>
      <c r="M534" t="s">
        <v>22</v>
      </c>
      <c r="O534" t="s">
        <v>1933</v>
      </c>
      <c r="P534" t="str">
        <f t="shared" si="69"/>
        <v>Text Error</v>
      </c>
      <c r="Q534" s="5">
        <v>46024.927476851852</v>
      </c>
      <c r="R534" t="str">
        <f t="shared" si="70"/>
        <v>Valid Date</v>
      </c>
      <c r="S534" t="s">
        <v>1934</v>
      </c>
      <c r="T534" s="5">
        <v>46027.687638888892</v>
      </c>
      <c r="U534">
        <v>2</v>
      </c>
      <c r="V534" t="str">
        <f t="shared" si="71"/>
        <v>OK</v>
      </c>
      <c r="W534" t="s">
        <v>25</v>
      </c>
      <c r="Y534" t="s">
        <v>30</v>
      </c>
    </row>
    <row r="535" spans="1:25" x14ac:dyDescent="0.25">
      <c r="A535" t="s">
        <v>1935</v>
      </c>
      <c r="B535" t="str">
        <f t="shared" si="65"/>
        <v>Beatrice H Mwangi</v>
      </c>
      <c r="C535">
        <v>106158</v>
      </c>
      <c r="D535" t="str">
        <f t="shared" si="64"/>
        <v>Duplicate</v>
      </c>
      <c r="E535" t="s">
        <v>80</v>
      </c>
      <c r="F535" s="3">
        <f t="shared" si="66"/>
        <v>24</v>
      </c>
      <c r="G535" t="s">
        <v>32</v>
      </c>
      <c r="H535" t="str">
        <f t="shared" si="67"/>
        <v>Valid</v>
      </c>
      <c r="I535" t="s">
        <v>33</v>
      </c>
      <c r="J535" t="str">
        <f t="shared" si="68"/>
        <v>Kigoma Ujiji Mc</v>
      </c>
      <c r="K535" t="s">
        <v>685</v>
      </c>
      <c r="L535" t="str" cm="1">
        <f t="array" ref="L535">_xlfn.IFS(
ISNUMBER(SEARCH("ICU",K535)), "ICU",
ISNUMBER(SEARCH("NEONATAL",K535)), PROPER("NEONATAL"),
ISNUMBER(SEARCH("LABOUR",K535)), PROPER("LABOUR"),
ISNUMBER(SEARCH("PAEDIATRIC",K535)), PROPER("PAEDIATRIC"),
ISNUMBER(SEARCH("FEMALE SURGICAL",K535)), PROPER("FEMALE SURG, ORTHO &amp; GYN"),
ISNUMBER(SEARCH("PSYCHIATRIST",K535)), PROPER("PSYCHIATRIST"),
ISNUMBER(SEARCH("GRADE 1",K535)), PROPER("GRADE 1"),
ISNUMBER(SEARCH("MALE SURGICAL",K535)), PROPER("MALE SURG &amp; ORTHOPEDIC"),
ISNUMBER(SEARCH("MALE MEDICAL",K535)), PROPER("MALE MEDICAL"),
ISNUMBER(SEARCH("GRADE 2",K535)), PROPER("GRADE 2"),
ISNUMBER(SEARCH("FEMALE WARD",K535)), PROPER("FEMALE MEDICAL"),
TRUE, "Unmapped: " &amp; K535)</f>
        <v>Grade 2</v>
      </c>
      <c r="M535" t="s">
        <v>394</v>
      </c>
      <c r="O535" t="s">
        <v>1936</v>
      </c>
      <c r="P535" t="str">
        <f t="shared" si="69"/>
        <v>Text Error</v>
      </c>
      <c r="Q535" s="5">
        <v>46025.004247685189</v>
      </c>
      <c r="R535" t="str">
        <f t="shared" si="70"/>
        <v>Valid Date</v>
      </c>
      <c r="S535" t="s">
        <v>1937</v>
      </c>
      <c r="T535" s="5">
        <v>46027.574953703705</v>
      </c>
      <c r="U535">
        <v>2</v>
      </c>
      <c r="V535" t="str">
        <f t="shared" si="71"/>
        <v>OK</v>
      </c>
      <c r="W535" t="s">
        <v>25</v>
      </c>
      <c r="Y535" t="s">
        <v>30</v>
      </c>
    </row>
    <row r="536" spans="1:25" x14ac:dyDescent="0.25">
      <c r="A536" t="s">
        <v>1935</v>
      </c>
      <c r="B536" t="str">
        <f t="shared" si="65"/>
        <v>Beatrice H Mwangi</v>
      </c>
      <c r="C536">
        <v>106158</v>
      </c>
      <c r="D536" t="str">
        <f t="shared" si="64"/>
        <v>Duplicate</v>
      </c>
      <c r="E536" t="s">
        <v>80</v>
      </c>
      <c r="F536" s="3">
        <f t="shared" si="66"/>
        <v>24</v>
      </c>
      <c r="G536" t="s">
        <v>32</v>
      </c>
      <c r="H536" t="str">
        <f t="shared" si="67"/>
        <v>Valid</v>
      </c>
      <c r="I536" t="s">
        <v>33</v>
      </c>
      <c r="J536" t="str">
        <f t="shared" si="68"/>
        <v>Kigoma Ujiji Mc</v>
      </c>
      <c r="K536" t="s">
        <v>685</v>
      </c>
      <c r="L536" t="str" cm="1">
        <f t="array" ref="L536">_xlfn.IFS(
ISNUMBER(SEARCH("ICU",K536)), "ICU",
ISNUMBER(SEARCH("NEONATAL",K536)), PROPER("NEONATAL"),
ISNUMBER(SEARCH("LABOUR",K536)), PROPER("LABOUR"),
ISNUMBER(SEARCH("PAEDIATRIC",K536)), PROPER("PAEDIATRIC"),
ISNUMBER(SEARCH("FEMALE SURGICAL",K536)), PROPER("FEMALE SURG, ORTHO &amp; GYN"),
ISNUMBER(SEARCH("PSYCHIATRIST",K536)), PROPER("PSYCHIATRIST"),
ISNUMBER(SEARCH("GRADE 1",K536)), PROPER("GRADE 1"),
ISNUMBER(SEARCH("MALE SURGICAL",K536)), PROPER("MALE SURG &amp; ORTHOPEDIC"),
ISNUMBER(SEARCH("MALE MEDICAL",K536)), PROPER("MALE MEDICAL"),
ISNUMBER(SEARCH("GRADE 2",K536)), PROPER("GRADE 2"),
ISNUMBER(SEARCH("FEMALE WARD",K536)), PROPER("FEMALE MEDICAL"),
TRUE, "Unmapped: " &amp; K536)</f>
        <v>Grade 2</v>
      </c>
      <c r="M536" t="s">
        <v>394</v>
      </c>
      <c r="O536" t="s">
        <v>1936</v>
      </c>
      <c r="P536" t="str">
        <f t="shared" si="69"/>
        <v>Text Error</v>
      </c>
      <c r="Q536" s="5">
        <v>46025.004247685189</v>
      </c>
      <c r="R536" t="str">
        <f t="shared" si="70"/>
        <v>Valid Date</v>
      </c>
      <c r="S536" t="s">
        <v>1937</v>
      </c>
      <c r="T536" s="5">
        <v>46027.574953703705</v>
      </c>
      <c r="U536">
        <v>2</v>
      </c>
      <c r="V536" t="str">
        <f t="shared" si="71"/>
        <v>OK</v>
      </c>
      <c r="W536" t="s">
        <v>25</v>
      </c>
      <c r="Y536" t="s">
        <v>30</v>
      </c>
    </row>
    <row r="537" spans="1:25" x14ac:dyDescent="0.25">
      <c r="A537" t="s">
        <v>1938</v>
      </c>
      <c r="B537" t="str">
        <f t="shared" si="65"/>
        <v>Grolia Lameck Emmanuel</v>
      </c>
      <c r="C537">
        <v>127124</v>
      </c>
      <c r="D537" t="str">
        <f t="shared" si="64"/>
        <v>Unique</v>
      </c>
      <c r="E537" t="s">
        <v>18</v>
      </c>
      <c r="F537" s="3">
        <f t="shared" si="66"/>
        <v>1</v>
      </c>
      <c r="G537" t="s">
        <v>32</v>
      </c>
      <c r="H537" t="str">
        <f t="shared" si="67"/>
        <v>Valid</v>
      </c>
      <c r="I537" t="s">
        <v>62</v>
      </c>
      <c r="J537" t="str">
        <f t="shared" si="68"/>
        <v>Kigoma Vijijini</v>
      </c>
      <c r="K537" t="s">
        <v>109</v>
      </c>
      <c r="L537" t="str" cm="1">
        <f t="array" ref="L537">_xlfn.IFS(
ISNUMBER(SEARCH("ICU",K537)), "ICU",
ISNUMBER(SEARCH("NEONATAL",K537)), PROPER("NEONATAL"),
ISNUMBER(SEARCH("LABOUR",K537)), PROPER("LABOUR"),
ISNUMBER(SEARCH("PAEDIATRIC",K537)), PROPER("PAEDIATRIC"),
ISNUMBER(SEARCH("FEMALE SURGICAL",K537)), PROPER("FEMALE SURG, ORTHO &amp; GYN"),
ISNUMBER(SEARCH("PSYCHIATRIST",K537)), PROPER("PSYCHIATRIST"),
ISNUMBER(SEARCH("GRADE 1",K537)), PROPER("GRADE 1"),
ISNUMBER(SEARCH("MALE SURGICAL",K537)), PROPER("MALE SURG &amp; ORTHOPEDIC"),
ISNUMBER(SEARCH("MALE MEDICAL",K537)), PROPER("MALE MEDICAL"),
ISNUMBER(SEARCH("GRADE 2",K537)), PROPER("GRADE 2"),
ISNUMBER(SEARCH("FEMALE WARD",K537)), PROPER("FEMALE MEDICAL"),
TRUE, "Unmapped: " &amp; K537)</f>
        <v>Paediatric</v>
      </c>
      <c r="M537" t="s">
        <v>22</v>
      </c>
      <c r="O537" t="s">
        <v>1939</v>
      </c>
      <c r="P537" t="str">
        <f t="shared" si="69"/>
        <v>Text Error</v>
      </c>
      <c r="Q537" s="5">
        <v>46025.039131944446</v>
      </c>
      <c r="R537" t="str">
        <f t="shared" si="70"/>
        <v>Valid Date</v>
      </c>
      <c r="S537" t="s">
        <v>1940</v>
      </c>
      <c r="T537" s="5">
        <v>46027.641516203701</v>
      </c>
      <c r="U537">
        <v>2</v>
      </c>
      <c r="V537" t="str">
        <f t="shared" si="71"/>
        <v>OK</v>
      </c>
      <c r="W537" t="s">
        <v>25</v>
      </c>
      <c r="Y537" t="s">
        <v>30</v>
      </c>
    </row>
    <row r="538" spans="1:25" x14ac:dyDescent="0.25">
      <c r="A538" t="s">
        <v>1941</v>
      </c>
      <c r="B538" t="str">
        <f t="shared" si="65"/>
        <v>Penina Frednand Ntibikekha</v>
      </c>
      <c r="C538">
        <v>127141</v>
      </c>
      <c r="D538" t="str">
        <f t="shared" si="64"/>
        <v>Unique</v>
      </c>
      <c r="E538" t="s">
        <v>285</v>
      </c>
      <c r="F538" s="3">
        <f t="shared" si="66"/>
        <v>38</v>
      </c>
      <c r="G538" t="s">
        <v>32</v>
      </c>
      <c r="H538" t="str">
        <f t="shared" si="67"/>
        <v>Valid</v>
      </c>
      <c r="I538" t="s">
        <v>33</v>
      </c>
      <c r="J538" t="str">
        <f t="shared" si="68"/>
        <v>Kigoma Ujiji Mc</v>
      </c>
      <c r="K538" t="s">
        <v>40</v>
      </c>
      <c r="L538" t="str" cm="1">
        <f t="array" ref="L538">_xlfn.IFS(
ISNUMBER(SEARCH("ICU",K538)), "ICU",
ISNUMBER(SEARCH("NEONATAL",K538)), PROPER("NEONATAL"),
ISNUMBER(SEARCH("LABOUR",K538)), PROPER("LABOUR"),
ISNUMBER(SEARCH("PAEDIATRIC",K538)), PROPER("PAEDIATRIC"),
ISNUMBER(SEARCH("FEMALE SURGICAL",K538)), PROPER("FEMALE SURG, ORTHO &amp; GYN"),
ISNUMBER(SEARCH("PSYCHIATRIST",K538)), PROPER("PSYCHIATRIST"),
ISNUMBER(SEARCH("GRADE 1",K538)), PROPER("GRADE 1"),
ISNUMBER(SEARCH("MALE SURGICAL",K538)), PROPER("MALE SURG &amp; ORTHOPEDIC"),
ISNUMBER(SEARCH("MALE MEDICAL",K538)), PROPER("MALE MEDICAL"),
ISNUMBER(SEARCH("GRADE 2",K538)), PROPER("GRADE 2"),
ISNUMBER(SEARCH("FEMALE WARD",K538)), PROPER("FEMALE MEDICAL"),
TRUE, "Unmapped: " &amp; K538)</f>
        <v>Labour</v>
      </c>
      <c r="M538" t="s">
        <v>22</v>
      </c>
      <c r="O538" t="s">
        <v>1942</v>
      </c>
      <c r="P538" t="str">
        <f t="shared" si="69"/>
        <v>Text Error</v>
      </c>
      <c r="Q538" s="5">
        <v>46025.267928240741</v>
      </c>
      <c r="R538" t="str">
        <f t="shared" si="70"/>
        <v>Valid Date</v>
      </c>
      <c r="S538" t="s">
        <v>1943</v>
      </c>
      <c r="T538" s="5">
        <v>46027.719351851854</v>
      </c>
      <c r="U538">
        <v>2</v>
      </c>
      <c r="V538" t="str">
        <f t="shared" si="71"/>
        <v>OK</v>
      </c>
      <c r="W538" t="s">
        <v>25</v>
      </c>
      <c r="Y538" t="s">
        <v>30</v>
      </c>
    </row>
    <row r="539" spans="1:25" x14ac:dyDescent="0.25">
      <c r="A539" t="s">
        <v>1944</v>
      </c>
      <c r="B539" t="str">
        <f t="shared" si="65"/>
        <v>Geishoni Benjamini Aluna</v>
      </c>
      <c r="C539">
        <v>125376</v>
      </c>
      <c r="D539" t="str">
        <f t="shared" si="64"/>
        <v>Unique</v>
      </c>
      <c r="E539" t="s">
        <v>215</v>
      </c>
      <c r="F539" s="3">
        <f t="shared" si="66"/>
        <v>25</v>
      </c>
      <c r="G539" t="s">
        <v>19</v>
      </c>
      <c r="H539" t="str">
        <f t="shared" si="67"/>
        <v>Valid</v>
      </c>
      <c r="I539" t="s">
        <v>33</v>
      </c>
      <c r="J539" t="str">
        <f t="shared" si="68"/>
        <v>Kigoma Ujiji Mc</v>
      </c>
      <c r="K539" t="s">
        <v>484</v>
      </c>
      <c r="L539" t="str" cm="1">
        <f t="array" ref="L539">_xlfn.IFS(
ISNUMBER(SEARCH("ICU",K539)), "ICU",
ISNUMBER(SEARCH("NEONATAL",K539)), PROPER("NEONATAL"),
ISNUMBER(SEARCH("LABOUR",K539)), PROPER("LABOUR"),
ISNUMBER(SEARCH("PAEDIATRIC",K539)), PROPER("PAEDIATRIC"),
ISNUMBER(SEARCH("FEMALE SURGICAL",K539)), PROPER("FEMALE SURG, ORTHO &amp; GYN"),
ISNUMBER(SEARCH("PSYCHIATRIST",K539)), PROPER("PSYCHIATRIST"),
ISNUMBER(SEARCH("GRADE 1",K539)), PROPER("GRADE 1"),
ISNUMBER(SEARCH("MALE SURGICAL",K539)), PROPER("MALE SURG &amp; ORTHOPEDIC"),
ISNUMBER(SEARCH("MALE MEDICAL",K539)), PROPER("MALE MEDICAL"),
ISNUMBER(SEARCH("GRADE 2",K539)), PROPER("GRADE 2"),
ISNUMBER(SEARCH("FEMALE WARD",K539)), PROPER("FEMALE MEDICAL"),
TRUE, "Unmapped: " &amp; K539)</f>
        <v>Male Medical</v>
      </c>
      <c r="M539" t="s">
        <v>22</v>
      </c>
      <c r="O539" t="s">
        <v>1945</v>
      </c>
      <c r="P539" t="str">
        <f t="shared" si="69"/>
        <v>Text Error</v>
      </c>
      <c r="Q539" s="5">
        <v>46025.528333333335</v>
      </c>
      <c r="R539" t="str">
        <f t="shared" si="70"/>
        <v>Valid Date</v>
      </c>
      <c r="S539" t="s">
        <v>1946</v>
      </c>
      <c r="T539" s="5">
        <v>46027.55300925926</v>
      </c>
      <c r="U539">
        <v>2</v>
      </c>
      <c r="V539" t="str">
        <f t="shared" si="71"/>
        <v>OK</v>
      </c>
      <c r="W539" t="s">
        <v>25</v>
      </c>
      <c r="Y539" t="s">
        <v>30</v>
      </c>
    </row>
    <row r="540" spans="1:25" x14ac:dyDescent="0.25">
      <c r="A540" t="s">
        <v>1947</v>
      </c>
      <c r="B540" t="str">
        <f t="shared" si="65"/>
        <v>Modester G Bakunda</v>
      </c>
      <c r="C540">
        <v>73292</v>
      </c>
      <c r="D540" t="str">
        <f t="shared" si="64"/>
        <v>Unique</v>
      </c>
      <c r="E540" t="s">
        <v>142</v>
      </c>
      <c r="F540" s="3">
        <f t="shared" si="66"/>
        <v>20</v>
      </c>
      <c r="G540" t="s">
        <v>32</v>
      </c>
      <c r="H540" t="str">
        <f t="shared" si="67"/>
        <v>Valid</v>
      </c>
      <c r="I540" t="s">
        <v>227</v>
      </c>
      <c r="J540" t="str">
        <f t="shared" si="68"/>
        <v>KGG</v>
      </c>
      <c r="K540" t="s">
        <v>685</v>
      </c>
      <c r="L540" t="str" cm="1">
        <f t="array" ref="L540">_xlfn.IFS(
ISNUMBER(SEARCH("ICU",K540)), "ICU",
ISNUMBER(SEARCH("NEONATAL",K540)), PROPER("NEONATAL"),
ISNUMBER(SEARCH("LABOUR",K540)), PROPER("LABOUR"),
ISNUMBER(SEARCH("PAEDIATRIC",K540)), PROPER("PAEDIATRIC"),
ISNUMBER(SEARCH("FEMALE SURGICAL",K540)), PROPER("FEMALE SURG, ORTHO &amp; GYN"),
ISNUMBER(SEARCH("PSYCHIATRIST",K540)), PROPER("PSYCHIATRIST"),
ISNUMBER(SEARCH("GRADE 1",K540)), PROPER("GRADE 1"),
ISNUMBER(SEARCH("MALE SURGICAL",K540)), PROPER("MALE SURG &amp; ORTHOPEDIC"),
ISNUMBER(SEARCH("MALE MEDICAL",K540)), PROPER("MALE MEDICAL"),
ISNUMBER(SEARCH("GRADE 2",K540)), PROPER("GRADE 2"),
ISNUMBER(SEARCH("FEMALE WARD",K540)), PROPER("FEMALE MEDICAL"),
TRUE, "Unmapped: " &amp; K540)</f>
        <v>Grade 2</v>
      </c>
      <c r="M540" t="s">
        <v>394</v>
      </c>
      <c r="O540" t="s">
        <v>1948</v>
      </c>
      <c r="P540" t="str">
        <f t="shared" si="69"/>
        <v>Text Error</v>
      </c>
      <c r="Q540" s="5">
        <v>46025.71025462963</v>
      </c>
      <c r="R540" t="str">
        <f t="shared" si="70"/>
        <v>Valid Date</v>
      </c>
      <c r="S540" t="s">
        <v>1949</v>
      </c>
      <c r="T540" s="5">
        <v>46028.571782407409</v>
      </c>
      <c r="U540">
        <v>2</v>
      </c>
      <c r="V540" t="str">
        <f t="shared" si="71"/>
        <v>OK</v>
      </c>
      <c r="W540" t="s">
        <v>25</v>
      </c>
      <c r="Y540" t="s">
        <v>30</v>
      </c>
    </row>
    <row r="541" spans="1:25" x14ac:dyDescent="0.25">
      <c r="A541" t="s">
        <v>1950</v>
      </c>
      <c r="B541" t="str">
        <f t="shared" si="65"/>
        <v>Raymond B Gafuruza</v>
      </c>
      <c r="C541">
        <v>97568</v>
      </c>
      <c r="D541" t="str">
        <f t="shared" si="64"/>
        <v>Unique</v>
      </c>
      <c r="E541" t="s">
        <v>1951</v>
      </c>
      <c r="F541" s="3">
        <f t="shared" si="66"/>
        <v>58</v>
      </c>
      <c r="G541" t="s">
        <v>19</v>
      </c>
      <c r="H541" t="str">
        <f t="shared" si="67"/>
        <v>Valid</v>
      </c>
      <c r="I541" t="s">
        <v>33</v>
      </c>
      <c r="J541" t="str">
        <f t="shared" si="68"/>
        <v>Kigoma Ujiji Mc</v>
      </c>
      <c r="K541" t="s">
        <v>685</v>
      </c>
      <c r="L541" t="str" cm="1">
        <f t="array" ref="L541">_xlfn.IFS(
ISNUMBER(SEARCH("ICU",K541)), "ICU",
ISNUMBER(SEARCH("NEONATAL",K541)), PROPER("NEONATAL"),
ISNUMBER(SEARCH("LABOUR",K541)), PROPER("LABOUR"),
ISNUMBER(SEARCH("PAEDIATRIC",K541)), PROPER("PAEDIATRIC"),
ISNUMBER(SEARCH("FEMALE SURGICAL",K541)), PROPER("FEMALE SURG, ORTHO &amp; GYN"),
ISNUMBER(SEARCH("PSYCHIATRIST",K541)), PROPER("PSYCHIATRIST"),
ISNUMBER(SEARCH("GRADE 1",K541)), PROPER("GRADE 1"),
ISNUMBER(SEARCH("MALE SURGICAL",K541)), PROPER("MALE SURG &amp; ORTHOPEDIC"),
ISNUMBER(SEARCH("MALE MEDICAL",K541)), PROPER("MALE MEDICAL"),
ISNUMBER(SEARCH("GRADE 2",K541)), PROPER("GRADE 2"),
ISNUMBER(SEARCH("FEMALE WARD",K541)), PROPER("FEMALE MEDICAL"),
TRUE, "Unmapped: " &amp; K541)</f>
        <v>Grade 2</v>
      </c>
      <c r="M541" t="s">
        <v>394</v>
      </c>
      <c r="O541" t="s">
        <v>1952</v>
      </c>
      <c r="P541" t="str">
        <f t="shared" si="69"/>
        <v>Text Error</v>
      </c>
      <c r="Q541" s="5">
        <v>46025.837013888886</v>
      </c>
      <c r="R541" t="str">
        <f t="shared" si="70"/>
        <v>Valid Date</v>
      </c>
      <c r="S541" t="s">
        <v>1953</v>
      </c>
      <c r="T541" s="5">
        <v>46028.548703703702</v>
      </c>
      <c r="U541">
        <v>2</v>
      </c>
      <c r="V541" t="str">
        <f t="shared" si="71"/>
        <v>OK</v>
      </c>
      <c r="W541" t="s">
        <v>25</v>
      </c>
      <c r="Y541" t="s">
        <v>30</v>
      </c>
    </row>
    <row r="542" spans="1:25" x14ac:dyDescent="0.25">
      <c r="A542" t="s">
        <v>1954</v>
      </c>
      <c r="B542" t="str">
        <f t="shared" si="65"/>
        <v>Babyof Ashura Jumanne Nelson</v>
      </c>
      <c r="C542">
        <v>127202</v>
      </c>
      <c r="D542" t="str">
        <f t="shared" si="64"/>
        <v>Unique</v>
      </c>
      <c r="E542" t="s">
        <v>622</v>
      </c>
      <c r="F542" s="3" t="str">
        <f t="shared" si="66"/>
        <v>2/12</v>
      </c>
      <c r="G542" t="s">
        <v>19</v>
      </c>
      <c r="H542" t="str">
        <f t="shared" si="67"/>
        <v>Valid</v>
      </c>
      <c r="I542" t="s">
        <v>62</v>
      </c>
      <c r="J542" t="str">
        <f t="shared" si="68"/>
        <v>Kigoma Vijijini</v>
      </c>
      <c r="K542" t="s">
        <v>21</v>
      </c>
      <c r="L542" t="str" cm="1">
        <f t="array" ref="L542">_xlfn.IFS(
ISNUMBER(SEARCH("ICU",K542)), "ICU",
ISNUMBER(SEARCH("NEONATAL",K542)), PROPER("NEONATAL"),
ISNUMBER(SEARCH("LABOUR",K542)), PROPER("LABOUR"),
ISNUMBER(SEARCH("PAEDIATRIC",K542)), PROPER("PAEDIATRIC"),
ISNUMBER(SEARCH("FEMALE SURGICAL",K542)), PROPER("FEMALE SURG, ORTHO &amp; GYN"),
ISNUMBER(SEARCH("PSYCHIATRIST",K542)), PROPER("PSYCHIATRIST"),
ISNUMBER(SEARCH("GRADE 1",K542)), PROPER("GRADE 1"),
ISNUMBER(SEARCH("MALE SURGICAL",K542)), PROPER("MALE SURG &amp; ORTHOPEDIC"),
ISNUMBER(SEARCH("MALE MEDICAL",K542)), PROPER("MALE MEDICAL"),
ISNUMBER(SEARCH("GRADE 2",K542)), PROPER("GRADE 2"),
ISNUMBER(SEARCH("FEMALE WARD",K542)), PROPER("FEMALE MEDICAL"),
TRUE, "Unmapped: " &amp; K542)</f>
        <v>Neonatal</v>
      </c>
      <c r="M542" t="s">
        <v>22</v>
      </c>
      <c r="O542" t="s">
        <v>1955</v>
      </c>
      <c r="P542" t="str">
        <f t="shared" si="69"/>
        <v>Text Error</v>
      </c>
      <c r="Q542" s="5">
        <v>46026.088460648149</v>
      </c>
      <c r="R542" t="str">
        <f t="shared" si="70"/>
        <v>Valid Date</v>
      </c>
      <c r="S542" t="s">
        <v>1956</v>
      </c>
      <c r="T542" s="5">
        <v>46028.5621875</v>
      </c>
      <c r="U542">
        <v>2</v>
      </c>
      <c r="V542" t="str">
        <f t="shared" si="71"/>
        <v>OK</v>
      </c>
      <c r="W542" t="s">
        <v>211</v>
      </c>
      <c r="Y542" t="s">
        <v>30</v>
      </c>
    </row>
    <row r="543" spans="1:25" x14ac:dyDescent="0.25">
      <c r="A543" t="s">
        <v>1957</v>
      </c>
      <c r="B543" t="str">
        <f t="shared" si="65"/>
        <v>Hemedi Filiasi Kakozi</v>
      </c>
      <c r="C543">
        <v>126410</v>
      </c>
      <c r="D543" t="str">
        <f t="shared" si="64"/>
        <v>Unique</v>
      </c>
      <c r="E543" t="s">
        <v>572</v>
      </c>
      <c r="F543" s="3">
        <f t="shared" si="66"/>
        <v>61</v>
      </c>
      <c r="G543" t="s">
        <v>19</v>
      </c>
      <c r="H543" t="str">
        <f t="shared" si="67"/>
        <v>Valid</v>
      </c>
      <c r="I543" t="s">
        <v>20</v>
      </c>
      <c r="J543" t="str">
        <f t="shared" si="68"/>
        <v>Uvinza</v>
      </c>
      <c r="K543" t="s">
        <v>428</v>
      </c>
      <c r="L543" t="str" cm="1">
        <f t="array" ref="L543">_xlfn.IFS(
ISNUMBER(SEARCH("ICU",K543)), "ICU",
ISNUMBER(SEARCH("NEONATAL",K543)), PROPER("NEONATAL"),
ISNUMBER(SEARCH("LABOUR",K543)), PROPER("LABOUR"),
ISNUMBER(SEARCH("PAEDIATRIC",K543)), PROPER("PAEDIATRIC"),
ISNUMBER(SEARCH("FEMALE SURGICAL",K543)), PROPER("FEMALE SURG, ORTHO &amp; GYN"),
ISNUMBER(SEARCH("PSYCHIATRIST",K543)), PROPER("PSYCHIATRIST"),
ISNUMBER(SEARCH("GRADE 1",K543)), PROPER("GRADE 1"),
ISNUMBER(SEARCH("MALE SURGICAL",K543)), PROPER("MALE SURG &amp; ORTHOPEDIC"),
ISNUMBER(SEARCH("MALE MEDICAL",K543)), PROPER("MALE MEDICAL"),
ISNUMBER(SEARCH("GRADE 2",K543)), PROPER("GRADE 2"),
ISNUMBER(SEARCH("FEMALE WARD",K543)), PROPER("FEMALE MEDICAL"),
TRUE, "Unmapped: " &amp; K543)</f>
        <v>Male Surg &amp; Orthopedic</v>
      </c>
      <c r="M543" t="s">
        <v>22</v>
      </c>
      <c r="O543" t="s">
        <v>1958</v>
      </c>
      <c r="P543" t="str">
        <f t="shared" si="69"/>
        <v>Text Error</v>
      </c>
      <c r="Q543" s="5">
        <v>46026.851898148147</v>
      </c>
      <c r="R543" t="str">
        <f t="shared" si="70"/>
        <v>Valid Date</v>
      </c>
      <c r="S543" t="s">
        <v>1959</v>
      </c>
      <c r="T543" s="5">
        <v>46029.677800925929</v>
      </c>
      <c r="U543">
        <v>2</v>
      </c>
      <c r="V543" t="str">
        <f t="shared" si="71"/>
        <v>OK</v>
      </c>
      <c r="W543" t="s">
        <v>25</v>
      </c>
      <c r="Y543" t="s">
        <v>30</v>
      </c>
    </row>
    <row r="544" spans="1:25" x14ac:dyDescent="0.25">
      <c r="A544" t="s">
        <v>1909</v>
      </c>
      <c r="B544" t="str">
        <f t="shared" si="65"/>
        <v>Irene Ilunga Ngoi</v>
      </c>
      <c r="C544">
        <v>23620</v>
      </c>
      <c r="D544" t="str">
        <f t="shared" si="64"/>
        <v>Duplicate</v>
      </c>
      <c r="E544" t="s">
        <v>296</v>
      </c>
      <c r="F544" s="3">
        <f t="shared" si="66"/>
        <v>26</v>
      </c>
      <c r="G544" t="s">
        <v>32</v>
      </c>
      <c r="H544" t="str">
        <f t="shared" si="67"/>
        <v>Valid</v>
      </c>
      <c r="I544" t="s">
        <v>227</v>
      </c>
      <c r="J544" t="str">
        <f t="shared" si="68"/>
        <v>KGG</v>
      </c>
      <c r="K544" t="s">
        <v>40</v>
      </c>
      <c r="L544" t="str" cm="1">
        <f t="array" ref="L544">_xlfn.IFS(
ISNUMBER(SEARCH("ICU",K544)), "ICU",
ISNUMBER(SEARCH("NEONATAL",K544)), PROPER("NEONATAL"),
ISNUMBER(SEARCH("LABOUR",K544)), PROPER("LABOUR"),
ISNUMBER(SEARCH("PAEDIATRIC",K544)), PROPER("PAEDIATRIC"),
ISNUMBER(SEARCH("FEMALE SURGICAL",K544)), PROPER("FEMALE SURG, ORTHO &amp; GYN"),
ISNUMBER(SEARCH("PSYCHIATRIST",K544)), PROPER("PSYCHIATRIST"),
ISNUMBER(SEARCH("GRADE 1",K544)), PROPER("GRADE 1"),
ISNUMBER(SEARCH("MALE SURGICAL",K544)), PROPER("MALE SURG &amp; ORTHOPEDIC"),
ISNUMBER(SEARCH("MALE MEDICAL",K544)), PROPER("MALE MEDICAL"),
ISNUMBER(SEARCH("GRADE 2",K544)), PROPER("GRADE 2"),
ISNUMBER(SEARCH("FEMALE WARD",K544)), PROPER("FEMALE MEDICAL"),
TRUE, "Unmapped: " &amp; K544)</f>
        <v>Labour</v>
      </c>
      <c r="M544" t="s">
        <v>22</v>
      </c>
      <c r="O544" t="s">
        <v>1960</v>
      </c>
      <c r="P544" t="str">
        <f t="shared" si="69"/>
        <v>Text Error</v>
      </c>
      <c r="Q544" s="5">
        <v>46026.887465277781</v>
      </c>
      <c r="R544" t="str">
        <f t="shared" si="70"/>
        <v>Valid Date</v>
      </c>
      <c r="S544" t="s">
        <v>1961</v>
      </c>
      <c r="T544" s="5">
        <v>46028.960995370369</v>
      </c>
      <c r="U544">
        <v>2</v>
      </c>
      <c r="V544" t="str">
        <f t="shared" si="71"/>
        <v>OK</v>
      </c>
      <c r="W544" t="s">
        <v>25</v>
      </c>
      <c r="Y544" t="s">
        <v>30</v>
      </c>
    </row>
    <row r="545" spans="1:25" x14ac:dyDescent="0.25">
      <c r="A545" t="s">
        <v>1962</v>
      </c>
      <c r="B545" t="str">
        <f t="shared" si="65"/>
        <v>Sabrina Twalib Lubea</v>
      </c>
      <c r="C545">
        <v>127250</v>
      </c>
      <c r="D545" t="str">
        <f t="shared" si="64"/>
        <v>Unique</v>
      </c>
      <c r="E545" t="s">
        <v>86</v>
      </c>
      <c r="F545" s="3">
        <f t="shared" si="66"/>
        <v>23</v>
      </c>
      <c r="G545" t="s">
        <v>32</v>
      </c>
      <c r="H545" t="str">
        <f t="shared" si="67"/>
        <v>Valid</v>
      </c>
      <c r="I545" t="s">
        <v>33</v>
      </c>
      <c r="J545" t="str">
        <f t="shared" si="68"/>
        <v>Kigoma Ujiji Mc</v>
      </c>
      <c r="K545" t="s">
        <v>40</v>
      </c>
      <c r="L545" t="str" cm="1">
        <f t="array" ref="L545">_xlfn.IFS(
ISNUMBER(SEARCH("ICU",K545)), "ICU",
ISNUMBER(SEARCH("NEONATAL",K545)), PROPER("NEONATAL"),
ISNUMBER(SEARCH("LABOUR",K545)), PROPER("LABOUR"),
ISNUMBER(SEARCH("PAEDIATRIC",K545)), PROPER("PAEDIATRIC"),
ISNUMBER(SEARCH("FEMALE SURGICAL",K545)), PROPER("FEMALE SURG, ORTHO &amp; GYN"),
ISNUMBER(SEARCH("PSYCHIATRIST",K545)), PROPER("PSYCHIATRIST"),
ISNUMBER(SEARCH("GRADE 1",K545)), PROPER("GRADE 1"),
ISNUMBER(SEARCH("MALE SURGICAL",K545)), PROPER("MALE SURG &amp; ORTHOPEDIC"),
ISNUMBER(SEARCH("MALE MEDICAL",K545)), PROPER("MALE MEDICAL"),
ISNUMBER(SEARCH("GRADE 2",K545)), PROPER("GRADE 2"),
ISNUMBER(SEARCH("FEMALE WARD",K545)), PROPER("FEMALE MEDICAL"),
TRUE, "Unmapped: " &amp; K545)</f>
        <v>Labour</v>
      </c>
      <c r="M545" t="s">
        <v>22</v>
      </c>
      <c r="O545" t="s">
        <v>1963</v>
      </c>
      <c r="P545" t="str">
        <f t="shared" si="69"/>
        <v>Text Error</v>
      </c>
      <c r="Q545" s="5">
        <v>46027.675092592595</v>
      </c>
      <c r="R545" t="str">
        <f t="shared" si="70"/>
        <v>Valid Date</v>
      </c>
      <c r="S545" t="s">
        <v>1964</v>
      </c>
      <c r="T545" s="5">
        <v>46029.752418981479</v>
      </c>
      <c r="U545">
        <v>2</v>
      </c>
      <c r="V545" t="str">
        <f t="shared" si="71"/>
        <v>OK</v>
      </c>
      <c r="W545" t="s">
        <v>25</v>
      </c>
      <c r="Y545" t="s">
        <v>30</v>
      </c>
    </row>
    <row r="546" spans="1:25" x14ac:dyDescent="0.25">
      <c r="A546" t="s">
        <v>1965</v>
      </c>
      <c r="B546" t="str">
        <f t="shared" si="65"/>
        <v>Samaka Edward Songera</v>
      </c>
      <c r="C546">
        <v>127436</v>
      </c>
      <c r="D546" t="str">
        <f t="shared" si="64"/>
        <v>Unique</v>
      </c>
      <c r="E546" t="s">
        <v>151</v>
      </c>
      <c r="F546" s="3">
        <f t="shared" si="66"/>
        <v>22</v>
      </c>
      <c r="G546" t="s">
        <v>32</v>
      </c>
      <c r="H546" t="str">
        <f t="shared" si="67"/>
        <v>Valid</v>
      </c>
      <c r="I546" t="s">
        <v>260</v>
      </c>
      <c r="J546" t="str">
        <f t="shared" si="68"/>
        <v>Kasulu</v>
      </c>
      <c r="K546" t="s">
        <v>40</v>
      </c>
      <c r="L546" t="str" cm="1">
        <f t="array" ref="L546">_xlfn.IFS(
ISNUMBER(SEARCH("ICU",K546)), "ICU",
ISNUMBER(SEARCH("NEONATAL",K546)), PROPER("NEONATAL"),
ISNUMBER(SEARCH("LABOUR",K546)), PROPER("LABOUR"),
ISNUMBER(SEARCH("PAEDIATRIC",K546)), PROPER("PAEDIATRIC"),
ISNUMBER(SEARCH("FEMALE SURGICAL",K546)), PROPER("FEMALE SURG, ORTHO &amp; GYN"),
ISNUMBER(SEARCH("PSYCHIATRIST",K546)), PROPER("PSYCHIATRIST"),
ISNUMBER(SEARCH("GRADE 1",K546)), PROPER("GRADE 1"),
ISNUMBER(SEARCH("MALE SURGICAL",K546)), PROPER("MALE SURG &amp; ORTHOPEDIC"),
ISNUMBER(SEARCH("MALE MEDICAL",K546)), PROPER("MALE MEDICAL"),
ISNUMBER(SEARCH("GRADE 2",K546)), PROPER("GRADE 2"),
ISNUMBER(SEARCH("FEMALE WARD",K546)), PROPER("FEMALE MEDICAL"),
TRUE, "Unmapped: " &amp; K546)</f>
        <v>Labour</v>
      </c>
      <c r="M546" t="s">
        <v>22</v>
      </c>
      <c r="O546" t="s">
        <v>1966</v>
      </c>
      <c r="P546" t="str">
        <f t="shared" si="69"/>
        <v>Text Error</v>
      </c>
      <c r="Q546" s="5">
        <v>46028.167685185188</v>
      </c>
      <c r="R546" t="str">
        <f t="shared" si="70"/>
        <v>Valid Date</v>
      </c>
      <c r="S546" t="s">
        <v>1967</v>
      </c>
      <c r="T546" s="5">
        <v>46030.863402777781</v>
      </c>
      <c r="U546">
        <v>2</v>
      </c>
      <c r="V546" t="str">
        <f t="shared" si="71"/>
        <v>OK</v>
      </c>
      <c r="W546" t="s">
        <v>25</v>
      </c>
      <c r="Y546" t="s">
        <v>30</v>
      </c>
    </row>
    <row r="547" spans="1:25" x14ac:dyDescent="0.25">
      <c r="A547" t="s">
        <v>1968</v>
      </c>
      <c r="B547" t="str">
        <f t="shared" si="65"/>
        <v>Samwel K Samwel</v>
      </c>
      <c r="C547">
        <v>127476</v>
      </c>
      <c r="D547" t="str">
        <f t="shared" si="64"/>
        <v>Unique</v>
      </c>
      <c r="E547" t="s">
        <v>1217</v>
      </c>
      <c r="F547" s="3">
        <f t="shared" si="66"/>
        <v>9</v>
      </c>
      <c r="G547" t="s">
        <v>19</v>
      </c>
      <c r="H547" t="str">
        <f t="shared" si="67"/>
        <v>Valid</v>
      </c>
      <c r="I547" t="s">
        <v>33</v>
      </c>
      <c r="J547" t="str">
        <f t="shared" si="68"/>
        <v>Kigoma Ujiji Mc</v>
      </c>
      <c r="K547" t="s">
        <v>109</v>
      </c>
      <c r="L547" t="str" cm="1">
        <f t="array" ref="L547">_xlfn.IFS(
ISNUMBER(SEARCH("ICU",K547)), "ICU",
ISNUMBER(SEARCH("NEONATAL",K547)), PROPER("NEONATAL"),
ISNUMBER(SEARCH("LABOUR",K547)), PROPER("LABOUR"),
ISNUMBER(SEARCH("PAEDIATRIC",K547)), PROPER("PAEDIATRIC"),
ISNUMBER(SEARCH("FEMALE SURGICAL",K547)), PROPER("FEMALE SURG, ORTHO &amp; GYN"),
ISNUMBER(SEARCH("PSYCHIATRIST",K547)), PROPER("PSYCHIATRIST"),
ISNUMBER(SEARCH("GRADE 1",K547)), PROPER("GRADE 1"),
ISNUMBER(SEARCH("MALE SURGICAL",K547)), PROPER("MALE SURG &amp; ORTHOPEDIC"),
ISNUMBER(SEARCH("MALE MEDICAL",K547)), PROPER("MALE MEDICAL"),
ISNUMBER(SEARCH("GRADE 2",K547)), PROPER("GRADE 2"),
ISNUMBER(SEARCH("FEMALE WARD",K547)), PROPER("FEMALE MEDICAL"),
TRUE, "Unmapped: " &amp; K547)</f>
        <v>Paediatric</v>
      </c>
      <c r="M547" t="s">
        <v>394</v>
      </c>
      <c r="O547" t="s">
        <v>1969</v>
      </c>
      <c r="P547" t="str">
        <f t="shared" si="69"/>
        <v>Text Error</v>
      </c>
      <c r="Q547" s="5">
        <v>46028.578217592592</v>
      </c>
      <c r="R547" t="str">
        <f t="shared" si="70"/>
        <v>Valid Date</v>
      </c>
      <c r="S547" t="s">
        <v>1970</v>
      </c>
      <c r="T547" s="5">
        <v>46030.657905092594</v>
      </c>
      <c r="U547">
        <v>2</v>
      </c>
      <c r="V547" t="str">
        <f t="shared" si="71"/>
        <v>OK</v>
      </c>
      <c r="W547" t="s">
        <v>25</v>
      </c>
      <c r="Y547" t="s">
        <v>30</v>
      </c>
    </row>
    <row r="548" spans="1:25" x14ac:dyDescent="0.25">
      <c r="A548" t="s">
        <v>1971</v>
      </c>
      <c r="B548" t="str">
        <f t="shared" si="65"/>
        <v>Hussein Adamu Hussein</v>
      </c>
      <c r="C548">
        <v>127473</v>
      </c>
      <c r="D548" t="str">
        <f t="shared" si="64"/>
        <v>Unique</v>
      </c>
      <c r="E548" t="s">
        <v>86</v>
      </c>
      <c r="F548" s="3">
        <f t="shared" si="66"/>
        <v>23</v>
      </c>
      <c r="G548" t="s">
        <v>19</v>
      </c>
      <c r="H548" t="str">
        <f t="shared" si="67"/>
        <v>Valid</v>
      </c>
      <c r="I548" t="s">
        <v>33</v>
      </c>
      <c r="J548" t="str">
        <f t="shared" si="68"/>
        <v>Kigoma Ujiji Mc</v>
      </c>
      <c r="K548" t="s">
        <v>428</v>
      </c>
      <c r="L548" t="str" cm="1">
        <f t="array" ref="L548">_xlfn.IFS(
ISNUMBER(SEARCH("ICU",K548)), "ICU",
ISNUMBER(SEARCH("NEONATAL",K548)), PROPER("NEONATAL"),
ISNUMBER(SEARCH("LABOUR",K548)), PROPER("LABOUR"),
ISNUMBER(SEARCH("PAEDIATRIC",K548)), PROPER("PAEDIATRIC"),
ISNUMBER(SEARCH("FEMALE SURGICAL",K548)), PROPER("FEMALE SURG, ORTHO &amp; GYN"),
ISNUMBER(SEARCH("PSYCHIATRIST",K548)), PROPER("PSYCHIATRIST"),
ISNUMBER(SEARCH("GRADE 1",K548)), PROPER("GRADE 1"),
ISNUMBER(SEARCH("MALE SURGICAL",K548)), PROPER("MALE SURG &amp; ORTHOPEDIC"),
ISNUMBER(SEARCH("MALE MEDICAL",K548)), PROPER("MALE MEDICAL"),
ISNUMBER(SEARCH("GRADE 2",K548)), PROPER("GRADE 2"),
ISNUMBER(SEARCH("FEMALE WARD",K548)), PROPER("FEMALE MEDICAL"),
TRUE, "Unmapped: " &amp; K548)</f>
        <v>Male Surg &amp; Orthopedic</v>
      </c>
      <c r="M548" t="s">
        <v>22</v>
      </c>
      <c r="O548" t="s">
        <v>1972</v>
      </c>
      <c r="P548" t="str">
        <f t="shared" si="69"/>
        <v>Text Error</v>
      </c>
      <c r="Q548" s="5">
        <v>46028.661168981482</v>
      </c>
      <c r="R548" t="str">
        <f t="shared" si="70"/>
        <v>Valid Date</v>
      </c>
      <c r="S548" t="s">
        <v>1973</v>
      </c>
      <c r="T548" s="5">
        <v>46031.585266203707</v>
      </c>
      <c r="U548">
        <v>2</v>
      </c>
      <c r="V548" t="str">
        <f t="shared" si="71"/>
        <v>OK</v>
      </c>
      <c r="W548" t="s">
        <v>211</v>
      </c>
      <c r="Y548" t="s">
        <v>30</v>
      </c>
    </row>
    <row r="549" spans="1:25" x14ac:dyDescent="0.25">
      <c r="A549" t="s">
        <v>1974</v>
      </c>
      <c r="B549" t="str">
        <f t="shared" si="65"/>
        <v>Rosemary Reonard Rusimba</v>
      </c>
      <c r="C549">
        <v>116526</v>
      </c>
      <c r="D549" t="str">
        <f t="shared" si="64"/>
        <v>Unique</v>
      </c>
      <c r="E549" t="s">
        <v>215</v>
      </c>
      <c r="F549" s="3">
        <f t="shared" si="66"/>
        <v>25</v>
      </c>
      <c r="G549" t="s">
        <v>32</v>
      </c>
      <c r="H549" t="str">
        <f t="shared" si="67"/>
        <v>Valid</v>
      </c>
      <c r="I549" t="s">
        <v>33</v>
      </c>
      <c r="J549" t="str">
        <f t="shared" si="68"/>
        <v>Kigoma Ujiji Mc</v>
      </c>
      <c r="K549" t="s">
        <v>40</v>
      </c>
      <c r="L549" t="str" cm="1">
        <f t="array" ref="L549">_xlfn.IFS(
ISNUMBER(SEARCH("ICU",K549)), "ICU",
ISNUMBER(SEARCH("NEONATAL",K549)), PROPER("NEONATAL"),
ISNUMBER(SEARCH("LABOUR",K549)), PROPER("LABOUR"),
ISNUMBER(SEARCH("PAEDIATRIC",K549)), PROPER("PAEDIATRIC"),
ISNUMBER(SEARCH("FEMALE SURGICAL",K549)), PROPER("FEMALE SURG, ORTHO &amp; GYN"),
ISNUMBER(SEARCH("PSYCHIATRIST",K549)), PROPER("PSYCHIATRIST"),
ISNUMBER(SEARCH("GRADE 1",K549)), PROPER("GRADE 1"),
ISNUMBER(SEARCH("MALE SURGICAL",K549)), PROPER("MALE SURG &amp; ORTHOPEDIC"),
ISNUMBER(SEARCH("MALE MEDICAL",K549)), PROPER("MALE MEDICAL"),
ISNUMBER(SEARCH("GRADE 2",K549)), PROPER("GRADE 2"),
ISNUMBER(SEARCH("FEMALE WARD",K549)), PROPER("FEMALE MEDICAL"),
TRUE, "Unmapped: " &amp; K549)</f>
        <v>Labour</v>
      </c>
      <c r="M549" t="s">
        <v>22</v>
      </c>
      <c r="O549" t="s">
        <v>1975</v>
      </c>
      <c r="P549" t="str">
        <f t="shared" si="69"/>
        <v>Text Error</v>
      </c>
      <c r="Q549" s="5">
        <v>46028.732546296298</v>
      </c>
      <c r="R549" t="str">
        <f t="shared" si="70"/>
        <v>Valid Date</v>
      </c>
      <c r="S549" t="s">
        <v>1976</v>
      </c>
      <c r="T549" s="5">
        <v>46031.723715277774</v>
      </c>
      <c r="U549">
        <v>2</v>
      </c>
      <c r="V549" t="str">
        <f t="shared" si="71"/>
        <v>OK</v>
      </c>
      <c r="W549" t="s">
        <v>25</v>
      </c>
      <c r="Y549" t="s">
        <v>30</v>
      </c>
    </row>
    <row r="550" spans="1:25" x14ac:dyDescent="0.25">
      <c r="A550" t="s">
        <v>1977</v>
      </c>
      <c r="B550" t="str">
        <f t="shared" si="65"/>
        <v>Haruna Masumbuko Magulu</v>
      </c>
      <c r="C550">
        <v>127544</v>
      </c>
      <c r="D550" t="str">
        <f t="shared" si="64"/>
        <v>Unique</v>
      </c>
      <c r="E550" t="s">
        <v>884</v>
      </c>
      <c r="F550" s="3">
        <f t="shared" si="66"/>
        <v>70</v>
      </c>
      <c r="G550" t="s">
        <v>19</v>
      </c>
      <c r="H550" t="str">
        <f t="shared" si="67"/>
        <v>Valid</v>
      </c>
      <c r="I550" t="s">
        <v>33</v>
      </c>
      <c r="J550" t="str">
        <f t="shared" si="68"/>
        <v>Kigoma Ujiji Mc</v>
      </c>
      <c r="K550" t="s">
        <v>484</v>
      </c>
      <c r="L550" t="str" cm="1">
        <f t="array" ref="L550">_xlfn.IFS(
ISNUMBER(SEARCH("ICU",K550)), "ICU",
ISNUMBER(SEARCH("NEONATAL",K550)), PROPER("NEONATAL"),
ISNUMBER(SEARCH("LABOUR",K550)), PROPER("LABOUR"),
ISNUMBER(SEARCH("PAEDIATRIC",K550)), PROPER("PAEDIATRIC"),
ISNUMBER(SEARCH("FEMALE SURGICAL",K550)), PROPER("FEMALE SURG, ORTHO &amp; GYN"),
ISNUMBER(SEARCH("PSYCHIATRIST",K550)), PROPER("PSYCHIATRIST"),
ISNUMBER(SEARCH("GRADE 1",K550)), PROPER("GRADE 1"),
ISNUMBER(SEARCH("MALE SURGICAL",K550)), PROPER("MALE SURG &amp; ORTHOPEDIC"),
ISNUMBER(SEARCH("MALE MEDICAL",K550)), PROPER("MALE MEDICAL"),
ISNUMBER(SEARCH("GRADE 2",K550)), PROPER("GRADE 2"),
ISNUMBER(SEARCH("FEMALE WARD",K550)), PROPER("FEMALE MEDICAL"),
TRUE, "Unmapped: " &amp; K550)</f>
        <v>Male Medical</v>
      </c>
      <c r="M550" t="s">
        <v>22</v>
      </c>
      <c r="O550" t="s">
        <v>1978</v>
      </c>
      <c r="P550" t="str">
        <f t="shared" si="69"/>
        <v>Text Error</v>
      </c>
      <c r="Q550" s="5">
        <v>46028.831030092595</v>
      </c>
      <c r="R550" t="str">
        <f t="shared" si="70"/>
        <v>Valid Date</v>
      </c>
      <c r="S550" t="s">
        <v>1979</v>
      </c>
      <c r="T550" s="5">
        <v>46031.710520833331</v>
      </c>
      <c r="U550">
        <v>2</v>
      </c>
      <c r="V550" t="str">
        <f t="shared" si="71"/>
        <v>OK</v>
      </c>
      <c r="W550" t="s">
        <v>25</v>
      </c>
      <c r="Y550" t="s">
        <v>30</v>
      </c>
    </row>
    <row r="551" spans="1:25" x14ac:dyDescent="0.25">
      <c r="A551" t="s">
        <v>1980</v>
      </c>
      <c r="B551" t="str">
        <f t="shared" si="65"/>
        <v>Prisca Daniel Maselenge</v>
      </c>
      <c r="C551">
        <v>127554</v>
      </c>
      <c r="D551" t="str">
        <f t="shared" si="64"/>
        <v>Unique</v>
      </c>
      <c r="E551" t="s">
        <v>108</v>
      </c>
      <c r="F551" s="3">
        <f t="shared" si="66"/>
        <v>2</v>
      </c>
      <c r="G551" t="s">
        <v>32</v>
      </c>
      <c r="H551" t="str">
        <f t="shared" si="67"/>
        <v>Valid</v>
      </c>
      <c r="I551" t="s">
        <v>1981</v>
      </c>
      <c r="J551" t="str">
        <f t="shared" si="68"/>
        <v>Kaliua</v>
      </c>
      <c r="K551" t="s">
        <v>763</v>
      </c>
      <c r="L551" t="str" cm="1">
        <f t="array" ref="L551">_xlfn.IFS(
ISNUMBER(SEARCH("ICU",K551)), "ICU",
ISNUMBER(SEARCH("NEONATAL",K551)), PROPER("NEONATAL"),
ISNUMBER(SEARCH("LABOUR",K551)), PROPER("LABOUR"),
ISNUMBER(SEARCH("PAEDIATRIC",K551)), PROPER("PAEDIATRIC"),
ISNUMBER(SEARCH("FEMALE SURGICAL",K551)), PROPER("FEMALE SURG, ORTHO &amp; GYN"),
ISNUMBER(SEARCH("PSYCHIATRIST",K551)), PROPER("PSYCHIATRIST"),
ISNUMBER(SEARCH("GRADE 1",K551)), PROPER("GRADE 1"),
ISNUMBER(SEARCH("MALE SURGICAL",K551)), PROPER("MALE SURG &amp; ORTHOPEDIC"),
ISNUMBER(SEARCH("MALE MEDICAL",K551)), PROPER("MALE MEDICAL"),
ISNUMBER(SEARCH("GRADE 2",K551)), PROPER("GRADE 2"),
ISNUMBER(SEARCH("FEMALE WARD",K551)), PROPER("FEMALE MEDICAL"),
TRUE, "Unmapped: " &amp; K551)</f>
        <v>ICU</v>
      </c>
      <c r="M551" t="s">
        <v>22</v>
      </c>
      <c r="O551" t="s">
        <v>1982</v>
      </c>
      <c r="P551" t="str">
        <f t="shared" si="69"/>
        <v>Text Error</v>
      </c>
      <c r="Q551" s="5">
        <v>46028.871342592596</v>
      </c>
      <c r="R551" t="str">
        <f t="shared" si="70"/>
        <v>Valid Date</v>
      </c>
      <c r="S551" t="s">
        <v>1983</v>
      </c>
      <c r="T551" s="5">
        <v>46031.795543981483</v>
      </c>
      <c r="U551">
        <v>2</v>
      </c>
      <c r="V551" t="str">
        <f t="shared" si="71"/>
        <v>OK</v>
      </c>
      <c r="W551" t="s">
        <v>211</v>
      </c>
      <c r="Y551" t="s">
        <v>1984</v>
      </c>
    </row>
    <row r="552" spans="1:25" x14ac:dyDescent="0.25">
      <c r="A552" t="s">
        <v>1985</v>
      </c>
      <c r="B552" t="str">
        <f t="shared" si="65"/>
        <v>Pascazia Bazila Kiyago</v>
      </c>
      <c r="C552">
        <v>127563</v>
      </c>
      <c r="D552" t="str">
        <f t="shared" si="64"/>
        <v>Unique</v>
      </c>
      <c r="E552" t="s">
        <v>68</v>
      </c>
      <c r="F552" s="3">
        <f t="shared" si="66"/>
        <v>32</v>
      </c>
      <c r="G552" t="s">
        <v>32</v>
      </c>
      <c r="H552" t="str">
        <f t="shared" si="67"/>
        <v>Valid</v>
      </c>
      <c r="I552" t="s">
        <v>20</v>
      </c>
      <c r="J552" t="str">
        <f t="shared" si="68"/>
        <v>Uvinza</v>
      </c>
      <c r="K552" t="s">
        <v>40</v>
      </c>
      <c r="L552" t="str" cm="1">
        <f t="array" ref="L552">_xlfn.IFS(
ISNUMBER(SEARCH("ICU",K552)), "ICU",
ISNUMBER(SEARCH("NEONATAL",K552)), PROPER("NEONATAL"),
ISNUMBER(SEARCH("LABOUR",K552)), PROPER("LABOUR"),
ISNUMBER(SEARCH("PAEDIATRIC",K552)), PROPER("PAEDIATRIC"),
ISNUMBER(SEARCH("FEMALE SURGICAL",K552)), PROPER("FEMALE SURG, ORTHO &amp; GYN"),
ISNUMBER(SEARCH("PSYCHIATRIST",K552)), PROPER("PSYCHIATRIST"),
ISNUMBER(SEARCH("GRADE 1",K552)), PROPER("GRADE 1"),
ISNUMBER(SEARCH("MALE SURGICAL",K552)), PROPER("MALE SURG &amp; ORTHOPEDIC"),
ISNUMBER(SEARCH("MALE MEDICAL",K552)), PROPER("MALE MEDICAL"),
ISNUMBER(SEARCH("GRADE 2",K552)), PROPER("GRADE 2"),
ISNUMBER(SEARCH("FEMALE WARD",K552)), PROPER("FEMALE MEDICAL"),
TRUE, "Unmapped: " &amp; K552)</f>
        <v>Labour</v>
      </c>
      <c r="M552" t="s">
        <v>22</v>
      </c>
      <c r="O552" t="s">
        <v>1986</v>
      </c>
      <c r="P552" t="str">
        <f t="shared" si="69"/>
        <v>Text Error</v>
      </c>
      <c r="Q552" s="5">
        <v>46028.959537037037</v>
      </c>
      <c r="R552" t="str">
        <f t="shared" si="70"/>
        <v>Valid Date</v>
      </c>
      <c r="S552" t="s">
        <v>1987</v>
      </c>
      <c r="T552" s="5">
        <v>46031.729131944441</v>
      </c>
      <c r="U552">
        <v>2</v>
      </c>
      <c r="V552" t="str">
        <f t="shared" si="71"/>
        <v>OK</v>
      </c>
      <c r="W552" t="s">
        <v>25</v>
      </c>
      <c r="Y552" t="s">
        <v>30</v>
      </c>
    </row>
    <row r="553" spans="1:25" x14ac:dyDescent="0.25">
      <c r="A553" t="s">
        <v>1988</v>
      </c>
      <c r="B553" t="str">
        <f t="shared" si="65"/>
        <v>Babyof Noelia Nicolausi Nicolausi</v>
      </c>
      <c r="C553">
        <v>127452</v>
      </c>
      <c r="D553" t="str">
        <f t="shared" si="64"/>
        <v>Unique</v>
      </c>
      <c r="E553" t="s">
        <v>622</v>
      </c>
      <c r="F553" s="3" t="str">
        <f t="shared" si="66"/>
        <v>2/12</v>
      </c>
      <c r="G553" t="s">
        <v>32</v>
      </c>
      <c r="H553" t="str">
        <f t="shared" si="67"/>
        <v>Valid</v>
      </c>
      <c r="I553" t="s">
        <v>130</v>
      </c>
      <c r="J553" t="str">
        <f t="shared" si="68"/>
        <v>Buhigwe</v>
      </c>
      <c r="K553" t="s">
        <v>21</v>
      </c>
      <c r="L553" t="str" cm="1">
        <f t="array" ref="L553">_xlfn.IFS(
ISNUMBER(SEARCH("ICU",K553)), "ICU",
ISNUMBER(SEARCH("NEONATAL",K553)), PROPER("NEONATAL"),
ISNUMBER(SEARCH("LABOUR",K553)), PROPER("LABOUR"),
ISNUMBER(SEARCH("PAEDIATRIC",K553)), PROPER("PAEDIATRIC"),
ISNUMBER(SEARCH("FEMALE SURGICAL",K553)), PROPER("FEMALE SURG, ORTHO &amp; GYN"),
ISNUMBER(SEARCH("PSYCHIATRIST",K553)), PROPER("PSYCHIATRIST"),
ISNUMBER(SEARCH("GRADE 1",K553)), PROPER("GRADE 1"),
ISNUMBER(SEARCH("MALE SURGICAL",K553)), PROPER("MALE SURG &amp; ORTHOPEDIC"),
ISNUMBER(SEARCH("MALE MEDICAL",K553)), PROPER("MALE MEDICAL"),
ISNUMBER(SEARCH("GRADE 2",K553)), PROPER("GRADE 2"),
ISNUMBER(SEARCH("FEMALE WARD",K553)), PROPER("FEMALE MEDICAL"),
TRUE, "Unmapped: " &amp; K553)</f>
        <v>Neonatal</v>
      </c>
      <c r="M553" t="s">
        <v>22</v>
      </c>
      <c r="O553" t="s">
        <v>1989</v>
      </c>
      <c r="P553" t="str">
        <f t="shared" si="69"/>
        <v>Text Error</v>
      </c>
      <c r="Q553" s="5">
        <v>46029.378310185188</v>
      </c>
      <c r="R553" t="str">
        <f t="shared" si="70"/>
        <v>Valid Date</v>
      </c>
      <c r="S553" t="s">
        <v>1990</v>
      </c>
      <c r="T553" s="5">
        <v>46031.673796296294</v>
      </c>
      <c r="U553">
        <v>2</v>
      </c>
      <c r="V553" t="str">
        <f t="shared" si="71"/>
        <v>OK</v>
      </c>
      <c r="W553" t="s">
        <v>25</v>
      </c>
      <c r="Y553" t="s">
        <v>30</v>
      </c>
    </row>
    <row r="554" spans="1:25" x14ac:dyDescent="0.25">
      <c r="A554" t="s">
        <v>1991</v>
      </c>
      <c r="B554" t="str">
        <f t="shared" si="65"/>
        <v>Balanyikwa Kudra Ahmad</v>
      </c>
      <c r="C554">
        <v>126187</v>
      </c>
      <c r="D554" t="str">
        <f t="shared" si="64"/>
        <v>Unique</v>
      </c>
      <c r="E554" t="s">
        <v>1992</v>
      </c>
      <c r="F554" s="3">
        <f t="shared" si="66"/>
        <v>13</v>
      </c>
      <c r="G554" t="s">
        <v>19</v>
      </c>
      <c r="H554" t="str">
        <f t="shared" si="67"/>
        <v>Valid</v>
      </c>
      <c r="I554" t="s">
        <v>33</v>
      </c>
      <c r="J554" t="str">
        <f t="shared" si="68"/>
        <v>Kigoma Ujiji Mc</v>
      </c>
      <c r="K554" t="s">
        <v>685</v>
      </c>
      <c r="L554" t="str" cm="1">
        <f t="array" ref="L554">_xlfn.IFS(
ISNUMBER(SEARCH("ICU",K554)), "ICU",
ISNUMBER(SEARCH("NEONATAL",K554)), PROPER("NEONATAL"),
ISNUMBER(SEARCH("LABOUR",K554)), PROPER("LABOUR"),
ISNUMBER(SEARCH("PAEDIATRIC",K554)), PROPER("PAEDIATRIC"),
ISNUMBER(SEARCH("FEMALE SURGICAL",K554)), PROPER("FEMALE SURG, ORTHO &amp; GYN"),
ISNUMBER(SEARCH("PSYCHIATRIST",K554)), PROPER("PSYCHIATRIST"),
ISNUMBER(SEARCH("GRADE 1",K554)), PROPER("GRADE 1"),
ISNUMBER(SEARCH("MALE SURGICAL",K554)), PROPER("MALE SURG &amp; ORTHOPEDIC"),
ISNUMBER(SEARCH("MALE MEDICAL",K554)), PROPER("MALE MEDICAL"),
ISNUMBER(SEARCH("GRADE 2",K554)), PROPER("GRADE 2"),
ISNUMBER(SEARCH("FEMALE WARD",K554)), PROPER("FEMALE MEDICAL"),
TRUE, "Unmapped: " &amp; K554)</f>
        <v>Grade 2</v>
      </c>
      <c r="M554" t="s">
        <v>22</v>
      </c>
      <c r="O554" t="s">
        <v>1993</v>
      </c>
      <c r="P554" t="str">
        <f t="shared" si="69"/>
        <v>Text Error</v>
      </c>
      <c r="Q554" s="5">
        <v>46029.613680555558</v>
      </c>
      <c r="R554" t="str">
        <f t="shared" si="70"/>
        <v>Valid Date</v>
      </c>
      <c r="S554" t="s">
        <v>1994</v>
      </c>
      <c r="T554" s="5">
        <v>46031.678136574075</v>
      </c>
      <c r="U554">
        <v>2</v>
      </c>
      <c r="V554" t="str">
        <f t="shared" si="71"/>
        <v>OK</v>
      </c>
      <c r="W554" t="s">
        <v>25</v>
      </c>
      <c r="Y554" t="s">
        <v>30</v>
      </c>
    </row>
    <row r="555" spans="1:25" x14ac:dyDescent="0.25">
      <c r="A555" t="s">
        <v>1995</v>
      </c>
      <c r="B555" t="str">
        <f t="shared" si="65"/>
        <v>Zena Abdallah Kikoko</v>
      </c>
      <c r="C555">
        <v>127626</v>
      </c>
      <c r="D555" t="str">
        <f t="shared" si="64"/>
        <v>Unique</v>
      </c>
      <c r="E555" t="s">
        <v>441</v>
      </c>
      <c r="F555" s="3">
        <f t="shared" si="66"/>
        <v>60</v>
      </c>
      <c r="G555" t="s">
        <v>32</v>
      </c>
      <c r="H555" t="str">
        <f t="shared" si="67"/>
        <v>Valid</v>
      </c>
      <c r="I555" t="s">
        <v>33</v>
      </c>
      <c r="J555" t="str">
        <f t="shared" si="68"/>
        <v>Kigoma Ujiji Mc</v>
      </c>
      <c r="K555" t="s">
        <v>700</v>
      </c>
      <c r="L555" t="str" cm="1">
        <f t="array" ref="L555">_xlfn.IFS(
ISNUMBER(SEARCH("ICU",K555)), "ICU",
ISNUMBER(SEARCH("NEONATAL",K555)), PROPER("NEONATAL"),
ISNUMBER(SEARCH("LABOUR",K555)), PROPER("LABOUR"),
ISNUMBER(SEARCH("PAEDIATRIC",K555)), PROPER("PAEDIATRIC"),
ISNUMBER(SEARCH("FEMALE SURGICAL",K555)), PROPER("FEMALE SURG, ORTHO &amp; GYN"),
ISNUMBER(SEARCH("PSYCHIATRIST",K555)), PROPER("PSYCHIATRIST"),
ISNUMBER(SEARCH("GRADE 1",K555)), PROPER("GRADE 1"),
ISNUMBER(SEARCH("MALE SURGICAL",K555)), PROPER("MALE SURG &amp; ORTHOPEDIC"),
ISNUMBER(SEARCH("MALE MEDICAL",K555)), PROPER("MALE MEDICAL"),
ISNUMBER(SEARCH("GRADE 2",K555)), PROPER("GRADE 2"),
ISNUMBER(SEARCH("FEMALE WARD",K555)), PROPER("FEMALE MEDICAL"),
TRUE, "Unmapped: " &amp; K555)</f>
        <v>Female Medical</v>
      </c>
      <c r="M555" t="s">
        <v>22</v>
      </c>
      <c r="O555" t="s">
        <v>1996</v>
      </c>
      <c r="P555" t="str">
        <f t="shared" si="69"/>
        <v>Text Error</v>
      </c>
      <c r="Q555" s="5">
        <v>46029.771956018521</v>
      </c>
      <c r="R555" t="str">
        <f t="shared" si="70"/>
        <v>Valid Date</v>
      </c>
      <c r="S555" t="s">
        <v>1997</v>
      </c>
      <c r="T555" s="5">
        <v>46032.486817129633</v>
      </c>
      <c r="U555">
        <v>2</v>
      </c>
      <c r="V555" t="str">
        <f t="shared" si="71"/>
        <v>OK</v>
      </c>
      <c r="W555" t="s">
        <v>25</v>
      </c>
      <c r="Y555" t="s">
        <v>30</v>
      </c>
    </row>
    <row r="556" spans="1:25" x14ac:dyDescent="0.25">
      <c r="A556" t="s">
        <v>1998</v>
      </c>
      <c r="B556" t="str">
        <f t="shared" si="65"/>
        <v>Siwema Madua Ally</v>
      </c>
      <c r="C556">
        <v>127706</v>
      </c>
      <c r="D556" t="str">
        <f t="shared" si="64"/>
        <v>Duplicate</v>
      </c>
      <c r="E556" t="s">
        <v>74</v>
      </c>
      <c r="F556" s="3">
        <f t="shared" si="66"/>
        <v>35</v>
      </c>
      <c r="G556" t="s">
        <v>32</v>
      </c>
      <c r="H556" t="str">
        <f t="shared" si="67"/>
        <v>Valid</v>
      </c>
      <c r="I556" t="s">
        <v>33</v>
      </c>
      <c r="J556" t="str">
        <f t="shared" si="68"/>
        <v>Kigoma Ujiji Mc</v>
      </c>
      <c r="K556" t="s">
        <v>123</v>
      </c>
      <c r="L556" t="str" cm="1">
        <f t="array" ref="L556">_xlfn.IFS(
ISNUMBER(SEARCH("ICU",K556)), "ICU",
ISNUMBER(SEARCH("NEONATAL",K556)), PROPER("NEONATAL"),
ISNUMBER(SEARCH("LABOUR",K556)), PROPER("LABOUR"),
ISNUMBER(SEARCH("PAEDIATRIC",K556)), PROPER("PAEDIATRIC"),
ISNUMBER(SEARCH("FEMALE SURGICAL",K556)), PROPER("FEMALE SURG, ORTHO &amp; GYN"),
ISNUMBER(SEARCH("PSYCHIATRIST",K556)), PROPER("PSYCHIATRIST"),
ISNUMBER(SEARCH("GRADE 1",K556)), PROPER("GRADE 1"),
ISNUMBER(SEARCH("MALE SURGICAL",K556)), PROPER("MALE SURG &amp; ORTHOPEDIC"),
ISNUMBER(SEARCH("MALE MEDICAL",K556)), PROPER("MALE MEDICAL"),
ISNUMBER(SEARCH("GRADE 2",K556)), PROPER("GRADE 2"),
ISNUMBER(SEARCH("FEMALE WARD",K556)), PROPER("FEMALE MEDICAL"),
TRUE, "Unmapped: " &amp; K556)</f>
        <v>Female Surg, Ortho &amp; Gyn</v>
      </c>
      <c r="M556" t="s">
        <v>22</v>
      </c>
      <c r="O556" t="s">
        <v>1999</v>
      </c>
      <c r="P556" t="str">
        <f t="shared" si="69"/>
        <v>Text Error</v>
      </c>
      <c r="Q556" s="5">
        <v>46030.160763888889</v>
      </c>
      <c r="R556" t="str">
        <f t="shared" si="70"/>
        <v>Valid Date</v>
      </c>
      <c r="S556" t="s">
        <v>2000</v>
      </c>
      <c r="T556" s="5">
        <v>46032.693437499998</v>
      </c>
      <c r="U556">
        <v>2</v>
      </c>
      <c r="V556" t="str">
        <f t="shared" si="71"/>
        <v>OK</v>
      </c>
      <c r="W556" t="s">
        <v>25</v>
      </c>
      <c r="Y556" t="s">
        <v>30</v>
      </c>
    </row>
    <row r="557" spans="1:25" x14ac:dyDescent="0.25">
      <c r="A557" t="s">
        <v>2001</v>
      </c>
      <c r="B557" t="str">
        <f t="shared" si="65"/>
        <v>Janson Lukas Mpamba</v>
      </c>
      <c r="C557">
        <v>127794</v>
      </c>
      <c r="D557" t="str">
        <f t="shared" si="64"/>
        <v>Unique</v>
      </c>
      <c r="E557" t="s">
        <v>630</v>
      </c>
      <c r="F557" s="3">
        <f t="shared" si="66"/>
        <v>41</v>
      </c>
      <c r="G557" t="s">
        <v>19</v>
      </c>
      <c r="H557" t="str">
        <f t="shared" si="67"/>
        <v>Valid</v>
      </c>
      <c r="I557" t="s">
        <v>62</v>
      </c>
      <c r="J557" t="str">
        <f t="shared" si="68"/>
        <v>Kigoma Vijijini</v>
      </c>
      <c r="K557" t="s">
        <v>484</v>
      </c>
      <c r="L557" t="str" cm="1">
        <f t="array" ref="L557">_xlfn.IFS(
ISNUMBER(SEARCH("ICU",K557)), "ICU",
ISNUMBER(SEARCH("NEONATAL",K557)), PROPER("NEONATAL"),
ISNUMBER(SEARCH("LABOUR",K557)), PROPER("LABOUR"),
ISNUMBER(SEARCH("PAEDIATRIC",K557)), PROPER("PAEDIATRIC"),
ISNUMBER(SEARCH("FEMALE SURGICAL",K557)), PROPER("FEMALE SURG, ORTHO &amp; GYN"),
ISNUMBER(SEARCH("PSYCHIATRIST",K557)), PROPER("PSYCHIATRIST"),
ISNUMBER(SEARCH("GRADE 1",K557)), PROPER("GRADE 1"),
ISNUMBER(SEARCH("MALE SURGICAL",K557)), PROPER("MALE SURG &amp; ORTHOPEDIC"),
ISNUMBER(SEARCH("MALE MEDICAL",K557)), PROPER("MALE MEDICAL"),
ISNUMBER(SEARCH("GRADE 2",K557)), PROPER("GRADE 2"),
ISNUMBER(SEARCH("FEMALE WARD",K557)), PROPER("FEMALE MEDICAL"),
TRUE, "Unmapped: " &amp; K557)</f>
        <v>Male Medical</v>
      </c>
      <c r="M557" t="s">
        <v>22</v>
      </c>
      <c r="O557" t="s">
        <v>2002</v>
      </c>
      <c r="P557" t="str">
        <f t="shared" si="69"/>
        <v>Text Error</v>
      </c>
      <c r="Q557" s="5">
        <v>46030.803715277776</v>
      </c>
      <c r="R557" t="str">
        <f t="shared" si="70"/>
        <v>Valid Date</v>
      </c>
      <c r="S557" t="s">
        <v>2003</v>
      </c>
      <c r="T557" s="5">
        <v>46033.589872685188</v>
      </c>
      <c r="U557">
        <v>2</v>
      </c>
      <c r="V557" t="str">
        <f t="shared" si="71"/>
        <v>OK</v>
      </c>
      <c r="W557" t="s">
        <v>112</v>
      </c>
      <c r="Y557" t="s">
        <v>30</v>
      </c>
    </row>
    <row r="558" spans="1:25" x14ac:dyDescent="0.25">
      <c r="A558" t="s">
        <v>2004</v>
      </c>
      <c r="B558" t="str">
        <f t="shared" si="65"/>
        <v>Babyof Leuwina Didas Daniford</v>
      </c>
      <c r="C558">
        <v>127809</v>
      </c>
      <c r="D558" t="str">
        <f t="shared" si="64"/>
        <v>Unique</v>
      </c>
      <c r="E558" t="s">
        <v>622</v>
      </c>
      <c r="F558" s="3" t="str">
        <f t="shared" si="66"/>
        <v>2/12</v>
      </c>
      <c r="G558" t="s">
        <v>32</v>
      </c>
      <c r="H558" t="str">
        <f t="shared" si="67"/>
        <v>Valid</v>
      </c>
      <c r="I558" t="s">
        <v>260</v>
      </c>
      <c r="J558" t="str">
        <f t="shared" si="68"/>
        <v>Kasulu</v>
      </c>
      <c r="K558" t="s">
        <v>21</v>
      </c>
      <c r="L558" t="str" cm="1">
        <f t="array" ref="L558">_xlfn.IFS(
ISNUMBER(SEARCH("ICU",K558)), "ICU",
ISNUMBER(SEARCH("NEONATAL",K558)), PROPER("NEONATAL"),
ISNUMBER(SEARCH("LABOUR",K558)), PROPER("LABOUR"),
ISNUMBER(SEARCH("PAEDIATRIC",K558)), PROPER("PAEDIATRIC"),
ISNUMBER(SEARCH("FEMALE SURGICAL",K558)), PROPER("FEMALE SURG, ORTHO &amp; GYN"),
ISNUMBER(SEARCH("PSYCHIATRIST",K558)), PROPER("PSYCHIATRIST"),
ISNUMBER(SEARCH("GRADE 1",K558)), PROPER("GRADE 1"),
ISNUMBER(SEARCH("MALE SURGICAL",K558)), PROPER("MALE SURG &amp; ORTHOPEDIC"),
ISNUMBER(SEARCH("MALE MEDICAL",K558)), PROPER("MALE MEDICAL"),
ISNUMBER(SEARCH("GRADE 2",K558)), PROPER("GRADE 2"),
ISNUMBER(SEARCH("FEMALE WARD",K558)), PROPER("FEMALE MEDICAL"),
TRUE, "Unmapped: " &amp; K558)</f>
        <v>Neonatal</v>
      </c>
      <c r="M558" t="s">
        <v>22</v>
      </c>
      <c r="O558" t="s">
        <v>2005</v>
      </c>
      <c r="P558" t="str">
        <f t="shared" si="69"/>
        <v>Text Error</v>
      </c>
      <c r="Q558" s="5">
        <v>46031.00341435185</v>
      </c>
      <c r="R558" t="str">
        <f t="shared" si="70"/>
        <v>Valid Date</v>
      </c>
      <c r="S558" t="s">
        <v>2006</v>
      </c>
      <c r="T558" s="5">
        <v>46033.598020833335</v>
      </c>
      <c r="U558">
        <v>2</v>
      </c>
      <c r="V558" t="str">
        <f t="shared" si="71"/>
        <v>OK</v>
      </c>
      <c r="W558" t="s">
        <v>25</v>
      </c>
      <c r="Y558" t="s">
        <v>30</v>
      </c>
    </row>
    <row r="559" spans="1:25" x14ac:dyDescent="0.25">
      <c r="A559" t="s">
        <v>2007</v>
      </c>
      <c r="B559" t="str">
        <f t="shared" si="65"/>
        <v>Mariam Mrisho Nyunguye</v>
      </c>
      <c r="C559">
        <v>97215</v>
      </c>
      <c r="D559" t="str">
        <f t="shared" si="64"/>
        <v>Unique</v>
      </c>
      <c r="E559" t="s">
        <v>718</v>
      </c>
      <c r="F559" s="3">
        <f t="shared" si="66"/>
        <v>64</v>
      </c>
      <c r="G559" t="s">
        <v>32</v>
      </c>
      <c r="H559" t="str">
        <f t="shared" si="67"/>
        <v>Valid</v>
      </c>
      <c r="I559" t="s">
        <v>130</v>
      </c>
      <c r="J559" t="str">
        <f t="shared" si="68"/>
        <v>Buhigwe</v>
      </c>
      <c r="K559" t="s">
        <v>700</v>
      </c>
      <c r="L559" t="str" cm="1">
        <f t="array" ref="L559">_xlfn.IFS(
ISNUMBER(SEARCH("ICU",K559)), "ICU",
ISNUMBER(SEARCH("NEONATAL",K559)), PROPER("NEONATAL"),
ISNUMBER(SEARCH("LABOUR",K559)), PROPER("LABOUR"),
ISNUMBER(SEARCH("PAEDIATRIC",K559)), PROPER("PAEDIATRIC"),
ISNUMBER(SEARCH("FEMALE SURGICAL",K559)), PROPER("FEMALE SURG, ORTHO &amp; GYN"),
ISNUMBER(SEARCH("PSYCHIATRIST",K559)), PROPER("PSYCHIATRIST"),
ISNUMBER(SEARCH("GRADE 1",K559)), PROPER("GRADE 1"),
ISNUMBER(SEARCH("MALE SURGICAL",K559)), PROPER("MALE SURG &amp; ORTHOPEDIC"),
ISNUMBER(SEARCH("MALE MEDICAL",K559)), PROPER("MALE MEDICAL"),
ISNUMBER(SEARCH("GRADE 2",K559)), PROPER("GRADE 2"),
ISNUMBER(SEARCH("FEMALE WARD",K559)), PROPER("FEMALE MEDICAL"),
TRUE, "Unmapped: " &amp; K559)</f>
        <v>Female Medical</v>
      </c>
      <c r="M559" t="s">
        <v>22</v>
      </c>
      <c r="O559" t="s">
        <v>2008</v>
      </c>
      <c r="P559" t="str">
        <f t="shared" si="69"/>
        <v>Text Error</v>
      </c>
      <c r="Q559" s="5">
        <v>46031.088194444441</v>
      </c>
      <c r="R559" t="str">
        <f t="shared" si="70"/>
        <v>Valid Date</v>
      </c>
      <c r="S559" t="s">
        <v>2009</v>
      </c>
      <c r="T559" s="5">
        <v>46033.658715277779</v>
      </c>
      <c r="U559">
        <v>2</v>
      </c>
      <c r="V559" t="str">
        <f t="shared" si="71"/>
        <v>OK</v>
      </c>
      <c r="W559" t="s">
        <v>25</v>
      </c>
      <c r="Y559" t="s">
        <v>30</v>
      </c>
    </row>
    <row r="560" spans="1:25" x14ac:dyDescent="0.25">
      <c r="A560" t="s">
        <v>2010</v>
      </c>
      <c r="B560" t="str">
        <f t="shared" si="65"/>
        <v>Kwimba Musa Maguja</v>
      </c>
      <c r="C560">
        <v>127808</v>
      </c>
      <c r="D560" t="str">
        <f t="shared" si="64"/>
        <v>Unique</v>
      </c>
      <c r="E560" t="s">
        <v>361</v>
      </c>
      <c r="F560" s="3">
        <f t="shared" si="66"/>
        <v>27</v>
      </c>
      <c r="G560" t="s">
        <v>32</v>
      </c>
      <c r="H560" t="str">
        <f t="shared" si="67"/>
        <v>Valid</v>
      </c>
      <c r="I560" t="s">
        <v>20</v>
      </c>
      <c r="J560" t="str">
        <f t="shared" si="68"/>
        <v>Uvinza</v>
      </c>
      <c r="K560" t="s">
        <v>40</v>
      </c>
      <c r="L560" t="str" cm="1">
        <f t="array" ref="L560">_xlfn.IFS(
ISNUMBER(SEARCH("ICU",K560)), "ICU",
ISNUMBER(SEARCH("NEONATAL",K560)), PROPER("NEONATAL"),
ISNUMBER(SEARCH("LABOUR",K560)), PROPER("LABOUR"),
ISNUMBER(SEARCH("PAEDIATRIC",K560)), PROPER("PAEDIATRIC"),
ISNUMBER(SEARCH("FEMALE SURGICAL",K560)), PROPER("FEMALE SURG, ORTHO &amp; GYN"),
ISNUMBER(SEARCH("PSYCHIATRIST",K560)), PROPER("PSYCHIATRIST"),
ISNUMBER(SEARCH("GRADE 1",K560)), PROPER("GRADE 1"),
ISNUMBER(SEARCH("MALE SURGICAL",K560)), PROPER("MALE SURG &amp; ORTHOPEDIC"),
ISNUMBER(SEARCH("MALE MEDICAL",K560)), PROPER("MALE MEDICAL"),
ISNUMBER(SEARCH("GRADE 2",K560)), PROPER("GRADE 2"),
ISNUMBER(SEARCH("FEMALE WARD",K560)), PROPER("FEMALE MEDICAL"),
TRUE, "Unmapped: " &amp; K560)</f>
        <v>Labour</v>
      </c>
      <c r="M560" t="s">
        <v>22</v>
      </c>
      <c r="O560" t="s">
        <v>2011</v>
      </c>
      <c r="P560" t="str">
        <f t="shared" si="69"/>
        <v>Text Error</v>
      </c>
      <c r="Q560" s="5">
        <v>46031.102511574078</v>
      </c>
      <c r="R560" t="str">
        <f t="shared" si="70"/>
        <v>Valid Date</v>
      </c>
      <c r="S560" t="s">
        <v>2012</v>
      </c>
      <c r="T560" s="5">
        <v>46033.747372685182</v>
      </c>
      <c r="U560">
        <v>2</v>
      </c>
      <c r="V560" t="str">
        <f t="shared" si="71"/>
        <v>OK</v>
      </c>
      <c r="W560" t="s">
        <v>25</v>
      </c>
      <c r="Y560" t="s">
        <v>30</v>
      </c>
    </row>
    <row r="561" spans="1:25" x14ac:dyDescent="0.25">
      <c r="A561" t="s">
        <v>2013</v>
      </c>
      <c r="B561" t="str">
        <f t="shared" si="65"/>
        <v>Mariam Edson Tija</v>
      </c>
      <c r="C561">
        <v>127815</v>
      </c>
      <c r="D561" t="str">
        <f t="shared" si="64"/>
        <v>Unique</v>
      </c>
      <c r="E561" t="s">
        <v>296</v>
      </c>
      <c r="F561" s="3">
        <f t="shared" si="66"/>
        <v>26</v>
      </c>
      <c r="G561" t="s">
        <v>32</v>
      </c>
      <c r="H561" t="str">
        <f t="shared" si="67"/>
        <v>Valid</v>
      </c>
      <c r="I561" t="s">
        <v>62</v>
      </c>
      <c r="J561" t="str">
        <f t="shared" si="68"/>
        <v>Kigoma Vijijini</v>
      </c>
      <c r="K561" t="s">
        <v>40</v>
      </c>
      <c r="L561" t="str" cm="1">
        <f t="array" ref="L561">_xlfn.IFS(
ISNUMBER(SEARCH("ICU",K561)), "ICU",
ISNUMBER(SEARCH("NEONATAL",K561)), PROPER("NEONATAL"),
ISNUMBER(SEARCH("LABOUR",K561)), PROPER("LABOUR"),
ISNUMBER(SEARCH("PAEDIATRIC",K561)), PROPER("PAEDIATRIC"),
ISNUMBER(SEARCH("FEMALE SURGICAL",K561)), PROPER("FEMALE SURG, ORTHO &amp; GYN"),
ISNUMBER(SEARCH("PSYCHIATRIST",K561)), PROPER("PSYCHIATRIST"),
ISNUMBER(SEARCH("GRADE 1",K561)), PROPER("GRADE 1"),
ISNUMBER(SEARCH("MALE SURGICAL",K561)), PROPER("MALE SURG &amp; ORTHOPEDIC"),
ISNUMBER(SEARCH("MALE MEDICAL",K561)), PROPER("MALE MEDICAL"),
ISNUMBER(SEARCH("GRADE 2",K561)), PROPER("GRADE 2"),
ISNUMBER(SEARCH("FEMALE WARD",K561)), PROPER("FEMALE MEDICAL"),
TRUE, "Unmapped: " &amp; K561)</f>
        <v>Labour</v>
      </c>
      <c r="M561" t="s">
        <v>22</v>
      </c>
      <c r="O561" t="s">
        <v>2014</v>
      </c>
      <c r="P561" t="str">
        <f t="shared" si="69"/>
        <v>Text Error</v>
      </c>
      <c r="Q561" s="5">
        <v>46031.35119212963</v>
      </c>
      <c r="R561" t="str">
        <f t="shared" si="70"/>
        <v>Valid Date</v>
      </c>
      <c r="S561" t="s">
        <v>2015</v>
      </c>
      <c r="T561" s="5">
        <v>46033.672673611109</v>
      </c>
      <c r="U561">
        <v>2</v>
      </c>
      <c r="V561" t="str">
        <f t="shared" si="71"/>
        <v>OK</v>
      </c>
      <c r="W561" t="s">
        <v>25</v>
      </c>
      <c r="Y561" t="s">
        <v>30</v>
      </c>
    </row>
    <row r="562" spans="1:25" x14ac:dyDescent="0.25">
      <c r="A562" t="s">
        <v>2016</v>
      </c>
      <c r="B562" t="str">
        <f t="shared" si="65"/>
        <v>Joyce Zakayo Feliaza</v>
      </c>
      <c r="C562">
        <v>80430</v>
      </c>
      <c r="D562" t="str">
        <f t="shared" si="64"/>
        <v>Unique</v>
      </c>
      <c r="E562" t="s">
        <v>315</v>
      </c>
      <c r="F562" s="3">
        <f t="shared" si="66"/>
        <v>31</v>
      </c>
      <c r="G562" t="s">
        <v>32</v>
      </c>
      <c r="H562" t="str">
        <f t="shared" si="67"/>
        <v>Valid</v>
      </c>
      <c r="I562" t="s">
        <v>33</v>
      </c>
      <c r="J562" t="str">
        <f t="shared" si="68"/>
        <v>Kigoma Ujiji Mc</v>
      </c>
      <c r="K562" t="s">
        <v>40</v>
      </c>
      <c r="L562" t="str" cm="1">
        <f t="array" ref="L562">_xlfn.IFS(
ISNUMBER(SEARCH("ICU",K562)), "ICU",
ISNUMBER(SEARCH("NEONATAL",K562)), PROPER("NEONATAL"),
ISNUMBER(SEARCH("LABOUR",K562)), PROPER("LABOUR"),
ISNUMBER(SEARCH("PAEDIATRIC",K562)), PROPER("PAEDIATRIC"),
ISNUMBER(SEARCH("FEMALE SURGICAL",K562)), PROPER("FEMALE SURG, ORTHO &amp; GYN"),
ISNUMBER(SEARCH("PSYCHIATRIST",K562)), PROPER("PSYCHIATRIST"),
ISNUMBER(SEARCH("GRADE 1",K562)), PROPER("GRADE 1"),
ISNUMBER(SEARCH("MALE SURGICAL",K562)), PROPER("MALE SURG &amp; ORTHOPEDIC"),
ISNUMBER(SEARCH("MALE MEDICAL",K562)), PROPER("MALE MEDICAL"),
ISNUMBER(SEARCH("GRADE 2",K562)), PROPER("GRADE 2"),
ISNUMBER(SEARCH("FEMALE WARD",K562)), PROPER("FEMALE MEDICAL"),
TRUE, "Unmapped: " &amp; K562)</f>
        <v>Labour</v>
      </c>
      <c r="M562" t="s">
        <v>22</v>
      </c>
      <c r="O562" t="s">
        <v>2017</v>
      </c>
      <c r="P562" t="str">
        <f t="shared" si="69"/>
        <v>Text Error</v>
      </c>
      <c r="Q562" s="5">
        <v>46031.454594907409</v>
      </c>
      <c r="R562" t="str">
        <f t="shared" si="70"/>
        <v>Valid Date</v>
      </c>
      <c r="S562" t="s">
        <v>2018</v>
      </c>
      <c r="T562" s="5">
        <v>46033.54246527778</v>
      </c>
      <c r="U562">
        <v>2</v>
      </c>
      <c r="V562" t="str">
        <f t="shared" si="71"/>
        <v>OK</v>
      </c>
      <c r="W562" t="s">
        <v>25</v>
      </c>
      <c r="Y562" t="s">
        <v>30</v>
      </c>
    </row>
    <row r="563" spans="1:25" x14ac:dyDescent="0.25">
      <c r="A563" t="s">
        <v>2019</v>
      </c>
      <c r="B563" t="str">
        <f t="shared" si="65"/>
        <v>Baby Of Kabisu Amani Shabani</v>
      </c>
      <c r="C563">
        <v>127863</v>
      </c>
      <c r="D563" t="str">
        <f t="shared" si="64"/>
        <v>Unique</v>
      </c>
      <c r="E563" t="s">
        <v>622</v>
      </c>
      <c r="F563" s="3" t="str">
        <f t="shared" si="66"/>
        <v>2/12</v>
      </c>
      <c r="G563" t="s">
        <v>32</v>
      </c>
      <c r="H563" t="str">
        <f t="shared" si="67"/>
        <v>Valid</v>
      </c>
      <c r="I563" t="s">
        <v>33</v>
      </c>
      <c r="J563" t="str">
        <f t="shared" si="68"/>
        <v>Kigoma Ujiji Mc</v>
      </c>
      <c r="K563" t="s">
        <v>21</v>
      </c>
      <c r="L563" t="str" cm="1">
        <f t="array" ref="L563">_xlfn.IFS(
ISNUMBER(SEARCH("ICU",K563)), "ICU",
ISNUMBER(SEARCH("NEONATAL",K563)), PROPER("NEONATAL"),
ISNUMBER(SEARCH("LABOUR",K563)), PROPER("LABOUR"),
ISNUMBER(SEARCH("PAEDIATRIC",K563)), PROPER("PAEDIATRIC"),
ISNUMBER(SEARCH("FEMALE SURGICAL",K563)), PROPER("FEMALE SURG, ORTHO &amp; GYN"),
ISNUMBER(SEARCH("PSYCHIATRIST",K563)), PROPER("PSYCHIATRIST"),
ISNUMBER(SEARCH("GRADE 1",K563)), PROPER("GRADE 1"),
ISNUMBER(SEARCH("MALE SURGICAL",K563)), PROPER("MALE SURG &amp; ORTHOPEDIC"),
ISNUMBER(SEARCH("MALE MEDICAL",K563)), PROPER("MALE MEDICAL"),
ISNUMBER(SEARCH("GRADE 2",K563)), PROPER("GRADE 2"),
ISNUMBER(SEARCH("FEMALE WARD",K563)), PROPER("FEMALE MEDICAL"),
TRUE, "Unmapped: " &amp; K563)</f>
        <v>Neonatal</v>
      </c>
      <c r="M563" t="s">
        <v>22</v>
      </c>
      <c r="O563" t="s">
        <v>2020</v>
      </c>
      <c r="P563" t="str">
        <f t="shared" si="69"/>
        <v>Text Error</v>
      </c>
      <c r="Q563" s="5">
        <v>46031.601851851854</v>
      </c>
      <c r="R563" t="str">
        <f t="shared" si="70"/>
        <v>Valid Date</v>
      </c>
      <c r="S563" t="s">
        <v>2021</v>
      </c>
      <c r="T563" s="5">
        <v>46033.739120370374</v>
      </c>
      <c r="U563">
        <v>2</v>
      </c>
      <c r="V563" t="str">
        <f t="shared" si="71"/>
        <v>OK</v>
      </c>
      <c r="W563" t="s">
        <v>25</v>
      </c>
      <c r="Y563" t="s">
        <v>30</v>
      </c>
    </row>
    <row r="564" spans="1:25" x14ac:dyDescent="0.25">
      <c r="A564" t="s">
        <v>2022</v>
      </c>
      <c r="B564" t="str">
        <f t="shared" si="65"/>
        <v>Ashura Chaku Mohamed</v>
      </c>
      <c r="C564">
        <v>127919</v>
      </c>
      <c r="D564" t="str">
        <f t="shared" si="64"/>
        <v>Unique</v>
      </c>
      <c r="E564" t="s">
        <v>884</v>
      </c>
      <c r="F564" s="3">
        <f t="shared" si="66"/>
        <v>70</v>
      </c>
      <c r="G564" t="s">
        <v>32</v>
      </c>
      <c r="H564" t="str">
        <f t="shared" si="67"/>
        <v>Valid</v>
      </c>
      <c r="I564" t="s">
        <v>62</v>
      </c>
      <c r="J564" t="str">
        <f t="shared" si="68"/>
        <v>Kigoma Vijijini</v>
      </c>
      <c r="K564" t="s">
        <v>700</v>
      </c>
      <c r="L564" t="str" cm="1">
        <f t="array" ref="L564">_xlfn.IFS(
ISNUMBER(SEARCH("ICU",K564)), "ICU",
ISNUMBER(SEARCH("NEONATAL",K564)), PROPER("NEONATAL"),
ISNUMBER(SEARCH("LABOUR",K564)), PROPER("LABOUR"),
ISNUMBER(SEARCH("PAEDIATRIC",K564)), PROPER("PAEDIATRIC"),
ISNUMBER(SEARCH("FEMALE SURGICAL",K564)), PROPER("FEMALE SURG, ORTHO &amp; GYN"),
ISNUMBER(SEARCH("PSYCHIATRIST",K564)), PROPER("PSYCHIATRIST"),
ISNUMBER(SEARCH("GRADE 1",K564)), PROPER("GRADE 1"),
ISNUMBER(SEARCH("MALE SURGICAL",K564)), PROPER("MALE SURG &amp; ORTHOPEDIC"),
ISNUMBER(SEARCH("MALE MEDICAL",K564)), PROPER("MALE MEDICAL"),
ISNUMBER(SEARCH("GRADE 2",K564)), PROPER("GRADE 2"),
ISNUMBER(SEARCH("FEMALE WARD",K564)), PROPER("FEMALE MEDICAL"),
TRUE, "Unmapped: " &amp; K564)</f>
        <v>Female Medical</v>
      </c>
      <c r="M564" t="s">
        <v>22</v>
      </c>
      <c r="O564" t="s">
        <v>2023</v>
      </c>
      <c r="P564" t="str">
        <f t="shared" si="69"/>
        <v>Text Error</v>
      </c>
      <c r="Q564" s="5">
        <v>46031.648310185185</v>
      </c>
      <c r="R564" t="str">
        <f t="shared" si="70"/>
        <v>Valid Date</v>
      </c>
      <c r="S564" t="s">
        <v>2024</v>
      </c>
      <c r="T564" s="5">
        <v>46034.563287037039</v>
      </c>
      <c r="U564">
        <v>2</v>
      </c>
      <c r="V564" t="str">
        <f t="shared" si="71"/>
        <v>OK</v>
      </c>
      <c r="W564" t="s">
        <v>25</v>
      </c>
      <c r="Y564" t="s">
        <v>30</v>
      </c>
    </row>
    <row r="565" spans="1:25" x14ac:dyDescent="0.25">
      <c r="A565" t="s">
        <v>2025</v>
      </c>
      <c r="B565" t="str">
        <f t="shared" si="65"/>
        <v>Ivan Kesibe Mwalongo</v>
      </c>
      <c r="C565">
        <v>35771</v>
      </c>
      <c r="D565" t="str">
        <f t="shared" si="64"/>
        <v>Unique</v>
      </c>
      <c r="E565" t="s">
        <v>175</v>
      </c>
      <c r="F565" s="3">
        <f t="shared" si="66"/>
        <v>8</v>
      </c>
      <c r="G565" t="s">
        <v>19</v>
      </c>
      <c r="H565" t="str">
        <f t="shared" si="67"/>
        <v>Valid</v>
      </c>
      <c r="I565" t="s">
        <v>62</v>
      </c>
      <c r="J565" t="str">
        <f t="shared" si="68"/>
        <v>Kigoma Vijijini</v>
      </c>
      <c r="K565" t="s">
        <v>393</v>
      </c>
      <c r="L565" t="str" cm="1">
        <f t="array" ref="L565">_xlfn.IFS(
ISNUMBER(SEARCH("ICU",K565)), "ICU",
ISNUMBER(SEARCH("NEONATAL",K565)), PROPER("NEONATAL"),
ISNUMBER(SEARCH("LABOUR",K565)), PROPER("LABOUR"),
ISNUMBER(SEARCH("PAEDIATRIC",K565)), PROPER("PAEDIATRIC"),
ISNUMBER(SEARCH("FEMALE SURGICAL",K565)), PROPER("FEMALE SURG, ORTHO &amp; GYN"),
ISNUMBER(SEARCH("PSYCHIATRIST",K565)), PROPER("PSYCHIATRIST"),
ISNUMBER(SEARCH("GRADE 1",K565)), PROPER("GRADE 1"),
ISNUMBER(SEARCH("MALE SURGICAL",K565)), PROPER("MALE SURG &amp; ORTHOPEDIC"),
ISNUMBER(SEARCH("MALE MEDICAL",K565)), PROPER("MALE MEDICAL"),
ISNUMBER(SEARCH("GRADE 2",K565)), PROPER("GRADE 2"),
ISNUMBER(SEARCH("FEMALE WARD",K565)), PROPER("FEMALE MEDICAL"),
TRUE, "Unmapped: " &amp; K565)</f>
        <v>Grade 1</v>
      </c>
      <c r="M565" t="s">
        <v>701</v>
      </c>
      <c r="O565" t="s">
        <v>2026</v>
      </c>
      <c r="P565" t="str">
        <f t="shared" si="69"/>
        <v>Text Error</v>
      </c>
      <c r="Q565" s="5">
        <v>46031.66747685185</v>
      </c>
      <c r="R565" t="str">
        <f t="shared" si="70"/>
        <v>Valid Date</v>
      </c>
      <c r="S565" t="s">
        <v>2027</v>
      </c>
      <c r="T565" s="5">
        <v>46034.646655092591</v>
      </c>
      <c r="U565">
        <v>2</v>
      </c>
      <c r="V565" t="str">
        <f t="shared" si="71"/>
        <v>OK</v>
      </c>
      <c r="W565" t="s">
        <v>25</v>
      </c>
      <c r="Y565" t="s">
        <v>30</v>
      </c>
    </row>
    <row r="566" spans="1:25" x14ac:dyDescent="0.25">
      <c r="A566" t="s">
        <v>2028</v>
      </c>
      <c r="B566" t="str">
        <f t="shared" si="65"/>
        <v>Rahel Antony Lazaro</v>
      </c>
      <c r="C566">
        <v>127943</v>
      </c>
      <c r="D566" t="str">
        <f t="shared" si="64"/>
        <v>Unique</v>
      </c>
      <c r="E566" t="s">
        <v>296</v>
      </c>
      <c r="F566" s="3">
        <f t="shared" si="66"/>
        <v>26</v>
      </c>
      <c r="G566" t="s">
        <v>32</v>
      </c>
      <c r="H566" t="str">
        <f t="shared" si="67"/>
        <v>Valid</v>
      </c>
      <c r="I566" t="s">
        <v>20</v>
      </c>
      <c r="J566" t="str">
        <f t="shared" si="68"/>
        <v>Uvinza</v>
      </c>
      <c r="K566" t="s">
        <v>123</v>
      </c>
      <c r="L566" t="str" cm="1">
        <f t="array" ref="L566">_xlfn.IFS(
ISNUMBER(SEARCH("ICU",K566)), "ICU",
ISNUMBER(SEARCH("NEONATAL",K566)), PROPER("NEONATAL"),
ISNUMBER(SEARCH("LABOUR",K566)), PROPER("LABOUR"),
ISNUMBER(SEARCH("PAEDIATRIC",K566)), PROPER("PAEDIATRIC"),
ISNUMBER(SEARCH("FEMALE SURGICAL",K566)), PROPER("FEMALE SURG, ORTHO &amp; GYN"),
ISNUMBER(SEARCH("PSYCHIATRIST",K566)), PROPER("PSYCHIATRIST"),
ISNUMBER(SEARCH("GRADE 1",K566)), PROPER("GRADE 1"),
ISNUMBER(SEARCH("MALE SURGICAL",K566)), PROPER("MALE SURG &amp; ORTHOPEDIC"),
ISNUMBER(SEARCH("MALE MEDICAL",K566)), PROPER("MALE MEDICAL"),
ISNUMBER(SEARCH("GRADE 2",K566)), PROPER("GRADE 2"),
ISNUMBER(SEARCH("FEMALE WARD",K566)), PROPER("FEMALE MEDICAL"),
TRUE, "Unmapped: " &amp; K566)</f>
        <v>Female Surg, Ortho &amp; Gyn</v>
      </c>
      <c r="M566" t="s">
        <v>22</v>
      </c>
      <c r="O566" t="s">
        <v>2029</v>
      </c>
      <c r="P566" t="str">
        <f t="shared" si="69"/>
        <v>Text Error</v>
      </c>
      <c r="Q566" s="5">
        <v>46031.808599537035</v>
      </c>
      <c r="R566" t="str">
        <f t="shared" si="70"/>
        <v>Valid Date</v>
      </c>
      <c r="S566" t="s">
        <v>2030</v>
      </c>
      <c r="T566" s="5">
        <v>46034.720196759263</v>
      </c>
      <c r="U566">
        <v>2</v>
      </c>
      <c r="V566" t="str">
        <f t="shared" si="71"/>
        <v>OK</v>
      </c>
      <c r="W566" t="s">
        <v>25</v>
      </c>
      <c r="Y566" t="s">
        <v>30</v>
      </c>
    </row>
    <row r="567" spans="1:25" x14ac:dyDescent="0.25">
      <c r="A567" t="s">
        <v>2031</v>
      </c>
      <c r="B567" t="str">
        <f t="shared" si="65"/>
        <v>Angelina Paulo Kajuli</v>
      </c>
      <c r="C567">
        <v>128006</v>
      </c>
      <c r="D567" t="str">
        <f t="shared" si="64"/>
        <v>Unique</v>
      </c>
      <c r="E567" t="s">
        <v>285</v>
      </c>
      <c r="F567" s="3">
        <f t="shared" si="66"/>
        <v>38</v>
      </c>
      <c r="G567" t="s">
        <v>32</v>
      </c>
      <c r="H567" t="str">
        <f t="shared" si="67"/>
        <v>Valid</v>
      </c>
      <c r="I567" t="s">
        <v>20</v>
      </c>
      <c r="J567" t="str">
        <f t="shared" si="68"/>
        <v>Uvinza</v>
      </c>
      <c r="K567" t="s">
        <v>123</v>
      </c>
      <c r="L567" t="str" cm="1">
        <f t="array" ref="L567">_xlfn.IFS(
ISNUMBER(SEARCH("ICU",K567)), "ICU",
ISNUMBER(SEARCH("NEONATAL",K567)), PROPER("NEONATAL"),
ISNUMBER(SEARCH("LABOUR",K567)), PROPER("LABOUR"),
ISNUMBER(SEARCH("PAEDIATRIC",K567)), PROPER("PAEDIATRIC"),
ISNUMBER(SEARCH("FEMALE SURGICAL",K567)), PROPER("FEMALE SURG, ORTHO &amp; GYN"),
ISNUMBER(SEARCH("PSYCHIATRIST",K567)), PROPER("PSYCHIATRIST"),
ISNUMBER(SEARCH("GRADE 1",K567)), PROPER("GRADE 1"),
ISNUMBER(SEARCH("MALE SURGICAL",K567)), PROPER("MALE SURG &amp; ORTHOPEDIC"),
ISNUMBER(SEARCH("MALE MEDICAL",K567)), PROPER("MALE MEDICAL"),
ISNUMBER(SEARCH("GRADE 2",K567)), PROPER("GRADE 2"),
ISNUMBER(SEARCH("FEMALE WARD",K567)), PROPER("FEMALE MEDICAL"),
TRUE, "Unmapped: " &amp; K567)</f>
        <v>Female Surg, Ortho &amp; Gyn</v>
      </c>
      <c r="M567" t="s">
        <v>22</v>
      </c>
      <c r="O567" t="s">
        <v>2032</v>
      </c>
      <c r="P567" t="str">
        <f t="shared" si="69"/>
        <v>Text Error</v>
      </c>
      <c r="Q567" s="5">
        <v>46032.710034722222</v>
      </c>
      <c r="R567" t="str">
        <f t="shared" si="70"/>
        <v>Valid Date</v>
      </c>
      <c r="S567" t="s">
        <v>2033</v>
      </c>
      <c r="T567" s="5">
        <v>46035.655243055553</v>
      </c>
      <c r="U567">
        <v>2</v>
      </c>
      <c r="V567" t="str">
        <f t="shared" si="71"/>
        <v>OK</v>
      </c>
      <c r="W567" t="s">
        <v>25</v>
      </c>
      <c r="Y567" t="s">
        <v>30</v>
      </c>
    </row>
    <row r="568" spans="1:25" x14ac:dyDescent="0.25">
      <c r="A568" t="s">
        <v>2034</v>
      </c>
      <c r="B568" t="str">
        <f t="shared" si="65"/>
        <v>Maricelina Thadeo Senkula</v>
      </c>
      <c r="C568">
        <v>112569</v>
      </c>
      <c r="D568" t="str">
        <f t="shared" si="64"/>
        <v>Unique</v>
      </c>
      <c r="E568" t="s">
        <v>68</v>
      </c>
      <c r="F568" s="3">
        <f t="shared" si="66"/>
        <v>32</v>
      </c>
      <c r="G568" t="s">
        <v>32</v>
      </c>
      <c r="H568" t="str">
        <f t="shared" si="67"/>
        <v>Valid</v>
      </c>
      <c r="I568" t="s">
        <v>33</v>
      </c>
      <c r="J568" t="str">
        <f t="shared" si="68"/>
        <v>Kigoma Ujiji Mc</v>
      </c>
      <c r="K568" t="s">
        <v>123</v>
      </c>
      <c r="L568" t="str" cm="1">
        <f t="array" ref="L568">_xlfn.IFS(
ISNUMBER(SEARCH("ICU",K568)), "ICU",
ISNUMBER(SEARCH("NEONATAL",K568)), PROPER("NEONATAL"),
ISNUMBER(SEARCH("LABOUR",K568)), PROPER("LABOUR"),
ISNUMBER(SEARCH("PAEDIATRIC",K568)), PROPER("PAEDIATRIC"),
ISNUMBER(SEARCH("FEMALE SURGICAL",K568)), PROPER("FEMALE SURG, ORTHO &amp; GYN"),
ISNUMBER(SEARCH("PSYCHIATRIST",K568)), PROPER("PSYCHIATRIST"),
ISNUMBER(SEARCH("GRADE 1",K568)), PROPER("GRADE 1"),
ISNUMBER(SEARCH("MALE SURGICAL",K568)), PROPER("MALE SURG &amp; ORTHOPEDIC"),
ISNUMBER(SEARCH("MALE MEDICAL",K568)), PROPER("MALE MEDICAL"),
ISNUMBER(SEARCH("GRADE 2",K568)), PROPER("GRADE 2"),
ISNUMBER(SEARCH("FEMALE WARD",K568)), PROPER("FEMALE MEDICAL"),
TRUE, "Unmapped: " &amp; K568)</f>
        <v>Female Surg, Ortho &amp; Gyn</v>
      </c>
      <c r="M568" t="s">
        <v>394</v>
      </c>
      <c r="O568" t="s">
        <v>2035</v>
      </c>
      <c r="P568" t="str">
        <f t="shared" si="69"/>
        <v>Text Error</v>
      </c>
      <c r="Q568" s="5">
        <v>46032.755335648151</v>
      </c>
      <c r="R568" t="str">
        <f t="shared" si="70"/>
        <v>Valid Date</v>
      </c>
      <c r="S568" t="s">
        <v>2036</v>
      </c>
      <c r="T568" s="5">
        <v>46035.734351851854</v>
      </c>
      <c r="U568">
        <v>2</v>
      </c>
      <c r="V568" t="str">
        <f t="shared" si="71"/>
        <v>OK</v>
      </c>
      <c r="W568" t="s">
        <v>25</v>
      </c>
      <c r="Y568" t="s">
        <v>30</v>
      </c>
    </row>
    <row r="569" spans="1:25" x14ac:dyDescent="0.25">
      <c r="A569" t="s">
        <v>2037</v>
      </c>
      <c r="B569" t="str">
        <f t="shared" si="65"/>
        <v>Baby Of Shani Adam Ngara</v>
      </c>
      <c r="C569">
        <v>128011</v>
      </c>
      <c r="D569" t="str">
        <f t="shared" si="64"/>
        <v>Unique</v>
      </c>
      <c r="E569" t="s">
        <v>622</v>
      </c>
      <c r="F569" s="3" t="str">
        <f t="shared" si="66"/>
        <v>2/12</v>
      </c>
      <c r="G569" t="s">
        <v>19</v>
      </c>
      <c r="H569" t="str">
        <f t="shared" si="67"/>
        <v>Valid</v>
      </c>
      <c r="I569" t="s">
        <v>33</v>
      </c>
      <c r="J569" t="str">
        <f t="shared" si="68"/>
        <v>Kigoma Ujiji Mc</v>
      </c>
      <c r="K569" t="s">
        <v>21</v>
      </c>
      <c r="L569" t="str" cm="1">
        <f t="array" ref="L569">_xlfn.IFS(
ISNUMBER(SEARCH("ICU",K569)), "ICU",
ISNUMBER(SEARCH("NEONATAL",K569)), PROPER("NEONATAL"),
ISNUMBER(SEARCH("LABOUR",K569)), PROPER("LABOUR"),
ISNUMBER(SEARCH("PAEDIATRIC",K569)), PROPER("PAEDIATRIC"),
ISNUMBER(SEARCH("FEMALE SURGICAL",K569)), PROPER("FEMALE SURG, ORTHO &amp; GYN"),
ISNUMBER(SEARCH("PSYCHIATRIST",K569)), PROPER("PSYCHIATRIST"),
ISNUMBER(SEARCH("GRADE 1",K569)), PROPER("GRADE 1"),
ISNUMBER(SEARCH("MALE SURGICAL",K569)), PROPER("MALE SURG &amp; ORTHOPEDIC"),
ISNUMBER(SEARCH("MALE MEDICAL",K569)), PROPER("MALE MEDICAL"),
ISNUMBER(SEARCH("GRADE 2",K569)), PROPER("GRADE 2"),
ISNUMBER(SEARCH("FEMALE WARD",K569)), PROPER("FEMALE MEDICAL"),
TRUE, "Unmapped: " &amp; K569)</f>
        <v>Neonatal</v>
      </c>
      <c r="M569" t="s">
        <v>22</v>
      </c>
      <c r="O569" t="s">
        <v>2038</v>
      </c>
      <c r="P569" t="str">
        <f t="shared" si="69"/>
        <v>Text Error</v>
      </c>
      <c r="Q569" s="5">
        <v>46032.779224537036</v>
      </c>
      <c r="R569" t="str">
        <f t="shared" si="70"/>
        <v>Valid Date</v>
      </c>
      <c r="S569" t="s">
        <v>2039</v>
      </c>
      <c r="T569" s="5">
        <v>46035.748032407406</v>
      </c>
      <c r="U569">
        <v>2</v>
      </c>
      <c r="V569" t="str">
        <f t="shared" si="71"/>
        <v>OK</v>
      </c>
      <c r="W569" t="s">
        <v>25</v>
      </c>
      <c r="Y569" t="s">
        <v>30</v>
      </c>
    </row>
    <row r="570" spans="1:25" x14ac:dyDescent="0.25">
      <c r="A570" t="s">
        <v>2040</v>
      </c>
      <c r="B570" t="str">
        <f t="shared" si="65"/>
        <v>Juliana Yohana Balizila</v>
      </c>
      <c r="C570">
        <v>128015</v>
      </c>
      <c r="D570" t="str">
        <f t="shared" si="64"/>
        <v>Unique</v>
      </c>
      <c r="E570" t="s">
        <v>804</v>
      </c>
      <c r="F570" s="3">
        <f t="shared" si="66"/>
        <v>85</v>
      </c>
      <c r="G570" t="s">
        <v>32</v>
      </c>
      <c r="H570" t="str">
        <f t="shared" si="67"/>
        <v>Valid</v>
      </c>
      <c r="I570" t="s">
        <v>33</v>
      </c>
      <c r="J570" t="str">
        <f t="shared" si="68"/>
        <v>Kigoma Ujiji Mc</v>
      </c>
      <c r="K570" t="s">
        <v>700</v>
      </c>
      <c r="L570" t="str" cm="1">
        <f t="array" ref="L570">_xlfn.IFS(
ISNUMBER(SEARCH("ICU",K570)), "ICU",
ISNUMBER(SEARCH("NEONATAL",K570)), PROPER("NEONATAL"),
ISNUMBER(SEARCH("LABOUR",K570)), PROPER("LABOUR"),
ISNUMBER(SEARCH("PAEDIATRIC",K570)), PROPER("PAEDIATRIC"),
ISNUMBER(SEARCH("FEMALE SURGICAL",K570)), PROPER("FEMALE SURG, ORTHO &amp; GYN"),
ISNUMBER(SEARCH("PSYCHIATRIST",K570)), PROPER("PSYCHIATRIST"),
ISNUMBER(SEARCH("GRADE 1",K570)), PROPER("GRADE 1"),
ISNUMBER(SEARCH("MALE SURGICAL",K570)), PROPER("MALE SURG &amp; ORTHOPEDIC"),
ISNUMBER(SEARCH("MALE MEDICAL",K570)), PROPER("MALE MEDICAL"),
ISNUMBER(SEARCH("GRADE 2",K570)), PROPER("GRADE 2"),
ISNUMBER(SEARCH("FEMALE WARD",K570)), PROPER("FEMALE MEDICAL"),
TRUE, "Unmapped: " &amp; K570)</f>
        <v>Female Medical</v>
      </c>
      <c r="M570" t="s">
        <v>22</v>
      </c>
      <c r="O570" t="s">
        <v>2041</v>
      </c>
      <c r="P570" t="str">
        <f t="shared" si="69"/>
        <v>Text Error</v>
      </c>
      <c r="Q570" s="5">
        <v>46033.035324074073</v>
      </c>
      <c r="R570" t="str">
        <f t="shared" si="70"/>
        <v>Valid Date</v>
      </c>
      <c r="S570" t="s">
        <v>2042</v>
      </c>
      <c r="T570" s="5">
        <v>46035.500636574077</v>
      </c>
      <c r="U570">
        <v>2</v>
      </c>
      <c r="V570" t="str">
        <f t="shared" si="71"/>
        <v>OK</v>
      </c>
      <c r="W570" t="s">
        <v>211</v>
      </c>
      <c r="Y570" t="s">
        <v>30</v>
      </c>
    </row>
    <row r="571" spans="1:25" x14ac:dyDescent="0.25">
      <c r="A571" t="s">
        <v>2043</v>
      </c>
      <c r="B571" t="str">
        <f t="shared" si="65"/>
        <v>Giriadi Kitumbu Nyanda</v>
      </c>
      <c r="C571">
        <v>127996</v>
      </c>
      <c r="D571" t="str">
        <f t="shared" si="64"/>
        <v>Unique</v>
      </c>
      <c r="E571" t="s">
        <v>884</v>
      </c>
      <c r="F571" s="3">
        <f t="shared" si="66"/>
        <v>70</v>
      </c>
      <c r="G571" t="s">
        <v>19</v>
      </c>
      <c r="H571" t="str">
        <f t="shared" si="67"/>
        <v>Valid</v>
      </c>
      <c r="I571" t="s">
        <v>260</v>
      </c>
      <c r="J571" t="str">
        <f t="shared" si="68"/>
        <v>Kasulu</v>
      </c>
      <c r="K571" t="s">
        <v>428</v>
      </c>
      <c r="L571" t="str" cm="1">
        <f t="array" ref="L571">_xlfn.IFS(
ISNUMBER(SEARCH("ICU",K571)), "ICU",
ISNUMBER(SEARCH("NEONATAL",K571)), PROPER("NEONATAL"),
ISNUMBER(SEARCH("LABOUR",K571)), PROPER("LABOUR"),
ISNUMBER(SEARCH("PAEDIATRIC",K571)), PROPER("PAEDIATRIC"),
ISNUMBER(SEARCH("FEMALE SURGICAL",K571)), PROPER("FEMALE SURG, ORTHO &amp; GYN"),
ISNUMBER(SEARCH("PSYCHIATRIST",K571)), PROPER("PSYCHIATRIST"),
ISNUMBER(SEARCH("GRADE 1",K571)), PROPER("GRADE 1"),
ISNUMBER(SEARCH("MALE SURGICAL",K571)), PROPER("MALE SURG &amp; ORTHOPEDIC"),
ISNUMBER(SEARCH("MALE MEDICAL",K571)), PROPER("MALE MEDICAL"),
ISNUMBER(SEARCH("GRADE 2",K571)), PROPER("GRADE 2"),
ISNUMBER(SEARCH("FEMALE WARD",K571)), PROPER("FEMALE MEDICAL"),
TRUE, "Unmapped: " &amp; K571)</f>
        <v>Male Surg &amp; Orthopedic</v>
      </c>
      <c r="M571" t="s">
        <v>22</v>
      </c>
      <c r="O571" t="s">
        <v>2044</v>
      </c>
      <c r="P571" t="str">
        <f t="shared" si="69"/>
        <v>Text Error</v>
      </c>
      <c r="Q571" s="5">
        <v>46033.077627314815</v>
      </c>
      <c r="R571" t="str">
        <f t="shared" si="70"/>
        <v>Valid Date</v>
      </c>
      <c r="S571" t="s">
        <v>2045</v>
      </c>
      <c r="T571" s="5">
        <v>46035.544259259259</v>
      </c>
      <c r="U571">
        <v>2</v>
      </c>
      <c r="V571" t="str">
        <f t="shared" si="71"/>
        <v>OK</v>
      </c>
      <c r="W571" t="s">
        <v>25</v>
      </c>
      <c r="Y571" t="s">
        <v>30</v>
      </c>
    </row>
    <row r="572" spans="1:25" x14ac:dyDescent="0.25">
      <c r="A572" t="s">
        <v>2046</v>
      </c>
      <c r="B572" t="str">
        <f t="shared" si="65"/>
        <v>Mrisho Kudra Ramadhani</v>
      </c>
      <c r="C572">
        <v>128021</v>
      </c>
      <c r="D572" t="str">
        <f t="shared" si="64"/>
        <v>Unique</v>
      </c>
      <c r="E572" t="s">
        <v>142</v>
      </c>
      <c r="F572" s="3">
        <f t="shared" si="66"/>
        <v>20</v>
      </c>
      <c r="G572" t="s">
        <v>19</v>
      </c>
      <c r="H572" t="str">
        <f t="shared" si="67"/>
        <v>Valid</v>
      </c>
      <c r="I572" t="s">
        <v>62</v>
      </c>
      <c r="J572" t="str">
        <f t="shared" si="68"/>
        <v>Kigoma Vijijini</v>
      </c>
      <c r="K572" t="s">
        <v>428</v>
      </c>
      <c r="L572" t="str" cm="1">
        <f t="array" ref="L572">_xlfn.IFS(
ISNUMBER(SEARCH("ICU",K572)), "ICU",
ISNUMBER(SEARCH("NEONATAL",K572)), PROPER("NEONATAL"),
ISNUMBER(SEARCH("LABOUR",K572)), PROPER("LABOUR"),
ISNUMBER(SEARCH("PAEDIATRIC",K572)), PROPER("PAEDIATRIC"),
ISNUMBER(SEARCH("FEMALE SURGICAL",K572)), PROPER("FEMALE SURG, ORTHO &amp; GYN"),
ISNUMBER(SEARCH("PSYCHIATRIST",K572)), PROPER("PSYCHIATRIST"),
ISNUMBER(SEARCH("GRADE 1",K572)), PROPER("GRADE 1"),
ISNUMBER(SEARCH("MALE SURGICAL",K572)), PROPER("MALE SURG &amp; ORTHOPEDIC"),
ISNUMBER(SEARCH("MALE MEDICAL",K572)), PROPER("MALE MEDICAL"),
ISNUMBER(SEARCH("GRADE 2",K572)), PROPER("GRADE 2"),
ISNUMBER(SEARCH("FEMALE WARD",K572)), PROPER("FEMALE MEDICAL"),
TRUE, "Unmapped: " &amp; K572)</f>
        <v>Male Surg &amp; Orthopedic</v>
      </c>
      <c r="M572" t="s">
        <v>22</v>
      </c>
      <c r="O572" t="s">
        <v>2047</v>
      </c>
      <c r="P572" t="str">
        <f t="shared" si="69"/>
        <v>Text Error</v>
      </c>
      <c r="Q572" s="5">
        <v>46033.311921296299</v>
      </c>
      <c r="R572" t="str">
        <f t="shared" si="70"/>
        <v>Valid Date</v>
      </c>
      <c r="S572" t="s">
        <v>2048</v>
      </c>
      <c r="T572" s="5">
        <v>46035.563055555554</v>
      </c>
      <c r="U572">
        <v>2</v>
      </c>
      <c r="V572" t="str">
        <f t="shared" si="71"/>
        <v>OK</v>
      </c>
      <c r="W572" t="s">
        <v>25</v>
      </c>
      <c r="Y572" t="s">
        <v>30</v>
      </c>
    </row>
    <row r="573" spans="1:25" x14ac:dyDescent="0.25">
      <c r="A573" t="s">
        <v>2049</v>
      </c>
      <c r="B573" t="str">
        <f t="shared" si="65"/>
        <v>Immakulata Silvanus Lwabuhaya</v>
      </c>
      <c r="C573">
        <v>15361</v>
      </c>
      <c r="D573" t="str">
        <f t="shared" si="64"/>
        <v>Unique</v>
      </c>
      <c r="E573" t="s">
        <v>614</v>
      </c>
      <c r="F573" s="3">
        <f t="shared" si="66"/>
        <v>43</v>
      </c>
      <c r="G573" t="s">
        <v>32</v>
      </c>
      <c r="H573" t="str">
        <f t="shared" si="67"/>
        <v>Valid</v>
      </c>
      <c r="I573" t="s">
        <v>33</v>
      </c>
      <c r="J573" t="str">
        <f t="shared" si="68"/>
        <v>Kigoma Ujiji Mc</v>
      </c>
      <c r="K573" t="s">
        <v>123</v>
      </c>
      <c r="L573" t="str" cm="1">
        <f t="array" ref="L573">_xlfn.IFS(
ISNUMBER(SEARCH("ICU",K573)), "ICU",
ISNUMBER(SEARCH("NEONATAL",K573)), PROPER("NEONATAL"),
ISNUMBER(SEARCH("LABOUR",K573)), PROPER("LABOUR"),
ISNUMBER(SEARCH("PAEDIATRIC",K573)), PROPER("PAEDIATRIC"),
ISNUMBER(SEARCH("FEMALE SURGICAL",K573)), PROPER("FEMALE SURG, ORTHO &amp; GYN"),
ISNUMBER(SEARCH("PSYCHIATRIST",K573)), PROPER("PSYCHIATRIST"),
ISNUMBER(SEARCH("GRADE 1",K573)), PROPER("GRADE 1"),
ISNUMBER(SEARCH("MALE SURGICAL",K573)), PROPER("MALE SURG &amp; ORTHOPEDIC"),
ISNUMBER(SEARCH("MALE MEDICAL",K573)), PROPER("MALE MEDICAL"),
ISNUMBER(SEARCH("GRADE 2",K573)), PROPER("GRADE 2"),
ISNUMBER(SEARCH("FEMALE WARD",K573)), PROPER("FEMALE MEDICAL"),
TRUE, "Unmapped: " &amp; K573)</f>
        <v>Female Surg, Ortho &amp; Gyn</v>
      </c>
      <c r="M573" t="s">
        <v>394</v>
      </c>
      <c r="O573" t="s">
        <v>2050</v>
      </c>
      <c r="P573" t="str">
        <f t="shared" si="69"/>
        <v>Text Error</v>
      </c>
      <c r="Q573" s="5">
        <v>46033.497858796298</v>
      </c>
      <c r="R573" t="str">
        <f t="shared" si="70"/>
        <v>Valid Date</v>
      </c>
      <c r="S573" t="s">
        <v>2051</v>
      </c>
      <c r="T573" s="5">
        <v>46035.551354166666</v>
      </c>
      <c r="U573">
        <v>2</v>
      </c>
      <c r="V573" t="str">
        <f t="shared" si="71"/>
        <v>OK</v>
      </c>
      <c r="W573" t="s">
        <v>25</v>
      </c>
      <c r="Y573" t="s">
        <v>30</v>
      </c>
    </row>
    <row r="574" spans="1:25" x14ac:dyDescent="0.25">
      <c r="A574" t="s">
        <v>2052</v>
      </c>
      <c r="B574" t="str">
        <f t="shared" si="65"/>
        <v>Mariantonia Juma Nyangoma</v>
      </c>
      <c r="C574">
        <v>112336</v>
      </c>
      <c r="D574" t="str">
        <f t="shared" si="64"/>
        <v>Unique</v>
      </c>
      <c r="E574" t="s">
        <v>1061</v>
      </c>
      <c r="F574" s="3">
        <f t="shared" si="66"/>
        <v>66</v>
      </c>
      <c r="G574" t="s">
        <v>32</v>
      </c>
      <c r="H574" t="str">
        <f t="shared" si="67"/>
        <v>Valid</v>
      </c>
      <c r="I574" t="s">
        <v>33</v>
      </c>
      <c r="J574" t="str">
        <f t="shared" si="68"/>
        <v>Kigoma Ujiji Mc</v>
      </c>
      <c r="K574" t="s">
        <v>685</v>
      </c>
      <c r="L574" t="str" cm="1">
        <f t="array" ref="L574">_xlfn.IFS(
ISNUMBER(SEARCH("ICU",K574)), "ICU",
ISNUMBER(SEARCH("NEONATAL",K574)), PROPER("NEONATAL"),
ISNUMBER(SEARCH("LABOUR",K574)), PROPER("LABOUR"),
ISNUMBER(SEARCH("PAEDIATRIC",K574)), PROPER("PAEDIATRIC"),
ISNUMBER(SEARCH("FEMALE SURGICAL",K574)), PROPER("FEMALE SURG, ORTHO &amp; GYN"),
ISNUMBER(SEARCH("PSYCHIATRIST",K574)), PROPER("PSYCHIATRIST"),
ISNUMBER(SEARCH("GRADE 1",K574)), PROPER("GRADE 1"),
ISNUMBER(SEARCH("MALE SURGICAL",K574)), PROPER("MALE SURG &amp; ORTHOPEDIC"),
ISNUMBER(SEARCH("MALE MEDICAL",K574)), PROPER("MALE MEDICAL"),
ISNUMBER(SEARCH("GRADE 2",K574)), PROPER("GRADE 2"),
ISNUMBER(SEARCH("FEMALE WARD",K574)), PROPER("FEMALE MEDICAL"),
TRUE, "Unmapped: " &amp; K574)</f>
        <v>Grade 2</v>
      </c>
      <c r="M574" t="s">
        <v>394</v>
      </c>
      <c r="O574" t="s">
        <v>2053</v>
      </c>
      <c r="P574" t="str">
        <f t="shared" si="69"/>
        <v>Text Error</v>
      </c>
      <c r="Q574" s="5">
        <v>46033.535150462965</v>
      </c>
      <c r="R574" t="str">
        <f t="shared" si="70"/>
        <v>Valid Date</v>
      </c>
      <c r="S574" t="s">
        <v>2054</v>
      </c>
      <c r="T574" s="5">
        <v>46036.507916666669</v>
      </c>
      <c r="U574">
        <v>2</v>
      </c>
      <c r="V574" t="str">
        <f t="shared" si="71"/>
        <v>OK</v>
      </c>
      <c r="W574" t="s">
        <v>25</v>
      </c>
      <c r="Y574" t="s">
        <v>30</v>
      </c>
    </row>
    <row r="575" spans="1:25" x14ac:dyDescent="0.25">
      <c r="A575" t="s">
        <v>2055</v>
      </c>
      <c r="B575" t="str">
        <f t="shared" si="65"/>
        <v>Zuhura Hemmed Katozo</v>
      </c>
      <c r="C575">
        <v>13799</v>
      </c>
      <c r="D575" t="str">
        <f t="shared" si="64"/>
        <v>Unique</v>
      </c>
      <c r="E575" t="s">
        <v>2056</v>
      </c>
      <c r="F575" s="3">
        <f t="shared" si="66"/>
        <v>79</v>
      </c>
      <c r="G575" t="s">
        <v>32</v>
      </c>
      <c r="H575" t="str">
        <f t="shared" si="67"/>
        <v>Valid</v>
      </c>
      <c r="I575" t="s">
        <v>754</v>
      </c>
      <c r="J575" t="str">
        <f t="shared" si="68"/>
        <v>KG</v>
      </c>
      <c r="K575" t="s">
        <v>393</v>
      </c>
      <c r="L575" t="str" cm="1">
        <f t="array" ref="L575">_xlfn.IFS(
ISNUMBER(SEARCH("ICU",K575)), "ICU",
ISNUMBER(SEARCH("NEONATAL",K575)), PROPER("NEONATAL"),
ISNUMBER(SEARCH("LABOUR",K575)), PROPER("LABOUR"),
ISNUMBER(SEARCH("PAEDIATRIC",K575)), PROPER("PAEDIATRIC"),
ISNUMBER(SEARCH("FEMALE SURGICAL",K575)), PROPER("FEMALE SURG, ORTHO &amp; GYN"),
ISNUMBER(SEARCH("PSYCHIATRIST",K575)), PROPER("PSYCHIATRIST"),
ISNUMBER(SEARCH("GRADE 1",K575)), PROPER("GRADE 1"),
ISNUMBER(SEARCH("MALE SURGICAL",K575)), PROPER("MALE SURG &amp; ORTHOPEDIC"),
ISNUMBER(SEARCH("MALE MEDICAL",K575)), PROPER("MALE MEDICAL"),
ISNUMBER(SEARCH("GRADE 2",K575)), PROPER("GRADE 2"),
ISNUMBER(SEARCH("FEMALE WARD",K575)), PROPER("FEMALE MEDICAL"),
TRUE, "Unmapped: " &amp; K575)</f>
        <v>Grade 1</v>
      </c>
      <c r="M575" t="s">
        <v>394</v>
      </c>
      <c r="O575" t="s">
        <v>2057</v>
      </c>
      <c r="P575" t="str">
        <f t="shared" si="69"/>
        <v>Text Error</v>
      </c>
      <c r="Q575" s="5">
        <v>46033.630960648145</v>
      </c>
      <c r="R575" t="str">
        <f t="shared" si="70"/>
        <v>Valid Date</v>
      </c>
      <c r="S575" t="s">
        <v>2058</v>
      </c>
      <c r="T575" s="5">
        <v>46036.572974537034</v>
      </c>
      <c r="U575">
        <v>2</v>
      </c>
      <c r="V575" t="str">
        <f t="shared" si="71"/>
        <v>OK</v>
      </c>
      <c r="W575" t="s">
        <v>25</v>
      </c>
      <c r="Y575" t="s">
        <v>30</v>
      </c>
    </row>
    <row r="576" spans="1:25" x14ac:dyDescent="0.25">
      <c r="A576" t="s">
        <v>2059</v>
      </c>
      <c r="B576" t="str">
        <f t="shared" si="65"/>
        <v>Zainabu Juma Poloto</v>
      </c>
      <c r="C576">
        <v>128060</v>
      </c>
      <c r="D576" t="str">
        <f t="shared" si="64"/>
        <v>Unique</v>
      </c>
      <c r="E576" t="s">
        <v>151</v>
      </c>
      <c r="F576" s="3">
        <f t="shared" si="66"/>
        <v>22</v>
      </c>
      <c r="G576" t="s">
        <v>32</v>
      </c>
      <c r="H576" t="str">
        <f t="shared" si="67"/>
        <v>Valid</v>
      </c>
      <c r="I576" t="s">
        <v>33</v>
      </c>
      <c r="J576" t="str">
        <f t="shared" si="68"/>
        <v>Kigoma Ujiji Mc</v>
      </c>
      <c r="K576" t="s">
        <v>40</v>
      </c>
      <c r="L576" t="str" cm="1">
        <f t="array" ref="L576">_xlfn.IFS(
ISNUMBER(SEARCH("ICU",K576)), "ICU",
ISNUMBER(SEARCH("NEONATAL",K576)), PROPER("NEONATAL"),
ISNUMBER(SEARCH("LABOUR",K576)), PROPER("LABOUR"),
ISNUMBER(SEARCH("PAEDIATRIC",K576)), PROPER("PAEDIATRIC"),
ISNUMBER(SEARCH("FEMALE SURGICAL",K576)), PROPER("FEMALE SURG, ORTHO &amp; GYN"),
ISNUMBER(SEARCH("PSYCHIATRIST",K576)), PROPER("PSYCHIATRIST"),
ISNUMBER(SEARCH("GRADE 1",K576)), PROPER("GRADE 1"),
ISNUMBER(SEARCH("MALE SURGICAL",K576)), PROPER("MALE SURG &amp; ORTHOPEDIC"),
ISNUMBER(SEARCH("MALE MEDICAL",K576)), PROPER("MALE MEDICAL"),
ISNUMBER(SEARCH("GRADE 2",K576)), PROPER("GRADE 2"),
ISNUMBER(SEARCH("FEMALE WARD",K576)), PROPER("FEMALE MEDICAL"),
TRUE, "Unmapped: " &amp; K576)</f>
        <v>Labour</v>
      </c>
      <c r="M576" t="s">
        <v>22</v>
      </c>
      <c r="O576" t="s">
        <v>2060</v>
      </c>
      <c r="P576" t="str">
        <f t="shared" si="69"/>
        <v>Text Error</v>
      </c>
      <c r="Q576" s="5">
        <v>46034.062673611108</v>
      </c>
      <c r="R576" t="str">
        <f t="shared" si="70"/>
        <v>Valid Date</v>
      </c>
      <c r="S576" t="s">
        <v>2061</v>
      </c>
      <c r="T576" s="5">
        <v>46036.587048611109</v>
      </c>
      <c r="U576">
        <v>2</v>
      </c>
      <c r="V576" t="str">
        <f t="shared" si="71"/>
        <v>OK</v>
      </c>
      <c r="W576" t="s">
        <v>25</v>
      </c>
      <c r="Y576" t="s">
        <v>30</v>
      </c>
    </row>
    <row r="577" spans="1:25" x14ac:dyDescent="0.25">
      <c r="A577" t="s">
        <v>2062</v>
      </c>
      <c r="B577" t="str">
        <f t="shared" si="65"/>
        <v>Adela Alex Hwituye</v>
      </c>
      <c r="C577">
        <v>128067</v>
      </c>
      <c r="D577" t="str">
        <f t="shared" si="64"/>
        <v>Unique</v>
      </c>
      <c r="E577" t="s">
        <v>541</v>
      </c>
      <c r="F577" s="3">
        <f t="shared" si="66"/>
        <v>42</v>
      </c>
      <c r="G577" t="s">
        <v>32</v>
      </c>
      <c r="H577" t="str">
        <f t="shared" si="67"/>
        <v>Valid</v>
      </c>
      <c r="I577" t="s">
        <v>33</v>
      </c>
      <c r="J577" t="str">
        <f t="shared" si="68"/>
        <v>Kigoma Ujiji Mc</v>
      </c>
      <c r="K577" t="s">
        <v>40</v>
      </c>
      <c r="L577" t="str" cm="1">
        <f t="array" ref="L577">_xlfn.IFS(
ISNUMBER(SEARCH("ICU",K577)), "ICU",
ISNUMBER(SEARCH("NEONATAL",K577)), PROPER("NEONATAL"),
ISNUMBER(SEARCH("LABOUR",K577)), PROPER("LABOUR"),
ISNUMBER(SEARCH("PAEDIATRIC",K577)), PROPER("PAEDIATRIC"),
ISNUMBER(SEARCH("FEMALE SURGICAL",K577)), PROPER("FEMALE SURG, ORTHO &amp; GYN"),
ISNUMBER(SEARCH("PSYCHIATRIST",K577)), PROPER("PSYCHIATRIST"),
ISNUMBER(SEARCH("GRADE 1",K577)), PROPER("GRADE 1"),
ISNUMBER(SEARCH("MALE SURGICAL",K577)), PROPER("MALE SURG &amp; ORTHOPEDIC"),
ISNUMBER(SEARCH("MALE MEDICAL",K577)), PROPER("MALE MEDICAL"),
ISNUMBER(SEARCH("GRADE 2",K577)), PROPER("GRADE 2"),
ISNUMBER(SEARCH("FEMALE WARD",K577)), PROPER("FEMALE MEDICAL"),
TRUE, "Unmapped: " &amp; K577)</f>
        <v>Labour</v>
      </c>
      <c r="M577" t="s">
        <v>22</v>
      </c>
      <c r="O577" t="s">
        <v>2063</v>
      </c>
      <c r="P577" t="str">
        <f t="shared" si="69"/>
        <v>Text Error</v>
      </c>
      <c r="Q577" s="5">
        <v>46034.342812499999</v>
      </c>
      <c r="R577" t="str">
        <f t="shared" si="70"/>
        <v>Valid Date</v>
      </c>
      <c r="S577" t="s">
        <v>2064</v>
      </c>
      <c r="T577" s="5">
        <v>46036.797569444447</v>
      </c>
      <c r="U577">
        <v>2</v>
      </c>
      <c r="V577" t="str">
        <f t="shared" si="71"/>
        <v>OK</v>
      </c>
      <c r="W577" t="s">
        <v>25</v>
      </c>
      <c r="Y577" t="s">
        <v>30</v>
      </c>
    </row>
    <row r="578" spans="1:25" x14ac:dyDescent="0.25">
      <c r="A578" t="s">
        <v>2065</v>
      </c>
      <c r="B578" t="str">
        <f t="shared" si="65"/>
        <v>Apolonali N Ndaluboneye</v>
      </c>
      <c r="C578">
        <v>51929</v>
      </c>
      <c r="D578" t="str">
        <f t="shared" ref="D578:D641" si="72">IF(COUNTIF($C$2:$C$905,C578)&gt;1,"Duplicate","Unique")</f>
        <v>Duplicate</v>
      </c>
      <c r="E578" t="s">
        <v>353</v>
      </c>
      <c r="F578" s="3">
        <f t="shared" si="66"/>
        <v>4</v>
      </c>
      <c r="G578" t="s">
        <v>19</v>
      </c>
      <c r="H578" t="str">
        <f t="shared" si="67"/>
        <v>Valid</v>
      </c>
      <c r="I578" t="s">
        <v>227</v>
      </c>
      <c r="J578" t="str">
        <f t="shared" si="68"/>
        <v>KGG</v>
      </c>
      <c r="K578" t="s">
        <v>109</v>
      </c>
      <c r="L578" t="str" cm="1">
        <f t="array" ref="L578">_xlfn.IFS(
ISNUMBER(SEARCH("ICU",K578)), "ICU",
ISNUMBER(SEARCH("NEONATAL",K578)), PROPER("NEONATAL"),
ISNUMBER(SEARCH("LABOUR",K578)), PROPER("LABOUR"),
ISNUMBER(SEARCH("PAEDIATRIC",K578)), PROPER("PAEDIATRIC"),
ISNUMBER(SEARCH("FEMALE SURGICAL",K578)), PROPER("FEMALE SURG, ORTHO &amp; GYN"),
ISNUMBER(SEARCH("PSYCHIATRIST",K578)), PROPER("PSYCHIATRIST"),
ISNUMBER(SEARCH("GRADE 1",K578)), PROPER("GRADE 1"),
ISNUMBER(SEARCH("MALE SURGICAL",K578)), PROPER("MALE SURG &amp; ORTHOPEDIC"),
ISNUMBER(SEARCH("MALE MEDICAL",K578)), PROPER("MALE MEDICAL"),
ISNUMBER(SEARCH("GRADE 2",K578)), PROPER("GRADE 2"),
ISNUMBER(SEARCH("FEMALE WARD",K578)), PROPER("FEMALE MEDICAL"),
TRUE, "Unmapped: " &amp; K578)</f>
        <v>Paediatric</v>
      </c>
      <c r="M578" t="s">
        <v>394</v>
      </c>
      <c r="O578" t="s">
        <v>2066</v>
      </c>
      <c r="P578" t="str">
        <f t="shared" si="69"/>
        <v>Text Error</v>
      </c>
      <c r="Q578" s="5">
        <v>46034.413113425922</v>
      </c>
      <c r="R578" t="str">
        <f t="shared" si="70"/>
        <v>Valid Date</v>
      </c>
      <c r="S578" t="s">
        <v>2067</v>
      </c>
      <c r="T578" s="5">
        <v>46036.43372685185</v>
      </c>
      <c r="U578">
        <v>2</v>
      </c>
      <c r="V578" t="str">
        <f t="shared" si="71"/>
        <v>OK</v>
      </c>
      <c r="W578" t="s">
        <v>25</v>
      </c>
      <c r="Y578" t="s">
        <v>30</v>
      </c>
    </row>
    <row r="579" spans="1:25" x14ac:dyDescent="0.25">
      <c r="A579" t="s">
        <v>2068</v>
      </c>
      <c r="B579" t="str">
        <f t="shared" ref="B579:B642" si="73">IF(LEN(TRIM(A579))-LEN(SUBSTITUTE(TRIM(A579)," ",""))&gt;=1,TRIM(A579),"⚠ Only 1 name: "&amp;TRIM(A579))</f>
        <v>Naomi Esau Kahunga</v>
      </c>
      <c r="C579">
        <v>128104</v>
      </c>
      <c r="D579" t="str">
        <f t="shared" si="72"/>
        <v>Unique</v>
      </c>
      <c r="E579" t="s">
        <v>215</v>
      </c>
      <c r="F579" s="3">
        <f t="shared" ref="F579:F642" si="74">IF(ISNUMBER(SEARCH("month",E579)), LEFT(E579,FIND(" ",E579)-1)&amp;"/12", VALUE(LEFT(E579,FIND(" ",E579)-1)))</f>
        <v>25</v>
      </c>
      <c r="G579" t="s">
        <v>32</v>
      </c>
      <c r="H579" t="str">
        <f t="shared" ref="H579:H642" si="75">IF(OR(TRIM(G579)="Male", TRIM(G579)="Female"), "Valid", "Inconsistent")</f>
        <v>Valid</v>
      </c>
      <c r="I579" t="s">
        <v>1774</v>
      </c>
      <c r="J579" t="str">
        <f t="shared" ref="J579:J642" si="76">SUBSTITUTE(SUBSTITUTE(TRIM(CLEAN(I579)),"Manisipaa ya kigoma ujiji","Kigoma Ujiji Mc"),"Buhingwe","Buhigwe")</f>
        <v>Kakonko</v>
      </c>
      <c r="K579" t="s">
        <v>40</v>
      </c>
      <c r="L579" t="str" cm="1">
        <f t="array" ref="L579">_xlfn.IFS(
ISNUMBER(SEARCH("ICU",K579)), "ICU",
ISNUMBER(SEARCH("NEONATAL",K579)), PROPER("NEONATAL"),
ISNUMBER(SEARCH("LABOUR",K579)), PROPER("LABOUR"),
ISNUMBER(SEARCH("PAEDIATRIC",K579)), PROPER("PAEDIATRIC"),
ISNUMBER(SEARCH("FEMALE SURGICAL",K579)), PROPER("FEMALE SURG, ORTHO &amp; GYN"),
ISNUMBER(SEARCH("PSYCHIATRIST",K579)), PROPER("PSYCHIATRIST"),
ISNUMBER(SEARCH("GRADE 1",K579)), PROPER("GRADE 1"),
ISNUMBER(SEARCH("MALE SURGICAL",K579)), PROPER("MALE SURG &amp; ORTHOPEDIC"),
ISNUMBER(SEARCH("MALE MEDICAL",K579)), PROPER("MALE MEDICAL"),
ISNUMBER(SEARCH("GRADE 2",K579)), PROPER("GRADE 2"),
ISNUMBER(SEARCH("FEMALE WARD",K579)), PROPER("FEMALE MEDICAL"),
TRUE, "Unmapped: " &amp; K579)</f>
        <v>Labour</v>
      </c>
      <c r="M579" t="s">
        <v>22</v>
      </c>
      <c r="O579" t="s">
        <v>2069</v>
      </c>
      <c r="P579" t="str">
        <f t="shared" ref="P579:P642" si="77">IF(ISNUMBER(O579), "Valid Date", "Text Error")</f>
        <v>Text Error</v>
      </c>
      <c r="Q579" s="5">
        <v>46034.486446759256</v>
      </c>
      <c r="R579" t="str">
        <f t="shared" ref="R579:R642" si="78">IF(ISNUMBER(Q579), "Valid Date", "Text Error")</f>
        <v>Valid Date</v>
      </c>
      <c r="S579" t="s">
        <v>2070</v>
      </c>
      <c r="T579" s="5">
        <v>46036.553495370368</v>
      </c>
      <c r="U579">
        <v>2</v>
      </c>
      <c r="V579" t="str">
        <f t="shared" ref="V579:V642" si="79">IF(NOT(ISNUMBER(U579)), "Text Error", IF(U579&lt;0, "Negative", "OK"))</f>
        <v>OK</v>
      </c>
      <c r="W579" t="s">
        <v>25</v>
      </c>
      <c r="Y579" t="s">
        <v>30</v>
      </c>
    </row>
    <row r="580" spans="1:25" x14ac:dyDescent="0.25">
      <c r="A580" t="s">
        <v>2071</v>
      </c>
      <c r="B580" t="str">
        <f t="shared" si="73"/>
        <v>Nicolaus Emenuel Nagwa</v>
      </c>
      <c r="C580">
        <v>128069</v>
      </c>
      <c r="D580" t="str">
        <f t="shared" si="72"/>
        <v>Unique</v>
      </c>
      <c r="E580" t="s">
        <v>142</v>
      </c>
      <c r="F580" s="3">
        <f t="shared" si="74"/>
        <v>20</v>
      </c>
      <c r="G580" t="s">
        <v>19</v>
      </c>
      <c r="H580" t="str">
        <f t="shared" si="75"/>
        <v>Valid</v>
      </c>
      <c r="I580" t="s">
        <v>33</v>
      </c>
      <c r="J580" t="str">
        <f t="shared" si="76"/>
        <v>Kigoma Ujiji Mc</v>
      </c>
      <c r="K580" t="s">
        <v>428</v>
      </c>
      <c r="L580" t="str" cm="1">
        <f t="array" ref="L580">_xlfn.IFS(
ISNUMBER(SEARCH("ICU",K580)), "ICU",
ISNUMBER(SEARCH("NEONATAL",K580)), PROPER("NEONATAL"),
ISNUMBER(SEARCH("LABOUR",K580)), PROPER("LABOUR"),
ISNUMBER(SEARCH("PAEDIATRIC",K580)), PROPER("PAEDIATRIC"),
ISNUMBER(SEARCH("FEMALE SURGICAL",K580)), PROPER("FEMALE SURG, ORTHO &amp; GYN"),
ISNUMBER(SEARCH("PSYCHIATRIST",K580)), PROPER("PSYCHIATRIST"),
ISNUMBER(SEARCH("GRADE 1",K580)), PROPER("GRADE 1"),
ISNUMBER(SEARCH("MALE SURGICAL",K580)), PROPER("MALE SURG &amp; ORTHOPEDIC"),
ISNUMBER(SEARCH("MALE MEDICAL",K580)), PROPER("MALE MEDICAL"),
ISNUMBER(SEARCH("GRADE 2",K580)), PROPER("GRADE 2"),
ISNUMBER(SEARCH("FEMALE WARD",K580)), PROPER("FEMALE MEDICAL"),
TRUE, "Unmapped: " &amp; K580)</f>
        <v>Male Surg &amp; Orthopedic</v>
      </c>
      <c r="M580" t="s">
        <v>22</v>
      </c>
      <c r="O580" t="s">
        <v>2072</v>
      </c>
      <c r="P580" t="str">
        <f t="shared" si="77"/>
        <v>Text Error</v>
      </c>
      <c r="Q580" s="5">
        <v>46034.534618055557</v>
      </c>
      <c r="R580" t="str">
        <f t="shared" si="78"/>
        <v>Valid Date</v>
      </c>
      <c r="S580" t="s">
        <v>2073</v>
      </c>
      <c r="T580" s="5">
        <v>46036.620856481481</v>
      </c>
      <c r="U580">
        <v>2</v>
      </c>
      <c r="V580" t="str">
        <f t="shared" si="79"/>
        <v>OK</v>
      </c>
      <c r="W580" t="s">
        <v>112</v>
      </c>
      <c r="Y580" t="s">
        <v>30</v>
      </c>
    </row>
    <row r="581" spans="1:25" x14ac:dyDescent="0.25">
      <c r="A581" t="s">
        <v>2074</v>
      </c>
      <c r="B581" t="str">
        <f t="shared" si="73"/>
        <v>Melisia Laurent Mekisela</v>
      </c>
      <c r="C581">
        <v>128144</v>
      </c>
      <c r="D581" t="str">
        <f t="shared" si="72"/>
        <v>Unique</v>
      </c>
      <c r="E581" t="s">
        <v>215</v>
      </c>
      <c r="F581" s="3">
        <f t="shared" si="74"/>
        <v>25</v>
      </c>
      <c r="G581" t="s">
        <v>32</v>
      </c>
      <c r="H581" t="str">
        <f t="shared" si="75"/>
        <v>Valid</v>
      </c>
      <c r="I581" t="s">
        <v>62</v>
      </c>
      <c r="J581" t="str">
        <f t="shared" si="76"/>
        <v>Kigoma Vijijini</v>
      </c>
      <c r="K581" t="s">
        <v>40</v>
      </c>
      <c r="L581" t="str" cm="1">
        <f t="array" ref="L581">_xlfn.IFS(
ISNUMBER(SEARCH("ICU",K581)), "ICU",
ISNUMBER(SEARCH("NEONATAL",K581)), PROPER("NEONATAL"),
ISNUMBER(SEARCH("LABOUR",K581)), PROPER("LABOUR"),
ISNUMBER(SEARCH("PAEDIATRIC",K581)), PROPER("PAEDIATRIC"),
ISNUMBER(SEARCH("FEMALE SURGICAL",K581)), PROPER("FEMALE SURG, ORTHO &amp; GYN"),
ISNUMBER(SEARCH("PSYCHIATRIST",K581)), PROPER("PSYCHIATRIST"),
ISNUMBER(SEARCH("GRADE 1",K581)), PROPER("GRADE 1"),
ISNUMBER(SEARCH("MALE SURGICAL",K581)), PROPER("MALE SURG &amp; ORTHOPEDIC"),
ISNUMBER(SEARCH("MALE MEDICAL",K581)), PROPER("MALE MEDICAL"),
ISNUMBER(SEARCH("GRADE 2",K581)), PROPER("GRADE 2"),
ISNUMBER(SEARCH("FEMALE WARD",K581)), PROPER("FEMALE MEDICAL"),
TRUE, "Unmapped: " &amp; K581)</f>
        <v>Labour</v>
      </c>
      <c r="M581" t="s">
        <v>22</v>
      </c>
      <c r="O581" t="s">
        <v>2075</v>
      </c>
      <c r="P581" t="str">
        <f t="shared" si="77"/>
        <v>Text Error</v>
      </c>
      <c r="Q581" s="5">
        <v>46034.688344907408</v>
      </c>
      <c r="R581" t="str">
        <f t="shared" si="78"/>
        <v>Valid Date</v>
      </c>
      <c r="S581" t="s">
        <v>2076</v>
      </c>
      <c r="T581" s="5">
        <v>46036.706111111111</v>
      </c>
      <c r="U581">
        <v>2</v>
      </c>
      <c r="V581" t="str">
        <f t="shared" si="79"/>
        <v>OK</v>
      </c>
      <c r="W581" t="s">
        <v>211</v>
      </c>
      <c r="Y581" t="s">
        <v>30</v>
      </c>
    </row>
    <row r="582" spans="1:25" x14ac:dyDescent="0.25">
      <c r="A582" t="s">
        <v>2077</v>
      </c>
      <c r="B582" t="str">
        <f t="shared" si="73"/>
        <v>Joseph Msafiri Kamba</v>
      </c>
      <c r="C582">
        <v>128139</v>
      </c>
      <c r="D582" t="str">
        <f t="shared" si="72"/>
        <v>Unique</v>
      </c>
      <c r="E582" t="s">
        <v>1951</v>
      </c>
      <c r="F582" s="3">
        <f t="shared" si="74"/>
        <v>58</v>
      </c>
      <c r="G582" t="s">
        <v>19</v>
      </c>
      <c r="H582" t="str">
        <f t="shared" si="75"/>
        <v>Valid</v>
      </c>
      <c r="I582" t="s">
        <v>62</v>
      </c>
      <c r="J582" t="str">
        <f t="shared" si="76"/>
        <v>Kigoma Vijijini</v>
      </c>
      <c r="K582" t="s">
        <v>484</v>
      </c>
      <c r="L582" t="str" cm="1">
        <f t="array" ref="L582">_xlfn.IFS(
ISNUMBER(SEARCH("ICU",K582)), "ICU",
ISNUMBER(SEARCH("NEONATAL",K582)), PROPER("NEONATAL"),
ISNUMBER(SEARCH("LABOUR",K582)), PROPER("LABOUR"),
ISNUMBER(SEARCH("PAEDIATRIC",K582)), PROPER("PAEDIATRIC"),
ISNUMBER(SEARCH("FEMALE SURGICAL",K582)), PROPER("FEMALE SURG, ORTHO &amp; GYN"),
ISNUMBER(SEARCH("PSYCHIATRIST",K582)), PROPER("PSYCHIATRIST"),
ISNUMBER(SEARCH("GRADE 1",K582)), PROPER("GRADE 1"),
ISNUMBER(SEARCH("MALE SURGICAL",K582)), PROPER("MALE SURG &amp; ORTHOPEDIC"),
ISNUMBER(SEARCH("MALE MEDICAL",K582)), PROPER("MALE MEDICAL"),
ISNUMBER(SEARCH("GRADE 2",K582)), PROPER("GRADE 2"),
ISNUMBER(SEARCH("FEMALE WARD",K582)), PROPER("FEMALE MEDICAL"),
TRUE, "Unmapped: " &amp; K582)</f>
        <v>Male Medical</v>
      </c>
      <c r="M582" t="s">
        <v>22</v>
      </c>
      <c r="O582" t="s">
        <v>2078</v>
      </c>
      <c r="P582" t="str">
        <f t="shared" si="77"/>
        <v>Text Error</v>
      </c>
      <c r="Q582" s="5">
        <v>46034.704918981479</v>
      </c>
      <c r="R582" t="str">
        <f t="shared" si="78"/>
        <v>Valid Date</v>
      </c>
      <c r="S582" t="s">
        <v>2079</v>
      </c>
      <c r="T582" s="5">
        <v>46037.499479166669</v>
      </c>
      <c r="U582">
        <v>2</v>
      </c>
      <c r="V582" t="str">
        <f t="shared" si="79"/>
        <v>OK</v>
      </c>
      <c r="W582" t="s">
        <v>211</v>
      </c>
      <c r="Y582" t="s">
        <v>30</v>
      </c>
    </row>
    <row r="583" spans="1:25" x14ac:dyDescent="0.25">
      <c r="A583" t="s">
        <v>2080</v>
      </c>
      <c r="B583" t="str">
        <f t="shared" si="73"/>
        <v>Vivian Imani Salumu</v>
      </c>
      <c r="C583">
        <v>128101</v>
      </c>
      <c r="D583" t="str">
        <f t="shared" si="72"/>
        <v>Unique</v>
      </c>
      <c r="E583" t="s">
        <v>622</v>
      </c>
      <c r="F583" s="3" t="str">
        <f t="shared" si="74"/>
        <v>2/12</v>
      </c>
      <c r="G583" t="s">
        <v>32</v>
      </c>
      <c r="H583" t="str">
        <f t="shared" si="75"/>
        <v>Valid</v>
      </c>
      <c r="I583" t="s">
        <v>33</v>
      </c>
      <c r="J583" t="str">
        <f t="shared" si="76"/>
        <v>Kigoma Ujiji Mc</v>
      </c>
      <c r="K583" t="s">
        <v>21</v>
      </c>
      <c r="L583" t="str" cm="1">
        <f t="array" ref="L583">_xlfn.IFS(
ISNUMBER(SEARCH("ICU",K583)), "ICU",
ISNUMBER(SEARCH("NEONATAL",K583)), PROPER("NEONATAL"),
ISNUMBER(SEARCH("LABOUR",K583)), PROPER("LABOUR"),
ISNUMBER(SEARCH("PAEDIATRIC",K583)), PROPER("PAEDIATRIC"),
ISNUMBER(SEARCH("FEMALE SURGICAL",K583)), PROPER("FEMALE SURG, ORTHO &amp; GYN"),
ISNUMBER(SEARCH("PSYCHIATRIST",K583)), PROPER("PSYCHIATRIST"),
ISNUMBER(SEARCH("GRADE 1",K583)), PROPER("GRADE 1"),
ISNUMBER(SEARCH("MALE SURGICAL",K583)), PROPER("MALE SURG &amp; ORTHOPEDIC"),
ISNUMBER(SEARCH("MALE MEDICAL",K583)), PROPER("MALE MEDICAL"),
ISNUMBER(SEARCH("GRADE 2",K583)), PROPER("GRADE 2"),
ISNUMBER(SEARCH("FEMALE WARD",K583)), PROPER("FEMALE MEDICAL"),
TRUE, "Unmapped: " &amp; K583)</f>
        <v>Neonatal</v>
      </c>
      <c r="M583" t="s">
        <v>22</v>
      </c>
      <c r="O583" t="s">
        <v>2081</v>
      </c>
      <c r="P583" t="str">
        <f t="shared" si="77"/>
        <v>Text Error</v>
      </c>
      <c r="Q583" s="5">
        <v>46034.914537037039</v>
      </c>
      <c r="R583" t="str">
        <f t="shared" si="78"/>
        <v>Valid Date</v>
      </c>
      <c r="S583" t="s">
        <v>2082</v>
      </c>
      <c r="T583" s="5">
        <v>46037.5080787037</v>
      </c>
      <c r="U583">
        <v>2</v>
      </c>
      <c r="V583" t="str">
        <f t="shared" si="79"/>
        <v>OK</v>
      </c>
      <c r="W583" t="s">
        <v>25</v>
      </c>
      <c r="Y583" t="s">
        <v>30</v>
      </c>
    </row>
    <row r="584" spans="1:25" x14ac:dyDescent="0.25">
      <c r="A584" t="s">
        <v>2083</v>
      </c>
      <c r="B584" t="str">
        <f t="shared" si="73"/>
        <v>Victor Boniphace Maulidi</v>
      </c>
      <c r="C584">
        <v>128167</v>
      </c>
      <c r="D584" t="str">
        <f t="shared" si="72"/>
        <v>Unique</v>
      </c>
      <c r="E584" t="s">
        <v>353</v>
      </c>
      <c r="F584" s="3">
        <f t="shared" si="74"/>
        <v>4</v>
      </c>
      <c r="G584" t="s">
        <v>19</v>
      </c>
      <c r="H584" t="str">
        <f t="shared" si="75"/>
        <v>Valid</v>
      </c>
      <c r="I584" t="s">
        <v>33</v>
      </c>
      <c r="J584" t="str">
        <f t="shared" si="76"/>
        <v>Kigoma Ujiji Mc</v>
      </c>
      <c r="K584" t="s">
        <v>109</v>
      </c>
      <c r="L584" t="str" cm="1">
        <f t="array" ref="L584">_xlfn.IFS(
ISNUMBER(SEARCH("ICU",K584)), "ICU",
ISNUMBER(SEARCH("NEONATAL",K584)), PROPER("NEONATAL"),
ISNUMBER(SEARCH("LABOUR",K584)), PROPER("LABOUR"),
ISNUMBER(SEARCH("PAEDIATRIC",K584)), PROPER("PAEDIATRIC"),
ISNUMBER(SEARCH("FEMALE SURGICAL",K584)), PROPER("FEMALE SURG, ORTHO &amp; GYN"),
ISNUMBER(SEARCH("PSYCHIATRIST",K584)), PROPER("PSYCHIATRIST"),
ISNUMBER(SEARCH("GRADE 1",K584)), PROPER("GRADE 1"),
ISNUMBER(SEARCH("MALE SURGICAL",K584)), PROPER("MALE SURG &amp; ORTHOPEDIC"),
ISNUMBER(SEARCH("MALE MEDICAL",K584)), PROPER("MALE MEDICAL"),
ISNUMBER(SEARCH("GRADE 2",K584)), PROPER("GRADE 2"),
ISNUMBER(SEARCH("FEMALE WARD",K584)), PROPER("FEMALE MEDICAL"),
TRUE, "Unmapped: " &amp; K584)</f>
        <v>Paediatric</v>
      </c>
      <c r="M584" t="s">
        <v>22</v>
      </c>
      <c r="O584" t="s">
        <v>2084</v>
      </c>
      <c r="P584" t="str">
        <f t="shared" si="77"/>
        <v>Text Error</v>
      </c>
      <c r="Q584" s="5">
        <v>46034.956296296295</v>
      </c>
      <c r="R584" t="str">
        <f t="shared" si="78"/>
        <v>Valid Date</v>
      </c>
      <c r="S584" t="s">
        <v>2085</v>
      </c>
      <c r="T584" s="5">
        <v>46037.465983796297</v>
      </c>
      <c r="U584">
        <v>2</v>
      </c>
      <c r="V584" t="str">
        <f t="shared" si="79"/>
        <v>OK</v>
      </c>
      <c r="W584" t="s">
        <v>25</v>
      </c>
      <c r="Y584" t="s">
        <v>30</v>
      </c>
    </row>
    <row r="585" spans="1:25" x14ac:dyDescent="0.25">
      <c r="A585" t="s">
        <v>2086</v>
      </c>
      <c r="B585" t="str">
        <f t="shared" si="73"/>
        <v>Rahma Issa Makame</v>
      </c>
      <c r="C585">
        <v>128193</v>
      </c>
      <c r="D585" t="str">
        <f t="shared" si="72"/>
        <v>Unique</v>
      </c>
      <c r="E585" t="s">
        <v>54</v>
      </c>
      <c r="F585" s="3">
        <f t="shared" si="74"/>
        <v>21</v>
      </c>
      <c r="G585" t="s">
        <v>32</v>
      </c>
      <c r="H585" t="str">
        <f t="shared" si="75"/>
        <v>Valid</v>
      </c>
      <c r="I585" t="s">
        <v>33</v>
      </c>
      <c r="J585" t="str">
        <f t="shared" si="76"/>
        <v>Kigoma Ujiji Mc</v>
      </c>
      <c r="K585" t="s">
        <v>40</v>
      </c>
      <c r="L585" t="str" cm="1">
        <f t="array" ref="L585">_xlfn.IFS(
ISNUMBER(SEARCH("ICU",K585)), "ICU",
ISNUMBER(SEARCH("NEONATAL",K585)), PROPER("NEONATAL"),
ISNUMBER(SEARCH("LABOUR",K585)), PROPER("LABOUR"),
ISNUMBER(SEARCH("PAEDIATRIC",K585)), PROPER("PAEDIATRIC"),
ISNUMBER(SEARCH("FEMALE SURGICAL",K585)), PROPER("FEMALE SURG, ORTHO &amp; GYN"),
ISNUMBER(SEARCH("PSYCHIATRIST",K585)), PROPER("PSYCHIATRIST"),
ISNUMBER(SEARCH("GRADE 1",K585)), PROPER("GRADE 1"),
ISNUMBER(SEARCH("MALE SURGICAL",K585)), PROPER("MALE SURG &amp; ORTHOPEDIC"),
ISNUMBER(SEARCH("MALE MEDICAL",K585)), PROPER("MALE MEDICAL"),
ISNUMBER(SEARCH("GRADE 2",K585)), PROPER("GRADE 2"),
ISNUMBER(SEARCH("FEMALE WARD",K585)), PROPER("FEMALE MEDICAL"),
TRUE, "Unmapped: " &amp; K585)</f>
        <v>Labour</v>
      </c>
      <c r="M585" t="s">
        <v>22</v>
      </c>
      <c r="O585" t="s">
        <v>2087</v>
      </c>
      <c r="P585" t="str">
        <f t="shared" si="77"/>
        <v>Text Error</v>
      </c>
      <c r="Q585" s="5">
        <v>46035.453252314815</v>
      </c>
      <c r="R585" t="str">
        <f t="shared" si="78"/>
        <v>Valid Date</v>
      </c>
      <c r="S585" t="s">
        <v>2088</v>
      </c>
      <c r="T585" s="5">
        <v>46037.553981481484</v>
      </c>
      <c r="U585">
        <v>2</v>
      </c>
      <c r="V585" t="str">
        <f t="shared" si="79"/>
        <v>OK</v>
      </c>
      <c r="W585" t="s">
        <v>25</v>
      </c>
      <c r="Y585" t="s">
        <v>30</v>
      </c>
    </row>
    <row r="586" spans="1:25" x14ac:dyDescent="0.25">
      <c r="A586" t="s">
        <v>2089</v>
      </c>
      <c r="B586" t="str">
        <f t="shared" si="73"/>
        <v>Jonia L Rwezimula</v>
      </c>
      <c r="C586">
        <v>127763</v>
      </c>
      <c r="D586" t="str">
        <f t="shared" si="72"/>
        <v>Unique</v>
      </c>
      <c r="E586" t="s">
        <v>450</v>
      </c>
      <c r="F586" s="3">
        <f t="shared" si="74"/>
        <v>45</v>
      </c>
      <c r="G586" t="s">
        <v>32</v>
      </c>
      <c r="H586" t="str">
        <f t="shared" si="75"/>
        <v>Valid</v>
      </c>
      <c r="I586" t="s">
        <v>33</v>
      </c>
      <c r="J586" t="str">
        <f t="shared" si="76"/>
        <v>Kigoma Ujiji Mc</v>
      </c>
      <c r="K586" t="s">
        <v>123</v>
      </c>
      <c r="L586" t="str" cm="1">
        <f t="array" ref="L586">_xlfn.IFS(
ISNUMBER(SEARCH("ICU",K586)), "ICU",
ISNUMBER(SEARCH("NEONATAL",K586)), PROPER("NEONATAL"),
ISNUMBER(SEARCH("LABOUR",K586)), PROPER("LABOUR"),
ISNUMBER(SEARCH("PAEDIATRIC",K586)), PROPER("PAEDIATRIC"),
ISNUMBER(SEARCH("FEMALE SURGICAL",K586)), PROPER("FEMALE SURG, ORTHO &amp; GYN"),
ISNUMBER(SEARCH("PSYCHIATRIST",K586)), PROPER("PSYCHIATRIST"),
ISNUMBER(SEARCH("GRADE 1",K586)), PROPER("GRADE 1"),
ISNUMBER(SEARCH("MALE SURGICAL",K586)), PROPER("MALE SURG &amp; ORTHOPEDIC"),
ISNUMBER(SEARCH("MALE MEDICAL",K586)), PROPER("MALE MEDICAL"),
ISNUMBER(SEARCH("GRADE 2",K586)), PROPER("GRADE 2"),
ISNUMBER(SEARCH("FEMALE WARD",K586)), PROPER("FEMALE MEDICAL"),
TRUE, "Unmapped: " &amp; K586)</f>
        <v>Female Surg, Ortho &amp; Gyn</v>
      </c>
      <c r="M586" t="s">
        <v>22</v>
      </c>
      <c r="O586" t="s">
        <v>2090</v>
      </c>
      <c r="P586" t="str">
        <f t="shared" si="77"/>
        <v>Text Error</v>
      </c>
      <c r="Q586" s="5">
        <v>46035.663124999999</v>
      </c>
      <c r="R586" t="str">
        <f t="shared" si="78"/>
        <v>Valid Date</v>
      </c>
      <c r="S586" t="s">
        <v>2091</v>
      </c>
      <c r="T586" s="5">
        <v>46038.544675925928</v>
      </c>
      <c r="U586">
        <v>2</v>
      </c>
      <c r="V586" t="str">
        <f t="shared" si="79"/>
        <v>OK</v>
      </c>
      <c r="W586" t="s">
        <v>25</v>
      </c>
      <c r="Y586" t="s">
        <v>30</v>
      </c>
    </row>
    <row r="587" spans="1:25" x14ac:dyDescent="0.25">
      <c r="A587" t="s">
        <v>2092</v>
      </c>
      <c r="B587" t="str">
        <f t="shared" si="73"/>
        <v>Kabuye Emmanuel Richard</v>
      </c>
      <c r="C587">
        <v>128161</v>
      </c>
      <c r="D587" t="str">
        <f t="shared" si="72"/>
        <v>Unique</v>
      </c>
      <c r="E587" t="s">
        <v>530</v>
      </c>
      <c r="F587" s="3">
        <f t="shared" si="74"/>
        <v>34</v>
      </c>
      <c r="G587" t="s">
        <v>19</v>
      </c>
      <c r="H587" t="str">
        <f t="shared" si="75"/>
        <v>Valid</v>
      </c>
      <c r="I587" t="s">
        <v>20</v>
      </c>
      <c r="J587" t="str">
        <f t="shared" si="76"/>
        <v>Uvinza</v>
      </c>
      <c r="K587" t="s">
        <v>428</v>
      </c>
      <c r="L587" t="str" cm="1">
        <f t="array" ref="L587">_xlfn.IFS(
ISNUMBER(SEARCH("ICU",K587)), "ICU",
ISNUMBER(SEARCH("NEONATAL",K587)), PROPER("NEONATAL"),
ISNUMBER(SEARCH("LABOUR",K587)), PROPER("LABOUR"),
ISNUMBER(SEARCH("PAEDIATRIC",K587)), PROPER("PAEDIATRIC"),
ISNUMBER(SEARCH("FEMALE SURGICAL",K587)), PROPER("FEMALE SURG, ORTHO &amp; GYN"),
ISNUMBER(SEARCH("PSYCHIATRIST",K587)), PROPER("PSYCHIATRIST"),
ISNUMBER(SEARCH("GRADE 1",K587)), PROPER("GRADE 1"),
ISNUMBER(SEARCH("MALE SURGICAL",K587)), PROPER("MALE SURG &amp; ORTHOPEDIC"),
ISNUMBER(SEARCH("MALE MEDICAL",K587)), PROPER("MALE MEDICAL"),
ISNUMBER(SEARCH("GRADE 2",K587)), PROPER("GRADE 2"),
ISNUMBER(SEARCH("FEMALE WARD",K587)), PROPER("FEMALE MEDICAL"),
TRUE, "Unmapped: " &amp; K587)</f>
        <v>Male Surg &amp; Orthopedic</v>
      </c>
      <c r="M587" t="s">
        <v>22</v>
      </c>
      <c r="O587" t="s">
        <v>2093</v>
      </c>
      <c r="P587" t="str">
        <f t="shared" si="77"/>
        <v>Text Error</v>
      </c>
      <c r="Q587" s="5">
        <v>46035.775277777779</v>
      </c>
      <c r="R587" t="str">
        <f t="shared" si="78"/>
        <v>Valid Date</v>
      </c>
      <c r="S587" t="s">
        <v>2094</v>
      </c>
      <c r="T587" s="5">
        <v>46038.564421296294</v>
      </c>
      <c r="U587">
        <v>2</v>
      </c>
      <c r="V587" t="str">
        <f t="shared" si="79"/>
        <v>OK</v>
      </c>
      <c r="W587" t="s">
        <v>25</v>
      </c>
      <c r="Y587" t="s">
        <v>30</v>
      </c>
    </row>
    <row r="588" spans="1:25" x14ac:dyDescent="0.25">
      <c r="A588" t="s">
        <v>2095</v>
      </c>
      <c r="B588" t="str">
        <f t="shared" si="73"/>
        <v>Wengeslaus Bwilinde Kazuzuru</v>
      </c>
      <c r="C588">
        <v>128313</v>
      </c>
      <c r="D588" t="str">
        <f t="shared" si="72"/>
        <v>Unique</v>
      </c>
      <c r="E588" t="s">
        <v>1061</v>
      </c>
      <c r="F588" s="3">
        <f t="shared" si="74"/>
        <v>66</v>
      </c>
      <c r="G588" t="s">
        <v>19</v>
      </c>
      <c r="H588" t="str">
        <f t="shared" si="75"/>
        <v>Valid</v>
      </c>
      <c r="I588" t="s">
        <v>260</v>
      </c>
      <c r="J588" t="str">
        <f t="shared" si="76"/>
        <v>Kasulu</v>
      </c>
      <c r="K588" t="s">
        <v>484</v>
      </c>
      <c r="L588" t="str" cm="1">
        <f t="array" ref="L588">_xlfn.IFS(
ISNUMBER(SEARCH("ICU",K588)), "ICU",
ISNUMBER(SEARCH("NEONATAL",K588)), PROPER("NEONATAL"),
ISNUMBER(SEARCH("LABOUR",K588)), PROPER("LABOUR"),
ISNUMBER(SEARCH("PAEDIATRIC",K588)), PROPER("PAEDIATRIC"),
ISNUMBER(SEARCH("FEMALE SURGICAL",K588)), PROPER("FEMALE SURG, ORTHO &amp; GYN"),
ISNUMBER(SEARCH("PSYCHIATRIST",K588)), PROPER("PSYCHIATRIST"),
ISNUMBER(SEARCH("GRADE 1",K588)), PROPER("GRADE 1"),
ISNUMBER(SEARCH("MALE SURGICAL",K588)), PROPER("MALE SURG &amp; ORTHOPEDIC"),
ISNUMBER(SEARCH("MALE MEDICAL",K588)), PROPER("MALE MEDICAL"),
ISNUMBER(SEARCH("GRADE 2",K588)), PROPER("GRADE 2"),
ISNUMBER(SEARCH("FEMALE WARD",K588)), PROPER("FEMALE MEDICAL"),
TRUE, "Unmapped: " &amp; K588)</f>
        <v>Male Medical</v>
      </c>
      <c r="M588" t="s">
        <v>22</v>
      </c>
      <c r="O588" t="s">
        <v>2096</v>
      </c>
      <c r="P588" t="str">
        <f t="shared" si="77"/>
        <v>Text Error</v>
      </c>
      <c r="Q588" s="5">
        <v>46035.965289351851</v>
      </c>
      <c r="R588" t="str">
        <f t="shared" si="78"/>
        <v>Valid Date</v>
      </c>
      <c r="S588" t="s">
        <v>2097</v>
      </c>
      <c r="T588" s="5">
        <v>46038.639120370368</v>
      </c>
      <c r="U588">
        <v>2</v>
      </c>
      <c r="V588" t="str">
        <f t="shared" si="79"/>
        <v>OK</v>
      </c>
      <c r="W588" t="s">
        <v>25</v>
      </c>
      <c r="Y588" t="s">
        <v>30</v>
      </c>
    </row>
    <row r="589" spans="1:25" x14ac:dyDescent="0.25">
      <c r="A589" t="s">
        <v>2098</v>
      </c>
      <c r="B589" t="str">
        <f t="shared" si="73"/>
        <v>Baby Of Happy Nahitaji Ahazi</v>
      </c>
      <c r="C589">
        <v>128317</v>
      </c>
      <c r="D589" t="str">
        <f t="shared" si="72"/>
        <v>Unique</v>
      </c>
      <c r="E589" t="s">
        <v>622</v>
      </c>
      <c r="F589" s="3" t="str">
        <f t="shared" si="74"/>
        <v>2/12</v>
      </c>
      <c r="G589" t="s">
        <v>19</v>
      </c>
      <c r="H589" t="str">
        <f t="shared" si="75"/>
        <v>Valid</v>
      </c>
      <c r="I589" t="s">
        <v>33</v>
      </c>
      <c r="J589" t="str">
        <f t="shared" si="76"/>
        <v>Kigoma Ujiji Mc</v>
      </c>
      <c r="K589" t="s">
        <v>21</v>
      </c>
      <c r="L589" t="str" cm="1">
        <f t="array" ref="L589">_xlfn.IFS(
ISNUMBER(SEARCH("ICU",K589)), "ICU",
ISNUMBER(SEARCH("NEONATAL",K589)), PROPER("NEONATAL"),
ISNUMBER(SEARCH("LABOUR",K589)), PROPER("LABOUR"),
ISNUMBER(SEARCH("PAEDIATRIC",K589)), PROPER("PAEDIATRIC"),
ISNUMBER(SEARCH("FEMALE SURGICAL",K589)), PROPER("FEMALE SURG, ORTHO &amp; GYN"),
ISNUMBER(SEARCH("PSYCHIATRIST",K589)), PROPER("PSYCHIATRIST"),
ISNUMBER(SEARCH("GRADE 1",K589)), PROPER("GRADE 1"),
ISNUMBER(SEARCH("MALE SURGICAL",K589)), PROPER("MALE SURG &amp; ORTHOPEDIC"),
ISNUMBER(SEARCH("MALE MEDICAL",K589)), PROPER("MALE MEDICAL"),
ISNUMBER(SEARCH("GRADE 2",K589)), PROPER("GRADE 2"),
ISNUMBER(SEARCH("FEMALE WARD",K589)), PROPER("FEMALE MEDICAL"),
TRUE, "Unmapped: " &amp; K589)</f>
        <v>Neonatal</v>
      </c>
      <c r="M589" t="s">
        <v>22</v>
      </c>
      <c r="O589" t="s">
        <v>2099</v>
      </c>
      <c r="P589" t="str">
        <f t="shared" si="77"/>
        <v>Text Error</v>
      </c>
      <c r="Q589" s="5">
        <v>46036.16542824074</v>
      </c>
      <c r="R589" t="str">
        <f t="shared" si="78"/>
        <v>Valid Date</v>
      </c>
      <c r="S589" t="s">
        <v>2100</v>
      </c>
      <c r="T589" s="5">
        <v>46038.739594907405</v>
      </c>
      <c r="U589">
        <v>2</v>
      </c>
      <c r="V589" t="str">
        <f t="shared" si="79"/>
        <v>OK</v>
      </c>
      <c r="W589" t="s">
        <v>25</v>
      </c>
      <c r="Y589" t="s">
        <v>30</v>
      </c>
    </row>
    <row r="590" spans="1:25" x14ac:dyDescent="0.25">
      <c r="A590" t="s">
        <v>2101</v>
      </c>
      <c r="B590" t="str">
        <f t="shared" si="73"/>
        <v>Sanairer Jumbe Lameck</v>
      </c>
      <c r="C590">
        <v>128376</v>
      </c>
      <c r="D590" t="str">
        <f t="shared" si="72"/>
        <v>Unique</v>
      </c>
      <c r="E590" t="s">
        <v>622</v>
      </c>
      <c r="F590" s="3" t="str">
        <f t="shared" si="74"/>
        <v>2/12</v>
      </c>
      <c r="G590" t="s">
        <v>32</v>
      </c>
      <c r="H590" t="str">
        <f t="shared" si="75"/>
        <v>Valid</v>
      </c>
      <c r="I590" t="s">
        <v>33</v>
      </c>
      <c r="J590" t="str">
        <f t="shared" si="76"/>
        <v>Kigoma Ujiji Mc</v>
      </c>
      <c r="K590" t="s">
        <v>21</v>
      </c>
      <c r="L590" t="str" cm="1">
        <f t="array" ref="L590">_xlfn.IFS(
ISNUMBER(SEARCH("ICU",K590)), "ICU",
ISNUMBER(SEARCH("NEONATAL",K590)), PROPER("NEONATAL"),
ISNUMBER(SEARCH("LABOUR",K590)), PROPER("LABOUR"),
ISNUMBER(SEARCH("PAEDIATRIC",K590)), PROPER("PAEDIATRIC"),
ISNUMBER(SEARCH("FEMALE SURGICAL",K590)), PROPER("FEMALE SURG, ORTHO &amp; GYN"),
ISNUMBER(SEARCH("PSYCHIATRIST",K590)), PROPER("PSYCHIATRIST"),
ISNUMBER(SEARCH("GRADE 1",K590)), PROPER("GRADE 1"),
ISNUMBER(SEARCH("MALE SURGICAL",K590)), PROPER("MALE SURG &amp; ORTHOPEDIC"),
ISNUMBER(SEARCH("MALE MEDICAL",K590)), PROPER("MALE MEDICAL"),
ISNUMBER(SEARCH("GRADE 2",K590)), PROPER("GRADE 2"),
ISNUMBER(SEARCH("FEMALE WARD",K590)), PROPER("FEMALE MEDICAL"),
TRUE, "Unmapped: " &amp; K590)</f>
        <v>Neonatal</v>
      </c>
      <c r="M590" t="s">
        <v>22</v>
      </c>
      <c r="O590" t="s">
        <v>2102</v>
      </c>
      <c r="P590" t="str">
        <f t="shared" si="77"/>
        <v>Text Error</v>
      </c>
      <c r="Q590" s="5">
        <v>46036.640810185185</v>
      </c>
      <c r="R590" t="str">
        <f t="shared" si="78"/>
        <v>Valid Date</v>
      </c>
      <c r="S590" t="s">
        <v>2103</v>
      </c>
      <c r="T590" s="5">
        <v>46039.561006944445</v>
      </c>
      <c r="U590">
        <v>2</v>
      </c>
      <c r="V590" t="str">
        <f t="shared" si="79"/>
        <v>OK</v>
      </c>
      <c r="W590" t="s">
        <v>25</v>
      </c>
      <c r="Y590" t="s">
        <v>30</v>
      </c>
    </row>
    <row r="591" spans="1:25" x14ac:dyDescent="0.25">
      <c r="A591" t="s">
        <v>2104</v>
      </c>
      <c r="B591" t="str">
        <f t="shared" si="73"/>
        <v>Wiston Lukasi Emily</v>
      </c>
      <c r="C591">
        <v>49921</v>
      </c>
      <c r="D591" t="str">
        <f t="shared" si="72"/>
        <v>Unique</v>
      </c>
      <c r="E591" t="s">
        <v>646</v>
      </c>
      <c r="F591" s="3">
        <f t="shared" si="74"/>
        <v>6</v>
      </c>
      <c r="G591" t="s">
        <v>19</v>
      </c>
      <c r="H591" t="str">
        <f t="shared" si="75"/>
        <v>Valid</v>
      </c>
      <c r="I591" t="s">
        <v>62</v>
      </c>
      <c r="J591" t="str">
        <f t="shared" si="76"/>
        <v>Kigoma Vijijini</v>
      </c>
      <c r="K591" t="s">
        <v>109</v>
      </c>
      <c r="L591" t="str" cm="1">
        <f t="array" ref="L591">_xlfn.IFS(
ISNUMBER(SEARCH("ICU",K591)), "ICU",
ISNUMBER(SEARCH("NEONATAL",K591)), PROPER("NEONATAL"),
ISNUMBER(SEARCH("LABOUR",K591)), PROPER("LABOUR"),
ISNUMBER(SEARCH("PAEDIATRIC",K591)), PROPER("PAEDIATRIC"),
ISNUMBER(SEARCH("FEMALE SURGICAL",K591)), PROPER("FEMALE SURG, ORTHO &amp; GYN"),
ISNUMBER(SEARCH("PSYCHIATRIST",K591)), PROPER("PSYCHIATRIST"),
ISNUMBER(SEARCH("GRADE 1",K591)), PROPER("GRADE 1"),
ISNUMBER(SEARCH("MALE SURGICAL",K591)), PROPER("MALE SURG &amp; ORTHOPEDIC"),
ISNUMBER(SEARCH("MALE MEDICAL",K591)), PROPER("MALE MEDICAL"),
ISNUMBER(SEARCH("GRADE 2",K591)), PROPER("GRADE 2"),
ISNUMBER(SEARCH("FEMALE WARD",K591)), PROPER("FEMALE MEDICAL"),
TRUE, "Unmapped: " &amp; K591)</f>
        <v>Paediatric</v>
      </c>
      <c r="M591" t="s">
        <v>1062</v>
      </c>
      <c r="O591" t="s">
        <v>2105</v>
      </c>
      <c r="P591" t="str">
        <f t="shared" si="77"/>
        <v>Text Error</v>
      </c>
      <c r="Q591" s="5">
        <v>46036.756388888891</v>
      </c>
      <c r="R591" t="str">
        <f t="shared" si="78"/>
        <v>Valid Date</v>
      </c>
      <c r="S591" t="s">
        <v>2106</v>
      </c>
      <c r="T591" s="5">
        <v>46039.738171296296</v>
      </c>
      <c r="U591">
        <v>2</v>
      </c>
      <c r="V591" t="str">
        <f t="shared" si="79"/>
        <v>OK</v>
      </c>
      <c r="W591" t="s">
        <v>25</v>
      </c>
      <c r="Y591" t="s">
        <v>30</v>
      </c>
    </row>
    <row r="592" spans="1:25" x14ac:dyDescent="0.25">
      <c r="A592" t="s">
        <v>2107</v>
      </c>
      <c r="B592" t="str">
        <f t="shared" si="73"/>
        <v>Jeniloza Kiki Ntilema</v>
      </c>
      <c r="C592">
        <v>128472</v>
      </c>
      <c r="D592" t="str">
        <f t="shared" si="72"/>
        <v>Unique</v>
      </c>
      <c r="E592" t="s">
        <v>630</v>
      </c>
      <c r="F592" s="3">
        <f t="shared" si="74"/>
        <v>41</v>
      </c>
      <c r="G592" t="s">
        <v>32</v>
      </c>
      <c r="H592" t="str">
        <f t="shared" si="75"/>
        <v>Valid</v>
      </c>
      <c r="I592" t="s">
        <v>33</v>
      </c>
      <c r="J592" t="str">
        <f t="shared" si="76"/>
        <v>Kigoma Ujiji Mc</v>
      </c>
      <c r="K592" t="s">
        <v>40</v>
      </c>
      <c r="L592" t="str" cm="1">
        <f t="array" ref="L592">_xlfn.IFS(
ISNUMBER(SEARCH("ICU",K592)), "ICU",
ISNUMBER(SEARCH("NEONATAL",K592)), PROPER("NEONATAL"),
ISNUMBER(SEARCH("LABOUR",K592)), PROPER("LABOUR"),
ISNUMBER(SEARCH("PAEDIATRIC",K592)), PROPER("PAEDIATRIC"),
ISNUMBER(SEARCH("FEMALE SURGICAL",K592)), PROPER("FEMALE SURG, ORTHO &amp; GYN"),
ISNUMBER(SEARCH("PSYCHIATRIST",K592)), PROPER("PSYCHIATRIST"),
ISNUMBER(SEARCH("GRADE 1",K592)), PROPER("GRADE 1"),
ISNUMBER(SEARCH("MALE SURGICAL",K592)), PROPER("MALE SURG &amp; ORTHOPEDIC"),
ISNUMBER(SEARCH("MALE MEDICAL",K592)), PROPER("MALE MEDICAL"),
ISNUMBER(SEARCH("GRADE 2",K592)), PROPER("GRADE 2"),
ISNUMBER(SEARCH("FEMALE WARD",K592)), PROPER("FEMALE MEDICAL"),
TRUE, "Unmapped: " &amp; K592)</f>
        <v>Labour</v>
      </c>
      <c r="M592" t="s">
        <v>22</v>
      </c>
      <c r="O592" t="s">
        <v>2108</v>
      </c>
      <c r="P592" t="str">
        <f t="shared" si="77"/>
        <v>Text Error</v>
      </c>
      <c r="Q592" s="5">
        <v>46037.013032407405</v>
      </c>
      <c r="R592" t="str">
        <f t="shared" si="78"/>
        <v>Valid Date</v>
      </c>
      <c r="S592" t="s">
        <v>2109</v>
      </c>
      <c r="T592" s="5">
        <v>46039.764432870368</v>
      </c>
      <c r="U592">
        <v>2</v>
      </c>
      <c r="V592" t="str">
        <f t="shared" si="79"/>
        <v>OK</v>
      </c>
      <c r="W592" t="s">
        <v>25</v>
      </c>
      <c r="Y592" t="s">
        <v>30</v>
      </c>
    </row>
    <row r="593" spans="1:25" x14ac:dyDescent="0.25">
      <c r="A593" t="s">
        <v>936</v>
      </c>
      <c r="B593" t="str">
        <f t="shared" si="73"/>
        <v>Chausiku Jumanne Kasaba</v>
      </c>
      <c r="C593">
        <v>32062</v>
      </c>
      <c r="D593" t="str">
        <f t="shared" si="72"/>
        <v>Duplicate</v>
      </c>
      <c r="E593" t="s">
        <v>215</v>
      </c>
      <c r="F593" s="3">
        <f t="shared" si="74"/>
        <v>25</v>
      </c>
      <c r="G593" t="s">
        <v>32</v>
      </c>
      <c r="H593" t="str">
        <f t="shared" si="75"/>
        <v>Valid</v>
      </c>
      <c r="I593" t="s">
        <v>227</v>
      </c>
      <c r="J593" t="str">
        <f t="shared" si="76"/>
        <v>KGG</v>
      </c>
      <c r="K593" t="s">
        <v>123</v>
      </c>
      <c r="L593" t="str" cm="1">
        <f t="array" ref="L593">_xlfn.IFS(
ISNUMBER(SEARCH("ICU",K593)), "ICU",
ISNUMBER(SEARCH("NEONATAL",K593)), PROPER("NEONATAL"),
ISNUMBER(SEARCH("LABOUR",K593)), PROPER("LABOUR"),
ISNUMBER(SEARCH("PAEDIATRIC",K593)), PROPER("PAEDIATRIC"),
ISNUMBER(SEARCH("FEMALE SURGICAL",K593)), PROPER("FEMALE SURG, ORTHO &amp; GYN"),
ISNUMBER(SEARCH("PSYCHIATRIST",K593)), PROPER("PSYCHIATRIST"),
ISNUMBER(SEARCH("GRADE 1",K593)), PROPER("GRADE 1"),
ISNUMBER(SEARCH("MALE SURGICAL",K593)), PROPER("MALE SURG &amp; ORTHOPEDIC"),
ISNUMBER(SEARCH("MALE MEDICAL",K593)), PROPER("MALE MEDICAL"),
ISNUMBER(SEARCH("GRADE 2",K593)), PROPER("GRADE 2"),
ISNUMBER(SEARCH("FEMALE WARD",K593)), PROPER("FEMALE MEDICAL"),
TRUE, "Unmapped: " &amp; K593)</f>
        <v>Female Surg, Ortho &amp; Gyn</v>
      </c>
      <c r="M593" t="s">
        <v>22</v>
      </c>
      <c r="O593" t="s">
        <v>2110</v>
      </c>
      <c r="P593" t="str">
        <f t="shared" si="77"/>
        <v>Text Error</v>
      </c>
      <c r="Q593" s="5">
        <v>46037.030914351853</v>
      </c>
      <c r="R593" t="str">
        <f t="shared" si="78"/>
        <v>Valid Date</v>
      </c>
      <c r="S593" t="s">
        <v>2111</v>
      </c>
      <c r="T593" s="5">
        <v>46039.404178240744</v>
      </c>
      <c r="U593">
        <v>2</v>
      </c>
      <c r="V593" t="str">
        <f t="shared" si="79"/>
        <v>OK</v>
      </c>
      <c r="W593" t="s">
        <v>25</v>
      </c>
      <c r="Y593" t="s">
        <v>30</v>
      </c>
    </row>
    <row r="594" spans="1:25" x14ac:dyDescent="0.25">
      <c r="A594" t="s">
        <v>2112</v>
      </c>
      <c r="B594" t="str">
        <f t="shared" si="73"/>
        <v>Oscer Luhomela Mweshi</v>
      </c>
      <c r="C594">
        <v>128506</v>
      </c>
      <c r="D594" t="str">
        <f t="shared" si="72"/>
        <v>Unique</v>
      </c>
      <c r="E594" t="s">
        <v>816</v>
      </c>
      <c r="F594" s="3">
        <f t="shared" si="74"/>
        <v>63</v>
      </c>
      <c r="G594" t="s">
        <v>19</v>
      </c>
      <c r="H594" t="str">
        <f t="shared" si="75"/>
        <v>Valid</v>
      </c>
      <c r="I594" t="s">
        <v>62</v>
      </c>
      <c r="J594" t="str">
        <f t="shared" si="76"/>
        <v>Kigoma Vijijini</v>
      </c>
      <c r="K594" t="s">
        <v>484</v>
      </c>
      <c r="L594" t="str" cm="1">
        <f t="array" ref="L594">_xlfn.IFS(
ISNUMBER(SEARCH("ICU",K594)), "ICU",
ISNUMBER(SEARCH("NEONATAL",K594)), PROPER("NEONATAL"),
ISNUMBER(SEARCH("LABOUR",K594)), PROPER("LABOUR"),
ISNUMBER(SEARCH("PAEDIATRIC",K594)), PROPER("PAEDIATRIC"),
ISNUMBER(SEARCH("FEMALE SURGICAL",K594)), PROPER("FEMALE SURG, ORTHO &amp; GYN"),
ISNUMBER(SEARCH("PSYCHIATRIST",K594)), PROPER("PSYCHIATRIST"),
ISNUMBER(SEARCH("GRADE 1",K594)), PROPER("GRADE 1"),
ISNUMBER(SEARCH("MALE SURGICAL",K594)), PROPER("MALE SURG &amp; ORTHOPEDIC"),
ISNUMBER(SEARCH("MALE MEDICAL",K594)), PROPER("MALE MEDICAL"),
ISNUMBER(SEARCH("GRADE 2",K594)), PROPER("GRADE 2"),
ISNUMBER(SEARCH("FEMALE WARD",K594)), PROPER("FEMALE MEDICAL"),
TRUE, "Unmapped: " &amp; K594)</f>
        <v>Male Medical</v>
      </c>
      <c r="M594" t="s">
        <v>22</v>
      </c>
      <c r="O594" t="s">
        <v>2113</v>
      </c>
      <c r="P594" t="str">
        <f t="shared" si="77"/>
        <v>Text Error</v>
      </c>
      <c r="Q594" s="5">
        <v>46037.507893518516</v>
      </c>
      <c r="R594" t="str">
        <f t="shared" si="78"/>
        <v>Valid Date</v>
      </c>
      <c r="S594" t="s">
        <v>2114</v>
      </c>
      <c r="T594" s="5">
        <v>46039.774398148147</v>
      </c>
      <c r="U594">
        <v>2</v>
      </c>
      <c r="V594" t="str">
        <f t="shared" si="79"/>
        <v>OK</v>
      </c>
      <c r="W594" t="s">
        <v>25</v>
      </c>
      <c r="Y594" t="s">
        <v>30</v>
      </c>
    </row>
    <row r="595" spans="1:25" x14ac:dyDescent="0.25">
      <c r="A595" t="s">
        <v>2115</v>
      </c>
      <c r="B595" t="str">
        <f t="shared" si="73"/>
        <v>Kulwa Paul Ruchoronga</v>
      </c>
      <c r="C595">
        <v>128537</v>
      </c>
      <c r="D595" t="str">
        <f t="shared" si="72"/>
        <v>Unique</v>
      </c>
      <c r="E595" t="s">
        <v>374</v>
      </c>
      <c r="F595" s="3">
        <f t="shared" si="74"/>
        <v>37</v>
      </c>
      <c r="G595" t="s">
        <v>32</v>
      </c>
      <c r="H595" t="str">
        <f t="shared" si="75"/>
        <v>Valid</v>
      </c>
      <c r="I595" t="s">
        <v>20</v>
      </c>
      <c r="J595" t="str">
        <f t="shared" si="76"/>
        <v>Uvinza</v>
      </c>
      <c r="K595" t="s">
        <v>40</v>
      </c>
      <c r="L595" t="str" cm="1">
        <f t="array" ref="L595">_xlfn.IFS(
ISNUMBER(SEARCH("ICU",K595)), "ICU",
ISNUMBER(SEARCH("NEONATAL",K595)), PROPER("NEONATAL"),
ISNUMBER(SEARCH("LABOUR",K595)), PROPER("LABOUR"),
ISNUMBER(SEARCH("PAEDIATRIC",K595)), PROPER("PAEDIATRIC"),
ISNUMBER(SEARCH("FEMALE SURGICAL",K595)), PROPER("FEMALE SURG, ORTHO &amp; GYN"),
ISNUMBER(SEARCH("PSYCHIATRIST",K595)), PROPER("PSYCHIATRIST"),
ISNUMBER(SEARCH("GRADE 1",K595)), PROPER("GRADE 1"),
ISNUMBER(SEARCH("MALE SURGICAL",K595)), PROPER("MALE SURG &amp; ORTHOPEDIC"),
ISNUMBER(SEARCH("MALE MEDICAL",K595)), PROPER("MALE MEDICAL"),
ISNUMBER(SEARCH("GRADE 2",K595)), PROPER("GRADE 2"),
ISNUMBER(SEARCH("FEMALE WARD",K595)), PROPER("FEMALE MEDICAL"),
TRUE, "Unmapped: " &amp; K595)</f>
        <v>Labour</v>
      </c>
      <c r="M595" t="s">
        <v>22</v>
      </c>
      <c r="O595" t="s">
        <v>2116</v>
      </c>
      <c r="P595" t="str">
        <f t="shared" si="77"/>
        <v>Text Error</v>
      </c>
      <c r="Q595" s="5">
        <v>46037.606724537036</v>
      </c>
      <c r="R595" t="str">
        <f t="shared" si="78"/>
        <v>Valid Date</v>
      </c>
      <c r="S595" t="s">
        <v>2117</v>
      </c>
      <c r="T595" s="5">
        <v>46039.734988425924</v>
      </c>
      <c r="U595">
        <v>2</v>
      </c>
      <c r="V595" t="str">
        <f t="shared" si="79"/>
        <v>OK</v>
      </c>
      <c r="W595" t="s">
        <v>25</v>
      </c>
      <c r="Y595" t="s">
        <v>30</v>
      </c>
    </row>
    <row r="596" spans="1:25" x14ac:dyDescent="0.25">
      <c r="A596" t="s">
        <v>2065</v>
      </c>
      <c r="B596" t="str">
        <f t="shared" si="73"/>
        <v>Apolonali N Ndaluboneye</v>
      </c>
      <c r="C596">
        <v>51929</v>
      </c>
      <c r="D596" t="str">
        <f t="shared" si="72"/>
        <v>Duplicate</v>
      </c>
      <c r="E596" t="s">
        <v>353</v>
      </c>
      <c r="F596" s="3">
        <f t="shared" si="74"/>
        <v>4</v>
      </c>
      <c r="G596" t="s">
        <v>19</v>
      </c>
      <c r="H596" t="str">
        <f t="shared" si="75"/>
        <v>Valid</v>
      </c>
      <c r="I596" t="s">
        <v>227</v>
      </c>
      <c r="J596" t="str">
        <f t="shared" si="76"/>
        <v>KGG</v>
      </c>
      <c r="K596" t="s">
        <v>109</v>
      </c>
      <c r="L596" t="str" cm="1">
        <f t="array" ref="L596">_xlfn.IFS(
ISNUMBER(SEARCH("ICU",K596)), "ICU",
ISNUMBER(SEARCH("NEONATAL",K596)), PROPER("NEONATAL"),
ISNUMBER(SEARCH("LABOUR",K596)), PROPER("LABOUR"),
ISNUMBER(SEARCH("PAEDIATRIC",K596)), PROPER("PAEDIATRIC"),
ISNUMBER(SEARCH("FEMALE SURGICAL",K596)), PROPER("FEMALE SURG, ORTHO &amp; GYN"),
ISNUMBER(SEARCH("PSYCHIATRIST",K596)), PROPER("PSYCHIATRIST"),
ISNUMBER(SEARCH("GRADE 1",K596)), PROPER("GRADE 1"),
ISNUMBER(SEARCH("MALE SURGICAL",K596)), PROPER("MALE SURG &amp; ORTHOPEDIC"),
ISNUMBER(SEARCH("MALE MEDICAL",K596)), PROPER("MALE MEDICAL"),
ISNUMBER(SEARCH("GRADE 2",K596)), PROPER("GRADE 2"),
ISNUMBER(SEARCH("FEMALE WARD",K596)), PROPER("FEMALE MEDICAL"),
TRUE, "Unmapped: " &amp; K596)</f>
        <v>Paediatric</v>
      </c>
      <c r="M596" t="s">
        <v>394</v>
      </c>
      <c r="O596" t="s">
        <v>2118</v>
      </c>
      <c r="P596" t="str">
        <f t="shared" si="77"/>
        <v>Text Error</v>
      </c>
      <c r="Q596" s="5">
        <v>46037.725416666668</v>
      </c>
      <c r="R596" t="str">
        <f t="shared" si="78"/>
        <v>Valid Date</v>
      </c>
      <c r="S596" t="s">
        <v>2119</v>
      </c>
      <c r="T596" s="5">
        <v>46040.650335648148</v>
      </c>
      <c r="U596">
        <v>2</v>
      </c>
      <c r="V596" t="str">
        <f t="shared" si="79"/>
        <v>OK</v>
      </c>
      <c r="W596" t="s">
        <v>25</v>
      </c>
      <c r="Y596" t="s">
        <v>30</v>
      </c>
    </row>
    <row r="597" spans="1:25" x14ac:dyDescent="0.25">
      <c r="A597" t="s">
        <v>2121</v>
      </c>
      <c r="B597" t="str">
        <f t="shared" si="73"/>
        <v>Diana Ramadhani Paya</v>
      </c>
      <c r="C597">
        <v>128564</v>
      </c>
      <c r="D597" t="str">
        <f t="shared" si="72"/>
        <v>Unique</v>
      </c>
      <c r="E597" t="s">
        <v>758</v>
      </c>
      <c r="F597" s="3">
        <f t="shared" si="74"/>
        <v>19</v>
      </c>
      <c r="G597" t="s">
        <v>32</v>
      </c>
      <c r="H597" t="str">
        <f t="shared" si="75"/>
        <v>Valid</v>
      </c>
      <c r="I597" t="s">
        <v>260</v>
      </c>
      <c r="J597" t="str">
        <f t="shared" si="76"/>
        <v>Kasulu</v>
      </c>
      <c r="K597" t="s">
        <v>40</v>
      </c>
      <c r="L597" t="str" cm="1">
        <f t="array" ref="L597">_xlfn.IFS(
ISNUMBER(SEARCH("ICU",K597)), "ICU",
ISNUMBER(SEARCH("NEONATAL",K597)), PROPER("NEONATAL"),
ISNUMBER(SEARCH("LABOUR",K597)), PROPER("LABOUR"),
ISNUMBER(SEARCH("PAEDIATRIC",K597)), PROPER("PAEDIATRIC"),
ISNUMBER(SEARCH("FEMALE SURGICAL",K597)), PROPER("FEMALE SURG, ORTHO &amp; GYN"),
ISNUMBER(SEARCH("PSYCHIATRIST",K597)), PROPER("PSYCHIATRIST"),
ISNUMBER(SEARCH("GRADE 1",K597)), PROPER("GRADE 1"),
ISNUMBER(SEARCH("MALE SURGICAL",K597)), PROPER("MALE SURG &amp; ORTHOPEDIC"),
ISNUMBER(SEARCH("MALE MEDICAL",K597)), PROPER("MALE MEDICAL"),
ISNUMBER(SEARCH("GRADE 2",K597)), PROPER("GRADE 2"),
ISNUMBER(SEARCH("FEMALE WARD",K597)), PROPER("FEMALE MEDICAL"),
TRUE, "Unmapped: " &amp; K597)</f>
        <v>Labour</v>
      </c>
      <c r="M597" t="s">
        <v>22</v>
      </c>
      <c r="O597" t="s">
        <v>2122</v>
      </c>
      <c r="P597" t="str">
        <f t="shared" si="77"/>
        <v>Text Error</v>
      </c>
      <c r="Q597" s="5">
        <v>46037.908854166664</v>
      </c>
      <c r="R597" t="str">
        <f t="shared" si="78"/>
        <v>Valid Date</v>
      </c>
      <c r="S597" t="s">
        <v>2123</v>
      </c>
      <c r="T597" s="5">
        <v>46040.688078703701</v>
      </c>
      <c r="U597">
        <v>2</v>
      </c>
      <c r="V597" t="str">
        <f t="shared" si="79"/>
        <v>OK</v>
      </c>
      <c r="W597" t="s">
        <v>25</v>
      </c>
      <c r="Y597" t="s">
        <v>30</v>
      </c>
    </row>
    <row r="598" spans="1:25" x14ac:dyDescent="0.25">
      <c r="A598" t="s">
        <v>2124</v>
      </c>
      <c r="B598" t="str">
        <f t="shared" si="73"/>
        <v>Gibson Jeremia Merikizedeki</v>
      </c>
      <c r="C598">
        <v>128553</v>
      </c>
      <c r="D598" t="str">
        <f t="shared" si="72"/>
        <v>Unique</v>
      </c>
      <c r="E598" t="s">
        <v>296</v>
      </c>
      <c r="F598" s="3">
        <f t="shared" si="74"/>
        <v>26</v>
      </c>
      <c r="G598" t="s">
        <v>19</v>
      </c>
      <c r="H598" t="str">
        <f t="shared" si="75"/>
        <v>Valid</v>
      </c>
      <c r="I598" t="s">
        <v>62</v>
      </c>
      <c r="J598" t="str">
        <f t="shared" si="76"/>
        <v>Kigoma Vijijini</v>
      </c>
      <c r="K598" t="s">
        <v>428</v>
      </c>
      <c r="L598" t="str" cm="1">
        <f t="array" ref="L598">_xlfn.IFS(
ISNUMBER(SEARCH("ICU",K598)), "ICU",
ISNUMBER(SEARCH("NEONATAL",K598)), PROPER("NEONATAL"),
ISNUMBER(SEARCH("LABOUR",K598)), PROPER("LABOUR"),
ISNUMBER(SEARCH("PAEDIATRIC",K598)), PROPER("PAEDIATRIC"),
ISNUMBER(SEARCH("FEMALE SURGICAL",K598)), PROPER("FEMALE SURG, ORTHO &amp; GYN"),
ISNUMBER(SEARCH("PSYCHIATRIST",K598)), PROPER("PSYCHIATRIST"),
ISNUMBER(SEARCH("GRADE 1",K598)), PROPER("GRADE 1"),
ISNUMBER(SEARCH("MALE SURGICAL",K598)), PROPER("MALE SURG &amp; ORTHOPEDIC"),
ISNUMBER(SEARCH("MALE MEDICAL",K598)), PROPER("MALE MEDICAL"),
ISNUMBER(SEARCH("GRADE 2",K598)), PROPER("GRADE 2"),
ISNUMBER(SEARCH("FEMALE WARD",K598)), PROPER("FEMALE MEDICAL"),
TRUE, "Unmapped: " &amp; K598)</f>
        <v>Male Surg &amp; Orthopedic</v>
      </c>
      <c r="M598" t="s">
        <v>22</v>
      </c>
      <c r="O598" t="s">
        <v>2125</v>
      </c>
      <c r="P598" t="str">
        <f t="shared" si="77"/>
        <v>Text Error</v>
      </c>
      <c r="Q598" s="5">
        <v>46038.252256944441</v>
      </c>
      <c r="R598" t="str">
        <f t="shared" si="78"/>
        <v>Valid Date</v>
      </c>
      <c r="S598" t="s">
        <v>2126</v>
      </c>
      <c r="T598" s="5">
        <v>46040.361678240741</v>
      </c>
      <c r="U598">
        <v>2</v>
      </c>
      <c r="V598" t="str">
        <f t="shared" si="79"/>
        <v>OK</v>
      </c>
      <c r="W598" t="s">
        <v>25</v>
      </c>
      <c r="Y598" t="s">
        <v>30</v>
      </c>
    </row>
    <row r="599" spans="1:25" x14ac:dyDescent="0.25">
      <c r="A599" t="s">
        <v>2127</v>
      </c>
      <c r="B599" t="str">
        <f t="shared" si="73"/>
        <v>Maria John Madede</v>
      </c>
      <c r="C599">
        <v>128724</v>
      </c>
      <c r="D599" t="str">
        <f t="shared" si="72"/>
        <v>Unique</v>
      </c>
      <c r="E599" t="s">
        <v>147</v>
      </c>
      <c r="F599" s="3">
        <f t="shared" si="74"/>
        <v>30</v>
      </c>
      <c r="G599" t="s">
        <v>32</v>
      </c>
      <c r="H599" t="str">
        <f t="shared" si="75"/>
        <v>Valid</v>
      </c>
      <c r="I599" t="s">
        <v>20</v>
      </c>
      <c r="J599" t="str">
        <f t="shared" si="76"/>
        <v>Uvinza</v>
      </c>
      <c r="K599" t="s">
        <v>123</v>
      </c>
      <c r="L599" t="str" cm="1">
        <f t="array" ref="L599">_xlfn.IFS(
ISNUMBER(SEARCH("ICU",K599)), "ICU",
ISNUMBER(SEARCH("NEONATAL",K599)), PROPER("NEONATAL"),
ISNUMBER(SEARCH("LABOUR",K599)), PROPER("LABOUR"),
ISNUMBER(SEARCH("PAEDIATRIC",K599)), PROPER("PAEDIATRIC"),
ISNUMBER(SEARCH("FEMALE SURGICAL",K599)), PROPER("FEMALE SURG, ORTHO &amp; GYN"),
ISNUMBER(SEARCH("PSYCHIATRIST",K599)), PROPER("PSYCHIATRIST"),
ISNUMBER(SEARCH("GRADE 1",K599)), PROPER("GRADE 1"),
ISNUMBER(SEARCH("MALE SURGICAL",K599)), PROPER("MALE SURG &amp; ORTHOPEDIC"),
ISNUMBER(SEARCH("MALE MEDICAL",K599)), PROPER("MALE MEDICAL"),
ISNUMBER(SEARCH("GRADE 2",K599)), PROPER("GRADE 2"),
ISNUMBER(SEARCH("FEMALE WARD",K599)), PROPER("FEMALE MEDICAL"),
TRUE, "Unmapped: " &amp; K599)</f>
        <v>Female Surg, Ortho &amp; Gyn</v>
      </c>
      <c r="M599" t="s">
        <v>22</v>
      </c>
      <c r="O599" t="s">
        <v>2128</v>
      </c>
      <c r="P599" t="str">
        <f t="shared" si="77"/>
        <v>Text Error</v>
      </c>
      <c r="Q599" s="5">
        <v>46039.596909722219</v>
      </c>
      <c r="R599" t="str">
        <f t="shared" si="78"/>
        <v>Valid Date</v>
      </c>
      <c r="S599" t="s">
        <v>2129</v>
      </c>
      <c r="T599" s="5">
        <v>46041.757002314815</v>
      </c>
      <c r="U599">
        <v>2</v>
      </c>
      <c r="V599" t="str">
        <f t="shared" si="79"/>
        <v>OK</v>
      </c>
      <c r="W599" t="s">
        <v>112</v>
      </c>
      <c r="Y599" t="s">
        <v>30</v>
      </c>
    </row>
    <row r="600" spans="1:25" x14ac:dyDescent="0.25">
      <c r="A600" t="s">
        <v>2130</v>
      </c>
      <c r="B600" t="str">
        <f t="shared" si="73"/>
        <v>Joseph Anglibert Kalabashinze</v>
      </c>
      <c r="C600">
        <v>128716</v>
      </c>
      <c r="D600" t="str">
        <f t="shared" si="72"/>
        <v>Unique</v>
      </c>
      <c r="E600" t="s">
        <v>450</v>
      </c>
      <c r="F600" s="3">
        <f t="shared" si="74"/>
        <v>45</v>
      </c>
      <c r="G600" t="s">
        <v>19</v>
      </c>
      <c r="H600" t="str">
        <f t="shared" si="75"/>
        <v>Valid</v>
      </c>
      <c r="I600" t="s">
        <v>33</v>
      </c>
      <c r="J600" t="str">
        <f t="shared" si="76"/>
        <v>Kigoma Ujiji Mc</v>
      </c>
      <c r="K600" t="s">
        <v>428</v>
      </c>
      <c r="L600" t="str" cm="1">
        <f t="array" ref="L600">_xlfn.IFS(
ISNUMBER(SEARCH("ICU",K600)), "ICU",
ISNUMBER(SEARCH("NEONATAL",K600)), PROPER("NEONATAL"),
ISNUMBER(SEARCH("LABOUR",K600)), PROPER("LABOUR"),
ISNUMBER(SEARCH("PAEDIATRIC",K600)), PROPER("PAEDIATRIC"),
ISNUMBER(SEARCH("FEMALE SURGICAL",K600)), PROPER("FEMALE SURG, ORTHO &amp; GYN"),
ISNUMBER(SEARCH("PSYCHIATRIST",K600)), PROPER("PSYCHIATRIST"),
ISNUMBER(SEARCH("GRADE 1",K600)), PROPER("GRADE 1"),
ISNUMBER(SEARCH("MALE SURGICAL",K600)), PROPER("MALE SURG &amp; ORTHOPEDIC"),
ISNUMBER(SEARCH("MALE MEDICAL",K600)), PROPER("MALE MEDICAL"),
ISNUMBER(SEARCH("GRADE 2",K600)), PROPER("GRADE 2"),
ISNUMBER(SEARCH("FEMALE WARD",K600)), PROPER("FEMALE MEDICAL"),
TRUE, "Unmapped: " &amp; K600)</f>
        <v>Male Surg &amp; Orthopedic</v>
      </c>
      <c r="M600" t="s">
        <v>22</v>
      </c>
      <c r="O600" t="s">
        <v>2131</v>
      </c>
      <c r="P600" t="str">
        <f t="shared" si="77"/>
        <v>Text Error</v>
      </c>
      <c r="Q600" s="5">
        <v>46039.643229166664</v>
      </c>
      <c r="R600" t="str">
        <f t="shared" si="78"/>
        <v>Valid Date</v>
      </c>
      <c r="S600" t="s">
        <v>2132</v>
      </c>
      <c r="T600" s="5">
        <v>46041.682326388887</v>
      </c>
      <c r="U600">
        <v>2</v>
      </c>
      <c r="V600" t="str">
        <f t="shared" si="79"/>
        <v>OK</v>
      </c>
      <c r="W600" t="s">
        <v>112</v>
      </c>
      <c r="Y600" t="s">
        <v>30</v>
      </c>
    </row>
    <row r="601" spans="1:25" x14ac:dyDescent="0.25">
      <c r="A601" t="s">
        <v>2133</v>
      </c>
      <c r="B601" t="str">
        <f t="shared" si="73"/>
        <v>Asia Kanoni Ismail</v>
      </c>
      <c r="C601">
        <v>128718</v>
      </c>
      <c r="D601" t="str">
        <f t="shared" si="72"/>
        <v>Unique</v>
      </c>
      <c r="E601" t="s">
        <v>1992</v>
      </c>
      <c r="F601" s="3">
        <f t="shared" si="74"/>
        <v>13</v>
      </c>
      <c r="G601" t="s">
        <v>32</v>
      </c>
      <c r="H601" t="str">
        <f t="shared" si="75"/>
        <v>Valid</v>
      </c>
      <c r="I601" t="s">
        <v>20</v>
      </c>
      <c r="J601" t="str">
        <f t="shared" si="76"/>
        <v>Uvinza</v>
      </c>
      <c r="K601" t="s">
        <v>700</v>
      </c>
      <c r="L601" t="str" cm="1">
        <f t="array" ref="L601">_xlfn.IFS(
ISNUMBER(SEARCH("ICU",K601)), "ICU",
ISNUMBER(SEARCH("NEONATAL",K601)), PROPER("NEONATAL"),
ISNUMBER(SEARCH("LABOUR",K601)), PROPER("LABOUR"),
ISNUMBER(SEARCH("PAEDIATRIC",K601)), PROPER("PAEDIATRIC"),
ISNUMBER(SEARCH("FEMALE SURGICAL",K601)), PROPER("FEMALE SURG, ORTHO &amp; GYN"),
ISNUMBER(SEARCH("PSYCHIATRIST",K601)), PROPER("PSYCHIATRIST"),
ISNUMBER(SEARCH("GRADE 1",K601)), PROPER("GRADE 1"),
ISNUMBER(SEARCH("MALE SURGICAL",K601)), PROPER("MALE SURG &amp; ORTHOPEDIC"),
ISNUMBER(SEARCH("MALE MEDICAL",K601)), PROPER("MALE MEDICAL"),
ISNUMBER(SEARCH("GRADE 2",K601)), PROPER("GRADE 2"),
ISNUMBER(SEARCH("FEMALE WARD",K601)), PROPER("FEMALE MEDICAL"),
TRUE, "Unmapped: " &amp; K601)</f>
        <v>Female Medical</v>
      </c>
      <c r="M601" t="s">
        <v>22</v>
      </c>
      <c r="O601" t="s">
        <v>2134</v>
      </c>
      <c r="P601" t="str">
        <f t="shared" si="77"/>
        <v>Text Error</v>
      </c>
      <c r="Q601" s="5">
        <v>46039.660324074073</v>
      </c>
      <c r="R601" t="str">
        <f t="shared" si="78"/>
        <v>Valid Date</v>
      </c>
      <c r="S601" t="s">
        <v>2135</v>
      </c>
      <c r="T601" s="5">
        <v>46041.743587962963</v>
      </c>
      <c r="U601">
        <v>2</v>
      </c>
      <c r="V601" t="str">
        <f t="shared" si="79"/>
        <v>OK</v>
      </c>
      <c r="W601" t="s">
        <v>25</v>
      </c>
      <c r="Y601" t="s">
        <v>30</v>
      </c>
    </row>
    <row r="602" spans="1:25" x14ac:dyDescent="0.25">
      <c r="A602" t="s">
        <v>2136</v>
      </c>
      <c r="B602" t="str">
        <f t="shared" si="73"/>
        <v>Mada Hassan Halfani</v>
      </c>
      <c r="C602">
        <v>128723</v>
      </c>
      <c r="D602" t="str">
        <f t="shared" si="72"/>
        <v>Unique</v>
      </c>
      <c r="E602" t="s">
        <v>147</v>
      </c>
      <c r="F602" s="3">
        <f t="shared" si="74"/>
        <v>30</v>
      </c>
      <c r="G602" t="s">
        <v>32</v>
      </c>
      <c r="H602" t="str">
        <f t="shared" si="75"/>
        <v>Valid</v>
      </c>
      <c r="I602" t="s">
        <v>33</v>
      </c>
      <c r="J602" t="str">
        <f t="shared" si="76"/>
        <v>Kigoma Ujiji Mc</v>
      </c>
      <c r="K602" t="s">
        <v>40</v>
      </c>
      <c r="L602" t="str" cm="1">
        <f t="array" ref="L602">_xlfn.IFS(
ISNUMBER(SEARCH("ICU",K602)), "ICU",
ISNUMBER(SEARCH("NEONATAL",K602)), PROPER("NEONATAL"),
ISNUMBER(SEARCH("LABOUR",K602)), PROPER("LABOUR"),
ISNUMBER(SEARCH("PAEDIATRIC",K602)), PROPER("PAEDIATRIC"),
ISNUMBER(SEARCH("FEMALE SURGICAL",K602)), PROPER("FEMALE SURG, ORTHO &amp; GYN"),
ISNUMBER(SEARCH("PSYCHIATRIST",K602)), PROPER("PSYCHIATRIST"),
ISNUMBER(SEARCH("GRADE 1",K602)), PROPER("GRADE 1"),
ISNUMBER(SEARCH("MALE SURGICAL",K602)), PROPER("MALE SURG &amp; ORTHOPEDIC"),
ISNUMBER(SEARCH("MALE MEDICAL",K602)), PROPER("MALE MEDICAL"),
ISNUMBER(SEARCH("GRADE 2",K602)), PROPER("GRADE 2"),
ISNUMBER(SEARCH("FEMALE WARD",K602)), PROPER("FEMALE MEDICAL"),
TRUE, "Unmapped: " &amp; K602)</f>
        <v>Labour</v>
      </c>
      <c r="M602" t="s">
        <v>22</v>
      </c>
      <c r="O602" t="s">
        <v>2137</v>
      </c>
      <c r="P602" t="str">
        <f t="shared" si="77"/>
        <v>Text Error</v>
      </c>
      <c r="Q602" s="5">
        <v>46039.697060185186</v>
      </c>
      <c r="R602" t="str">
        <f t="shared" si="78"/>
        <v>Valid Date</v>
      </c>
      <c r="S602" t="s">
        <v>2138</v>
      </c>
      <c r="T602" s="5">
        <v>46042.569328703707</v>
      </c>
      <c r="U602">
        <v>2</v>
      </c>
      <c r="V602" t="str">
        <f t="shared" si="79"/>
        <v>OK</v>
      </c>
      <c r="W602" t="s">
        <v>25</v>
      </c>
      <c r="Y602" t="s">
        <v>30</v>
      </c>
    </row>
    <row r="603" spans="1:25" x14ac:dyDescent="0.25">
      <c r="A603" t="s">
        <v>2139</v>
      </c>
      <c r="B603" t="str">
        <f t="shared" si="73"/>
        <v>Fatuma Mustafa Bagamika</v>
      </c>
      <c r="C603">
        <v>128758</v>
      </c>
      <c r="D603" t="str">
        <f t="shared" si="72"/>
        <v>Unique</v>
      </c>
      <c r="E603" t="s">
        <v>147</v>
      </c>
      <c r="F603" s="3">
        <f t="shared" si="74"/>
        <v>30</v>
      </c>
      <c r="G603" t="s">
        <v>32</v>
      </c>
      <c r="H603" t="str">
        <f t="shared" si="75"/>
        <v>Valid</v>
      </c>
      <c r="I603" t="s">
        <v>62</v>
      </c>
      <c r="J603" t="str">
        <f t="shared" si="76"/>
        <v>Kigoma Vijijini</v>
      </c>
      <c r="K603" t="s">
        <v>40</v>
      </c>
      <c r="L603" t="str" cm="1">
        <f t="array" ref="L603">_xlfn.IFS(
ISNUMBER(SEARCH("ICU",K603)), "ICU",
ISNUMBER(SEARCH("NEONATAL",K603)), PROPER("NEONATAL"),
ISNUMBER(SEARCH("LABOUR",K603)), PROPER("LABOUR"),
ISNUMBER(SEARCH("PAEDIATRIC",K603)), PROPER("PAEDIATRIC"),
ISNUMBER(SEARCH("FEMALE SURGICAL",K603)), PROPER("FEMALE SURG, ORTHO &amp; GYN"),
ISNUMBER(SEARCH("PSYCHIATRIST",K603)), PROPER("PSYCHIATRIST"),
ISNUMBER(SEARCH("GRADE 1",K603)), PROPER("GRADE 1"),
ISNUMBER(SEARCH("MALE SURGICAL",K603)), PROPER("MALE SURG &amp; ORTHOPEDIC"),
ISNUMBER(SEARCH("MALE MEDICAL",K603)), PROPER("MALE MEDICAL"),
ISNUMBER(SEARCH("GRADE 2",K603)), PROPER("GRADE 2"),
ISNUMBER(SEARCH("FEMALE WARD",K603)), PROPER("FEMALE MEDICAL"),
TRUE, "Unmapped: " &amp; K603)</f>
        <v>Labour</v>
      </c>
      <c r="M603" t="s">
        <v>22</v>
      </c>
      <c r="O603" t="s">
        <v>2140</v>
      </c>
      <c r="P603" t="str">
        <f t="shared" si="77"/>
        <v>Text Error</v>
      </c>
      <c r="Q603" s="5">
        <v>46040.443888888891</v>
      </c>
      <c r="R603" t="str">
        <f t="shared" si="78"/>
        <v>Valid Date</v>
      </c>
      <c r="S603" t="s">
        <v>2141</v>
      </c>
      <c r="T603" s="5">
        <v>46042.604166666664</v>
      </c>
      <c r="U603">
        <v>2</v>
      </c>
      <c r="V603" t="str">
        <f t="shared" si="79"/>
        <v>OK</v>
      </c>
      <c r="W603" t="s">
        <v>25</v>
      </c>
      <c r="Y603" t="s">
        <v>30</v>
      </c>
    </row>
    <row r="604" spans="1:25" x14ac:dyDescent="0.25">
      <c r="A604" t="s">
        <v>2142</v>
      </c>
      <c r="B604" t="str">
        <f t="shared" si="73"/>
        <v>Stella Aron Mwasipaja</v>
      </c>
      <c r="C604">
        <v>111886</v>
      </c>
      <c r="D604" t="str">
        <f t="shared" si="72"/>
        <v>Unique</v>
      </c>
      <c r="E604" t="s">
        <v>296</v>
      </c>
      <c r="F604" s="3">
        <f t="shared" si="74"/>
        <v>26</v>
      </c>
      <c r="G604" t="s">
        <v>32</v>
      </c>
      <c r="H604" t="str">
        <f t="shared" si="75"/>
        <v>Valid</v>
      </c>
      <c r="I604" t="s">
        <v>33</v>
      </c>
      <c r="J604" t="str">
        <f t="shared" si="76"/>
        <v>Kigoma Ujiji Mc</v>
      </c>
      <c r="K604" t="s">
        <v>393</v>
      </c>
      <c r="L604" t="str" cm="1">
        <f t="array" ref="L604">_xlfn.IFS(
ISNUMBER(SEARCH("ICU",K604)), "ICU",
ISNUMBER(SEARCH("NEONATAL",K604)), PROPER("NEONATAL"),
ISNUMBER(SEARCH("LABOUR",K604)), PROPER("LABOUR"),
ISNUMBER(SEARCH("PAEDIATRIC",K604)), PROPER("PAEDIATRIC"),
ISNUMBER(SEARCH("FEMALE SURGICAL",K604)), PROPER("FEMALE SURG, ORTHO &amp; GYN"),
ISNUMBER(SEARCH("PSYCHIATRIST",K604)), PROPER("PSYCHIATRIST"),
ISNUMBER(SEARCH("GRADE 1",K604)), PROPER("GRADE 1"),
ISNUMBER(SEARCH("MALE SURGICAL",K604)), PROPER("MALE SURG &amp; ORTHOPEDIC"),
ISNUMBER(SEARCH("MALE MEDICAL",K604)), PROPER("MALE MEDICAL"),
ISNUMBER(SEARCH("GRADE 2",K604)), PROPER("GRADE 2"),
ISNUMBER(SEARCH("FEMALE WARD",K604)), PROPER("FEMALE MEDICAL"),
TRUE, "Unmapped: " &amp; K604)</f>
        <v>Grade 1</v>
      </c>
      <c r="M604" t="s">
        <v>394</v>
      </c>
      <c r="O604" t="s">
        <v>2143</v>
      </c>
      <c r="P604" t="str">
        <f t="shared" si="77"/>
        <v>Text Error</v>
      </c>
      <c r="Q604" s="5">
        <v>46040.605173611111</v>
      </c>
      <c r="R604" t="str">
        <f t="shared" si="78"/>
        <v>Valid Date</v>
      </c>
      <c r="S604" t="s">
        <v>2144</v>
      </c>
      <c r="T604" s="5">
        <v>46043.391446759262</v>
      </c>
      <c r="U604">
        <v>2</v>
      </c>
      <c r="V604" t="str">
        <f t="shared" si="79"/>
        <v>OK</v>
      </c>
      <c r="W604" t="s">
        <v>25</v>
      </c>
      <c r="Y604" t="s">
        <v>30</v>
      </c>
    </row>
    <row r="605" spans="1:25" x14ac:dyDescent="0.25">
      <c r="A605" t="s">
        <v>2145</v>
      </c>
      <c r="B605" t="str">
        <f t="shared" si="73"/>
        <v>Ayman J Mghase</v>
      </c>
      <c r="C605">
        <v>63979</v>
      </c>
      <c r="D605" t="str">
        <f t="shared" si="72"/>
        <v>Unique</v>
      </c>
      <c r="E605" t="s">
        <v>454</v>
      </c>
      <c r="F605" s="3">
        <f t="shared" si="74"/>
        <v>3</v>
      </c>
      <c r="G605" t="s">
        <v>19</v>
      </c>
      <c r="H605" t="str">
        <f t="shared" si="75"/>
        <v>Valid</v>
      </c>
      <c r="I605" t="s">
        <v>227</v>
      </c>
      <c r="J605" t="str">
        <f t="shared" si="76"/>
        <v>KGG</v>
      </c>
      <c r="K605" t="s">
        <v>109</v>
      </c>
      <c r="L605" t="str" cm="1">
        <f t="array" ref="L605">_xlfn.IFS(
ISNUMBER(SEARCH("ICU",K605)), "ICU",
ISNUMBER(SEARCH("NEONATAL",K605)), PROPER("NEONATAL"),
ISNUMBER(SEARCH("LABOUR",K605)), PROPER("LABOUR"),
ISNUMBER(SEARCH("PAEDIATRIC",K605)), PROPER("PAEDIATRIC"),
ISNUMBER(SEARCH("FEMALE SURGICAL",K605)), PROPER("FEMALE SURG, ORTHO &amp; GYN"),
ISNUMBER(SEARCH("PSYCHIATRIST",K605)), PROPER("PSYCHIATRIST"),
ISNUMBER(SEARCH("GRADE 1",K605)), PROPER("GRADE 1"),
ISNUMBER(SEARCH("MALE SURGICAL",K605)), PROPER("MALE SURG &amp; ORTHOPEDIC"),
ISNUMBER(SEARCH("MALE MEDICAL",K605)), PROPER("MALE MEDICAL"),
ISNUMBER(SEARCH("GRADE 2",K605)), PROPER("GRADE 2"),
ISNUMBER(SEARCH("FEMALE WARD",K605)), PROPER("FEMALE MEDICAL"),
TRUE, "Unmapped: " &amp; K605)</f>
        <v>Paediatric</v>
      </c>
      <c r="M605" t="s">
        <v>394</v>
      </c>
      <c r="O605" t="s">
        <v>2146</v>
      </c>
      <c r="P605" t="str">
        <f t="shared" si="77"/>
        <v>Text Error</v>
      </c>
      <c r="Q605" s="5">
        <v>46040.636655092596</v>
      </c>
      <c r="R605" t="str">
        <f t="shared" si="78"/>
        <v>Valid Date</v>
      </c>
      <c r="S605" t="s">
        <v>2147</v>
      </c>
      <c r="T605" s="5">
        <v>46042.777245370373</v>
      </c>
      <c r="U605">
        <v>2</v>
      </c>
      <c r="V605" t="str">
        <f t="shared" si="79"/>
        <v>OK</v>
      </c>
      <c r="W605" t="s">
        <v>25</v>
      </c>
      <c r="Y605" t="s">
        <v>30</v>
      </c>
    </row>
    <row r="606" spans="1:25" x14ac:dyDescent="0.25">
      <c r="A606" t="s">
        <v>2148</v>
      </c>
      <c r="B606" t="str">
        <f t="shared" si="73"/>
        <v>Daniel T Nawera</v>
      </c>
      <c r="C606">
        <v>128252</v>
      </c>
      <c r="D606" t="str">
        <f t="shared" si="72"/>
        <v>Unique</v>
      </c>
      <c r="E606" t="s">
        <v>181</v>
      </c>
      <c r="F606" s="3">
        <f t="shared" si="74"/>
        <v>7</v>
      </c>
      <c r="G606" t="s">
        <v>19</v>
      </c>
      <c r="H606" t="str">
        <f t="shared" si="75"/>
        <v>Valid</v>
      </c>
      <c r="I606" t="s">
        <v>62</v>
      </c>
      <c r="J606" t="str">
        <f t="shared" si="76"/>
        <v>Kigoma Vijijini</v>
      </c>
      <c r="K606" t="s">
        <v>393</v>
      </c>
      <c r="L606" t="str" cm="1">
        <f t="array" ref="L606">_xlfn.IFS(
ISNUMBER(SEARCH("ICU",K606)), "ICU",
ISNUMBER(SEARCH("NEONATAL",K606)), PROPER("NEONATAL"),
ISNUMBER(SEARCH("LABOUR",K606)), PROPER("LABOUR"),
ISNUMBER(SEARCH("PAEDIATRIC",K606)), PROPER("PAEDIATRIC"),
ISNUMBER(SEARCH("FEMALE SURGICAL",K606)), PROPER("FEMALE SURG, ORTHO &amp; GYN"),
ISNUMBER(SEARCH("PSYCHIATRIST",K606)), PROPER("PSYCHIATRIST"),
ISNUMBER(SEARCH("GRADE 1",K606)), PROPER("GRADE 1"),
ISNUMBER(SEARCH("MALE SURGICAL",K606)), PROPER("MALE SURG &amp; ORTHOPEDIC"),
ISNUMBER(SEARCH("MALE MEDICAL",K606)), PROPER("MALE MEDICAL"),
ISNUMBER(SEARCH("GRADE 2",K606)), PROPER("GRADE 2"),
ISNUMBER(SEARCH("FEMALE WARD",K606)), PROPER("FEMALE MEDICAL"),
TRUE, "Unmapped: " &amp; K606)</f>
        <v>Grade 1</v>
      </c>
      <c r="M606" t="s">
        <v>394</v>
      </c>
      <c r="O606" t="s">
        <v>2149</v>
      </c>
      <c r="P606" t="str">
        <f t="shared" si="77"/>
        <v>Text Error</v>
      </c>
      <c r="Q606" s="5">
        <v>46040.697060185186</v>
      </c>
      <c r="R606" t="str">
        <f t="shared" si="78"/>
        <v>Valid Date</v>
      </c>
      <c r="S606" t="s">
        <v>2150</v>
      </c>
      <c r="T606" s="5">
        <v>46043.637511574074</v>
      </c>
      <c r="U606">
        <v>2</v>
      </c>
      <c r="V606" t="str">
        <f t="shared" si="79"/>
        <v>OK</v>
      </c>
      <c r="W606" t="s">
        <v>25</v>
      </c>
      <c r="Y606" t="s">
        <v>30</v>
      </c>
    </row>
    <row r="607" spans="1:25" x14ac:dyDescent="0.25">
      <c r="A607" t="s">
        <v>2151</v>
      </c>
      <c r="B607" t="str">
        <f t="shared" si="73"/>
        <v>Aisha Mustafa Athuman</v>
      </c>
      <c r="C607">
        <v>70335</v>
      </c>
      <c r="D607" t="str">
        <f t="shared" si="72"/>
        <v>Unique</v>
      </c>
      <c r="E607" t="s">
        <v>39</v>
      </c>
      <c r="F607" s="3">
        <f t="shared" si="74"/>
        <v>33</v>
      </c>
      <c r="G607" t="s">
        <v>32</v>
      </c>
      <c r="H607" t="str">
        <f t="shared" si="75"/>
        <v>Valid</v>
      </c>
      <c r="I607" t="s">
        <v>227</v>
      </c>
      <c r="J607" t="str">
        <f t="shared" si="76"/>
        <v>KGG</v>
      </c>
      <c r="K607" t="s">
        <v>40</v>
      </c>
      <c r="L607" t="str" cm="1">
        <f t="array" ref="L607">_xlfn.IFS(
ISNUMBER(SEARCH("ICU",K607)), "ICU",
ISNUMBER(SEARCH("NEONATAL",K607)), PROPER("NEONATAL"),
ISNUMBER(SEARCH("LABOUR",K607)), PROPER("LABOUR"),
ISNUMBER(SEARCH("PAEDIATRIC",K607)), PROPER("PAEDIATRIC"),
ISNUMBER(SEARCH("FEMALE SURGICAL",K607)), PROPER("FEMALE SURG, ORTHO &amp; GYN"),
ISNUMBER(SEARCH("PSYCHIATRIST",K607)), PROPER("PSYCHIATRIST"),
ISNUMBER(SEARCH("GRADE 1",K607)), PROPER("GRADE 1"),
ISNUMBER(SEARCH("MALE SURGICAL",K607)), PROPER("MALE SURG &amp; ORTHOPEDIC"),
ISNUMBER(SEARCH("MALE MEDICAL",K607)), PROPER("MALE MEDICAL"),
ISNUMBER(SEARCH("GRADE 2",K607)), PROPER("GRADE 2"),
ISNUMBER(SEARCH("FEMALE WARD",K607)), PROPER("FEMALE MEDICAL"),
TRUE, "Unmapped: " &amp; K607)</f>
        <v>Labour</v>
      </c>
      <c r="M607" t="s">
        <v>22</v>
      </c>
      <c r="O607" t="s">
        <v>2152</v>
      </c>
      <c r="P607" t="str">
        <f t="shared" si="77"/>
        <v>Text Error</v>
      </c>
      <c r="Q607" s="5">
        <v>46041.118495370371</v>
      </c>
      <c r="R607" t="str">
        <f t="shared" si="78"/>
        <v>Valid Date</v>
      </c>
      <c r="S607" t="s">
        <v>2153</v>
      </c>
      <c r="T607" s="5">
        <v>46043.748506944445</v>
      </c>
      <c r="U607">
        <v>2</v>
      </c>
      <c r="V607" t="str">
        <f t="shared" si="79"/>
        <v>OK</v>
      </c>
      <c r="W607" t="s">
        <v>25</v>
      </c>
      <c r="Y607" t="s">
        <v>30</v>
      </c>
    </row>
    <row r="608" spans="1:25" x14ac:dyDescent="0.25">
      <c r="A608" t="s">
        <v>2154</v>
      </c>
      <c r="B608" t="str">
        <f t="shared" si="73"/>
        <v>Ali Ahmed Bakar</v>
      </c>
      <c r="C608">
        <v>46121</v>
      </c>
      <c r="D608" t="str">
        <f t="shared" si="72"/>
        <v>Unique</v>
      </c>
      <c r="E608" t="s">
        <v>315</v>
      </c>
      <c r="F608" s="3">
        <f t="shared" si="74"/>
        <v>31</v>
      </c>
      <c r="G608" t="s">
        <v>19</v>
      </c>
      <c r="H608" t="str">
        <f t="shared" si="75"/>
        <v>Valid</v>
      </c>
      <c r="I608" t="s">
        <v>227</v>
      </c>
      <c r="J608" t="str">
        <f t="shared" si="76"/>
        <v>KGG</v>
      </c>
      <c r="K608" t="s">
        <v>685</v>
      </c>
      <c r="L608" t="str" cm="1">
        <f t="array" ref="L608">_xlfn.IFS(
ISNUMBER(SEARCH("ICU",K608)), "ICU",
ISNUMBER(SEARCH("NEONATAL",K608)), PROPER("NEONATAL"),
ISNUMBER(SEARCH("LABOUR",K608)), PROPER("LABOUR"),
ISNUMBER(SEARCH("PAEDIATRIC",K608)), PROPER("PAEDIATRIC"),
ISNUMBER(SEARCH("FEMALE SURGICAL",K608)), PROPER("FEMALE SURG, ORTHO &amp; GYN"),
ISNUMBER(SEARCH("PSYCHIATRIST",K608)), PROPER("PSYCHIATRIST"),
ISNUMBER(SEARCH("GRADE 1",K608)), PROPER("GRADE 1"),
ISNUMBER(SEARCH("MALE SURGICAL",K608)), PROPER("MALE SURG &amp; ORTHOPEDIC"),
ISNUMBER(SEARCH("MALE MEDICAL",K608)), PROPER("MALE MEDICAL"),
ISNUMBER(SEARCH("GRADE 2",K608)), PROPER("GRADE 2"),
ISNUMBER(SEARCH("FEMALE WARD",K608)), PROPER("FEMALE MEDICAL"),
TRUE, "Unmapped: " &amp; K608)</f>
        <v>Grade 2</v>
      </c>
      <c r="M608" t="s">
        <v>394</v>
      </c>
      <c r="O608" t="s">
        <v>2155</v>
      </c>
      <c r="P608" t="str">
        <f t="shared" si="77"/>
        <v>Text Error</v>
      </c>
      <c r="Q608" s="5">
        <v>46041.558159722219</v>
      </c>
      <c r="R608" t="str">
        <f t="shared" si="78"/>
        <v>Valid Date</v>
      </c>
      <c r="S608" t="s">
        <v>2156</v>
      </c>
      <c r="T608" s="5">
        <v>46043.578067129631</v>
      </c>
      <c r="U608">
        <v>2</v>
      </c>
      <c r="V608" t="str">
        <f t="shared" si="79"/>
        <v>OK</v>
      </c>
      <c r="W608" t="s">
        <v>25</v>
      </c>
      <c r="Y608" t="s">
        <v>30</v>
      </c>
    </row>
    <row r="609" spans="1:25" x14ac:dyDescent="0.25">
      <c r="A609" t="s">
        <v>2158</v>
      </c>
      <c r="B609" t="str">
        <f t="shared" si="73"/>
        <v>Faustina Anania Makwasha</v>
      </c>
      <c r="C609">
        <v>128913</v>
      </c>
      <c r="D609" t="str">
        <f t="shared" si="72"/>
        <v>Unique</v>
      </c>
      <c r="E609" t="s">
        <v>138</v>
      </c>
      <c r="F609" s="3">
        <f t="shared" si="74"/>
        <v>18</v>
      </c>
      <c r="G609" t="s">
        <v>32</v>
      </c>
      <c r="H609" t="str">
        <f t="shared" si="75"/>
        <v>Valid</v>
      </c>
      <c r="I609" t="s">
        <v>33</v>
      </c>
      <c r="J609" t="str">
        <f t="shared" si="76"/>
        <v>Kigoma Ujiji Mc</v>
      </c>
      <c r="K609" t="s">
        <v>700</v>
      </c>
      <c r="L609" t="str" cm="1">
        <f t="array" ref="L609">_xlfn.IFS(
ISNUMBER(SEARCH("ICU",K609)), "ICU",
ISNUMBER(SEARCH("NEONATAL",K609)), PROPER("NEONATAL"),
ISNUMBER(SEARCH("LABOUR",K609)), PROPER("LABOUR"),
ISNUMBER(SEARCH("PAEDIATRIC",K609)), PROPER("PAEDIATRIC"),
ISNUMBER(SEARCH("FEMALE SURGICAL",K609)), PROPER("FEMALE SURG, ORTHO &amp; GYN"),
ISNUMBER(SEARCH("PSYCHIATRIST",K609)), PROPER("PSYCHIATRIST"),
ISNUMBER(SEARCH("GRADE 1",K609)), PROPER("GRADE 1"),
ISNUMBER(SEARCH("MALE SURGICAL",K609)), PROPER("MALE SURG &amp; ORTHOPEDIC"),
ISNUMBER(SEARCH("MALE MEDICAL",K609)), PROPER("MALE MEDICAL"),
ISNUMBER(SEARCH("GRADE 2",K609)), PROPER("GRADE 2"),
ISNUMBER(SEARCH("FEMALE WARD",K609)), PROPER("FEMALE MEDICAL"),
TRUE, "Unmapped: " &amp; K609)</f>
        <v>Female Medical</v>
      </c>
      <c r="M609" t="s">
        <v>22</v>
      </c>
      <c r="O609" t="s">
        <v>2159</v>
      </c>
      <c r="P609" t="str">
        <f t="shared" si="77"/>
        <v>Text Error</v>
      </c>
      <c r="Q609" s="5">
        <v>46041.902002314811</v>
      </c>
      <c r="R609" t="str">
        <f t="shared" si="78"/>
        <v>Valid Date</v>
      </c>
      <c r="S609" t="s">
        <v>2160</v>
      </c>
      <c r="T609" s="5">
        <v>46044.752534722225</v>
      </c>
      <c r="U609">
        <v>2</v>
      </c>
      <c r="V609" t="str">
        <f t="shared" si="79"/>
        <v>OK</v>
      </c>
      <c r="W609" t="s">
        <v>25</v>
      </c>
      <c r="Y609" t="s">
        <v>30</v>
      </c>
    </row>
    <row r="610" spans="1:25" x14ac:dyDescent="0.25">
      <c r="A610" t="s">
        <v>2161</v>
      </c>
      <c r="B610" t="str">
        <f t="shared" si="73"/>
        <v>Baby Of Zainabu Jumanne Yasini</v>
      </c>
      <c r="C610">
        <v>128959</v>
      </c>
      <c r="D610" t="str">
        <f t="shared" si="72"/>
        <v>Unique</v>
      </c>
      <c r="E610" t="s">
        <v>622</v>
      </c>
      <c r="F610" s="3" t="str">
        <f t="shared" si="74"/>
        <v>2/12</v>
      </c>
      <c r="G610" t="s">
        <v>32</v>
      </c>
      <c r="H610" t="str">
        <f t="shared" si="75"/>
        <v>Valid</v>
      </c>
      <c r="I610" t="s">
        <v>62</v>
      </c>
      <c r="J610" t="str">
        <f t="shared" si="76"/>
        <v>Kigoma Vijijini</v>
      </c>
      <c r="K610" t="s">
        <v>21</v>
      </c>
      <c r="L610" t="str" cm="1">
        <f t="array" ref="L610">_xlfn.IFS(
ISNUMBER(SEARCH("ICU",K610)), "ICU",
ISNUMBER(SEARCH("NEONATAL",K610)), PROPER("NEONATAL"),
ISNUMBER(SEARCH("LABOUR",K610)), PROPER("LABOUR"),
ISNUMBER(SEARCH("PAEDIATRIC",K610)), PROPER("PAEDIATRIC"),
ISNUMBER(SEARCH("FEMALE SURGICAL",K610)), PROPER("FEMALE SURG, ORTHO &amp; GYN"),
ISNUMBER(SEARCH("PSYCHIATRIST",K610)), PROPER("PSYCHIATRIST"),
ISNUMBER(SEARCH("GRADE 1",K610)), PROPER("GRADE 1"),
ISNUMBER(SEARCH("MALE SURGICAL",K610)), PROPER("MALE SURG &amp; ORTHOPEDIC"),
ISNUMBER(SEARCH("MALE MEDICAL",K610)), PROPER("MALE MEDICAL"),
ISNUMBER(SEARCH("GRADE 2",K610)), PROPER("GRADE 2"),
ISNUMBER(SEARCH("FEMALE WARD",K610)), PROPER("FEMALE MEDICAL"),
TRUE, "Unmapped: " &amp; K610)</f>
        <v>Neonatal</v>
      </c>
      <c r="M610" t="s">
        <v>22</v>
      </c>
      <c r="O610" t="s">
        <v>2162</v>
      </c>
      <c r="P610" t="str">
        <f t="shared" si="77"/>
        <v>Text Error</v>
      </c>
      <c r="Q610" s="5">
        <v>46041.958333333336</v>
      </c>
      <c r="R610" t="str">
        <f t="shared" si="78"/>
        <v>Valid Date</v>
      </c>
      <c r="S610" t="s">
        <v>2163</v>
      </c>
      <c r="T610" s="5">
        <v>46044.618657407409</v>
      </c>
      <c r="U610">
        <v>2</v>
      </c>
      <c r="V610" t="str">
        <f t="shared" si="79"/>
        <v>OK</v>
      </c>
      <c r="W610" t="s">
        <v>25</v>
      </c>
      <c r="Y610" t="s">
        <v>30</v>
      </c>
    </row>
    <row r="611" spans="1:25" x14ac:dyDescent="0.25">
      <c r="A611" t="s">
        <v>2164</v>
      </c>
      <c r="B611" t="str">
        <f t="shared" si="73"/>
        <v>Nurdin Razaro Nurdin</v>
      </c>
      <c r="C611">
        <v>128935</v>
      </c>
      <c r="D611" t="str">
        <f t="shared" si="72"/>
        <v>Unique</v>
      </c>
      <c r="E611" t="s">
        <v>454</v>
      </c>
      <c r="F611" s="3">
        <f t="shared" si="74"/>
        <v>3</v>
      </c>
      <c r="G611" t="s">
        <v>19</v>
      </c>
      <c r="H611" t="str">
        <f t="shared" si="75"/>
        <v>Valid</v>
      </c>
      <c r="I611" t="s">
        <v>62</v>
      </c>
      <c r="J611" t="str">
        <f t="shared" si="76"/>
        <v>Kigoma Vijijini</v>
      </c>
      <c r="K611" t="s">
        <v>109</v>
      </c>
      <c r="L611" t="str" cm="1">
        <f t="array" ref="L611">_xlfn.IFS(
ISNUMBER(SEARCH("ICU",K611)), "ICU",
ISNUMBER(SEARCH("NEONATAL",K611)), PROPER("NEONATAL"),
ISNUMBER(SEARCH("LABOUR",K611)), PROPER("LABOUR"),
ISNUMBER(SEARCH("PAEDIATRIC",K611)), PROPER("PAEDIATRIC"),
ISNUMBER(SEARCH("FEMALE SURGICAL",K611)), PROPER("FEMALE SURG, ORTHO &amp; GYN"),
ISNUMBER(SEARCH("PSYCHIATRIST",K611)), PROPER("PSYCHIATRIST"),
ISNUMBER(SEARCH("GRADE 1",K611)), PROPER("GRADE 1"),
ISNUMBER(SEARCH("MALE SURGICAL",K611)), PROPER("MALE SURG &amp; ORTHOPEDIC"),
ISNUMBER(SEARCH("MALE MEDICAL",K611)), PROPER("MALE MEDICAL"),
ISNUMBER(SEARCH("GRADE 2",K611)), PROPER("GRADE 2"),
ISNUMBER(SEARCH("FEMALE WARD",K611)), PROPER("FEMALE MEDICAL"),
TRUE, "Unmapped: " &amp; K611)</f>
        <v>Paediatric</v>
      </c>
      <c r="M611" t="s">
        <v>22</v>
      </c>
      <c r="O611" t="s">
        <v>2165</v>
      </c>
      <c r="P611" t="str">
        <f t="shared" si="77"/>
        <v>Text Error</v>
      </c>
      <c r="Q611" s="5">
        <v>46042.000393518516</v>
      </c>
      <c r="R611" t="str">
        <f t="shared" si="78"/>
        <v>Valid Date</v>
      </c>
      <c r="S611" t="s">
        <v>2166</v>
      </c>
      <c r="T611" s="5">
        <v>46044.625960648147</v>
      </c>
      <c r="U611">
        <v>2</v>
      </c>
      <c r="V611" t="str">
        <f t="shared" si="79"/>
        <v>OK</v>
      </c>
      <c r="W611" t="s">
        <v>112</v>
      </c>
      <c r="Y611" t="s">
        <v>30</v>
      </c>
    </row>
    <row r="612" spans="1:25" x14ac:dyDescent="0.25">
      <c r="A612" t="s">
        <v>2167</v>
      </c>
      <c r="B612" t="str">
        <f t="shared" si="73"/>
        <v>Baby Of Shamsa Mussa Maulidi</v>
      </c>
      <c r="C612">
        <v>128975</v>
      </c>
      <c r="D612" t="str">
        <f t="shared" si="72"/>
        <v>Unique</v>
      </c>
      <c r="E612" t="s">
        <v>622</v>
      </c>
      <c r="F612" s="3" t="str">
        <f t="shared" si="74"/>
        <v>2/12</v>
      </c>
      <c r="G612" t="s">
        <v>32</v>
      </c>
      <c r="H612" t="str">
        <f t="shared" si="75"/>
        <v>Valid</v>
      </c>
      <c r="I612" t="s">
        <v>33</v>
      </c>
      <c r="J612" t="str">
        <f t="shared" si="76"/>
        <v>Kigoma Ujiji Mc</v>
      </c>
      <c r="K612" t="s">
        <v>21</v>
      </c>
      <c r="L612" t="str" cm="1">
        <f t="array" ref="L612">_xlfn.IFS(
ISNUMBER(SEARCH("ICU",K612)), "ICU",
ISNUMBER(SEARCH("NEONATAL",K612)), PROPER("NEONATAL"),
ISNUMBER(SEARCH("LABOUR",K612)), PROPER("LABOUR"),
ISNUMBER(SEARCH("PAEDIATRIC",K612)), PROPER("PAEDIATRIC"),
ISNUMBER(SEARCH("FEMALE SURGICAL",K612)), PROPER("FEMALE SURG, ORTHO &amp; GYN"),
ISNUMBER(SEARCH("PSYCHIATRIST",K612)), PROPER("PSYCHIATRIST"),
ISNUMBER(SEARCH("GRADE 1",K612)), PROPER("GRADE 1"),
ISNUMBER(SEARCH("MALE SURGICAL",K612)), PROPER("MALE SURG &amp; ORTHOPEDIC"),
ISNUMBER(SEARCH("MALE MEDICAL",K612)), PROPER("MALE MEDICAL"),
ISNUMBER(SEARCH("GRADE 2",K612)), PROPER("GRADE 2"),
ISNUMBER(SEARCH("FEMALE WARD",K612)), PROPER("FEMALE MEDICAL"),
TRUE, "Unmapped: " &amp; K612)</f>
        <v>Neonatal</v>
      </c>
      <c r="M612" t="s">
        <v>22</v>
      </c>
      <c r="O612" t="s">
        <v>2168</v>
      </c>
      <c r="P612" t="str">
        <f t="shared" si="77"/>
        <v>Text Error</v>
      </c>
      <c r="Q612" s="5">
        <v>46042.292650462965</v>
      </c>
      <c r="R612" t="str">
        <f t="shared" si="78"/>
        <v>Valid Date</v>
      </c>
      <c r="S612" t="s">
        <v>2169</v>
      </c>
      <c r="T612" s="5">
        <v>46044.657858796294</v>
      </c>
      <c r="U612">
        <v>2</v>
      </c>
      <c r="V612" t="str">
        <f t="shared" si="79"/>
        <v>OK</v>
      </c>
      <c r="W612" t="s">
        <v>25</v>
      </c>
      <c r="Y612" t="s">
        <v>30</v>
      </c>
    </row>
    <row r="613" spans="1:25" x14ac:dyDescent="0.25">
      <c r="A613" t="s">
        <v>2170</v>
      </c>
      <c r="B613" t="str">
        <f t="shared" si="73"/>
        <v>Aida Macho Rajabu</v>
      </c>
      <c r="C613">
        <v>109599</v>
      </c>
      <c r="D613" t="str">
        <f t="shared" si="72"/>
        <v>Unique</v>
      </c>
      <c r="E613" t="s">
        <v>215</v>
      </c>
      <c r="F613" s="3">
        <f t="shared" si="74"/>
        <v>25</v>
      </c>
      <c r="G613" t="s">
        <v>32</v>
      </c>
      <c r="H613" t="str">
        <f t="shared" si="75"/>
        <v>Valid</v>
      </c>
      <c r="I613" t="s">
        <v>33</v>
      </c>
      <c r="J613" t="str">
        <f t="shared" si="76"/>
        <v>Kigoma Ujiji Mc</v>
      </c>
      <c r="K613" t="s">
        <v>40</v>
      </c>
      <c r="L613" t="str" cm="1">
        <f t="array" ref="L613">_xlfn.IFS(
ISNUMBER(SEARCH("ICU",K613)), "ICU",
ISNUMBER(SEARCH("NEONATAL",K613)), PROPER("NEONATAL"),
ISNUMBER(SEARCH("LABOUR",K613)), PROPER("LABOUR"),
ISNUMBER(SEARCH("PAEDIATRIC",K613)), PROPER("PAEDIATRIC"),
ISNUMBER(SEARCH("FEMALE SURGICAL",K613)), PROPER("FEMALE SURG, ORTHO &amp; GYN"),
ISNUMBER(SEARCH("PSYCHIATRIST",K613)), PROPER("PSYCHIATRIST"),
ISNUMBER(SEARCH("GRADE 1",K613)), PROPER("GRADE 1"),
ISNUMBER(SEARCH("MALE SURGICAL",K613)), PROPER("MALE SURG &amp; ORTHOPEDIC"),
ISNUMBER(SEARCH("MALE MEDICAL",K613)), PROPER("MALE MEDICAL"),
ISNUMBER(SEARCH("GRADE 2",K613)), PROPER("GRADE 2"),
ISNUMBER(SEARCH("FEMALE WARD",K613)), PROPER("FEMALE MEDICAL"),
TRUE, "Unmapped: " &amp; K613)</f>
        <v>Labour</v>
      </c>
      <c r="M613" t="s">
        <v>22</v>
      </c>
      <c r="O613" t="s">
        <v>2171</v>
      </c>
      <c r="P613" t="str">
        <f t="shared" si="77"/>
        <v>Text Error</v>
      </c>
      <c r="Q613" s="5">
        <v>46042.850590277776</v>
      </c>
      <c r="R613" t="str">
        <f t="shared" si="78"/>
        <v>Valid Date</v>
      </c>
      <c r="S613" t="s">
        <v>2172</v>
      </c>
      <c r="T613" s="5">
        <v>46045.756736111114</v>
      </c>
      <c r="U613">
        <v>2</v>
      </c>
      <c r="V613" t="str">
        <f t="shared" si="79"/>
        <v>OK</v>
      </c>
      <c r="W613" t="s">
        <v>25</v>
      </c>
      <c r="Y613" t="s">
        <v>30</v>
      </c>
    </row>
    <row r="614" spans="1:25" x14ac:dyDescent="0.25">
      <c r="A614" t="s">
        <v>2173</v>
      </c>
      <c r="B614" t="str">
        <f t="shared" si="73"/>
        <v>Mwamini Kahoza Kisebwa</v>
      </c>
      <c r="C614">
        <v>113231</v>
      </c>
      <c r="D614" t="str">
        <f t="shared" si="72"/>
        <v>Unique</v>
      </c>
      <c r="E614" t="s">
        <v>138</v>
      </c>
      <c r="F614" s="3">
        <f t="shared" si="74"/>
        <v>18</v>
      </c>
      <c r="G614" t="s">
        <v>32</v>
      </c>
      <c r="H614" t="str">
        <f t="shared" si="75"/>
        <v>Valid</v>
      </c>
      <c r="I614" t="s">
        <v>33</v>
      </c>
      <c r="J614" t="str">
        <f t="shared" si="76"/>
        <v>Kigoma Ujiji Mc</v>
      </c>
      <c r="K614" t="s">
        <v>40</v>
      </c>
      <c r="L614" t="str" cm="1">
        <f t="array" ref="L614">_xlfn.IFS(
ISNUMBER(SEARCH("ICU",K614)), "ICU",
ISNUMBER(SEARCH("NEONATAL",K614)), PROPER("NEONATAL"),
ISNUMBER(SEARCH("LABOUR",K614)), PROPER("LABOUR"),
ISNUMBER(SEARCH("PAEDIATRIC",K614)), PROPER("PAEDIATRIC"),
ISNUMBER(SEARCH("FEMALE SURGICAL",K614)), PROPER("FEMALE SURG, ORTHO &amp; GYN"),
ISNUMBER(SEARCH("PSYCHIATRIST",K614)), PROPER("PSYCHIATRIST"),
ISNUMBER(SEARCH("GRADE 1",K614)), PROPER("GRADE 1"),
ISNUMBER(SEARCH("MALE SURGICAL",K614)), PROPER("MALE SURG &amp; ORTHOPEDIC"),
ISNUMBER(SEARCH("MALE MEDICAL",K614)), PROPER("MALE MEDICAL"),
ISNUMBER(SEARCH("GRADE 2",K614)), PROPER("GRADE 2"),
ISNUMBER(SEARCH("FEMALE WARD",K614)), PROPER("FEMALE MEDICAL"),
TRUE, "Unmapped: " &amp; K614)</f>
        <v>Labour</v>
      </c>
      <c r="M614" t="s">
        <v>22</v>
      </c>
      <c r="O614" t="s">
        <v>2174</v>
      </c>
      <c r="P614" t="str">
        <f t="shared" si="77"/>
        <v>Text Error</v>
      </c>
      <c r="Q614" s="5">
        <v>46042.939641203702</v>
      </c>
      <c r="R614" t="str">
        <f t="shared" si="78"/>
        <v>Valid Date</v>
      </c>
      <c r="S614" t="s">
        <v>2175</v>
      </c>
      <c r="T614" s="5">
        <v>46045.444432870368</v>
      </c>
      <c r="U614">
        <v>2</v>
      </c>
      <c r="V614" t="str">
        <f t="shared" si="79"/>
        <v>OK</v>
      </c>
      <c r="W614" t="s">
        <v>25</v>
      </c>
      <c r="Y614" t="s">
        <v>30</v>
      </c>
    </row>
    <row r="615" spans="1:25" x14ac:dyDescent="0.25">
      <c r="A615" t="s">
        <v>2176</v>
      </c>
      <c r="B615" t="str">
        <f t="shared" si="73"/>
        <v>Veronica Mwandu Mpengele</v>
      </c>
      <c r="C615">
        <v>129090</v>
      </c>
      <c r="D615" t="str">
        <f t="shared" si="72"/>
        <v>Unique</v>
      </c>
      <c r="E615" t="s">
        <v>1217</v>
      </c>
      <c r="F615" s="3">
        <f t="shared" si="74"/>
        <v>9</v>
      </c>
      <c r="G615" t="s">
        <v>32</v>
      </c>
      <c r="H615" t="str">
        <f t="shared" si="75"/>
        <v>Valid</v>
      </c>
      <c r="I615" t="s">
        <v>20</v>
      </c>
      <c r="J615" t="str">
        <f t="shared" si="76"/>
        <v>Uvinza</v>
      </c>
      <c r="K615" t="s">
        <v>109</v>
      </c>
      <c r="L615" t="str" cm="1">
        <f t="array" ref="L615">_xlfn.IFS(
ISNUMBER(SEARCH("ICU",K615)), "ICU",
ISNUMBER(SEARCH("NEONATAL",K615)), PROPER("NEONATAL"),
ISNUMBER(SEARCH("LABOUR",K615)), PROPER("LABOUR"),
ISNUMBER(SEARCH("PAEDIATRIC",K615)), PROPER("PAEDIATRIC"),
ISNUMBER(SEARCH("FEMALE SURGICAL",K615)), PROPER("FEMALE SURG, ORTHO &amp; GYN"),
ISNUMBER(SEARCH("PSYCHIATRIST",K615)), PROPER("PSYCHIATRIST"),
ISNUMBER(SEARCH("GRADE 1",K615)), PROPER("GRADE 1"),
ISNUMBER(SEARCH("MALE SURGICAL",K615)), PROPER("MALE SURG &amp; ORTHOPEDIC"),
ISNUMBER(SEARCH("MALE MEDICAL",K615)), PROPER("MALE MEDICAL"),
ISNUMBER(SEARCH("GRADE 2",K615)), PROPER("GRADE 2"),
ISNUMBER(SEARCH("FEMALE WARD",K615)), PROPER("FEMALE MEDICAL"),
TRUE, "Unmapped: " &amp; K615)</f>
        <v>Paediatric</v>
      </c>
      <c r="M615" t="s">
        <v>22</v>
      </c>
      <c r="O615" t="s">
        <v>2177</v>
      </c>
      <c r="P615" t="str">
        <f t="shared" si="77"/>
        <v>Text Error</v>
      </c>
      <c r="Q615" s="5">
        <v>46043.240162037036</v>
      </c>
      <c r="R615" t="str">
        <f t="shared" si="78"/>
        <v>Valid Date</v>
      </c>
      <c r="S615" t="s">
        <v>2178</v>
      </c>
      <c r="T615" s="5">
        <v>46045.638657407406</v>
      </c>
      <c r="U615">
        <v>2</v>
      </c>
      <c r="V615" t="str">
        <f t="shared" si="79"/>
        <v>OK</v>
      </c>
      <c r="W615" t="s">
        <v>25</v>
      </c>
      <c r="Y615" t="s">
        <v>30</v>
      </c>
    </row>
    <row r="616" spans="1:25" x14ac:dyDescent="0.25">
      <c r="A616" t="s">
        <v>2179</v>
      </c>
      <c r="B616" t="str">
        <f t="shared" si="73"/>
        <v>Eveline Chakupewa Likila</v>
      </c>
      <c r="C616">
        <v>129069</v>
      </c>
      <c r="D616" t="str">
        <f t="shared" si="72"/>
        <v>Unique</v>
      </c>
      <c r="E616" t="s">
        <v>151</v>
      </c>
      <c r="F616" s="3">
        <f t="shared" si="74"/>
        <v>22</v>
      </c>
      <c r="G616" t="s">
        <v>32</v>
      </c>
      <c r="H616" t="str">
        <f t="shared" si="75"/>
        <v>Valid</v>
      </c>
      <c r="I616" t="s">
        <v>260</v>
      </c>
      <c r="J616" t="str">
        <f t="shared" si="76"/>
        <v>Kasulu</v>
      </c>
      <c r="K616" t="s">
        <v>40</v>
      </c>
      <c r="L616" t="str" cm="1">
        <f t="array" ref="L616">_xlfn.IFS(
ISNUMBER(SEARCH("ICU",K616)), "ICU",
ISNUMBER(SEARCH("NEONATAL",K616)), PROPER("NEONATAL"),
ISNUMBER(SEARCH("LABOUR",K616)), PROPER("LABOUR"),
ISNUMBER(SEARCH("PAEDIATRIC",K616)), PROPER("PAEDIATRIC"),
ISNUMBER(SEARCH("FEMALE SURGICAL",K616)), PROPER("FEMALE SURG, ORTHO &amp; GYN"),
ISNUMBER(SEARCH("PSYCHIATRIST",K616)), PROPER("PSYCHIATRIST"),
ISNUMBER(SEARCH("GRADE 1",K616)), PROPER("GRADE 1"),
ISNUMBER(SEARCH("MALE SURGICAL",K616)), PROPER("MALE SURG &amp; ORTHOPEDIC"),
ISNUMBER(SEARCH("MALE MEDICAL",K616)), PROPER("MALE MEDICAL"),
ISNUMBER(SEARCH("GRADE 2",K616)), PROPER("GRADE 2"),
ISNUMBER(SEARCH("FEMALE WARD",K616)), PROPER("FEMALE MEDICAL"),
TRUE, "Unmapped: " &amp; K616)</f>
        <v>Labour</v>
      </c>
      <c r="M616" t="s">
        <v>22</v>
      </c>
      <c r="O616" t="s">
        <v>2180</v>
      </c>
      <c r="P616" t="str">
        <f t="shared" si="77"/>
        <v>Text Error</v>
      </c>
      <c r="Q616" s="5">
        <v>46043.290601851855</v>
      </c>
      <c r="R616" t="str">
        <f t="shared" si="78"/>
        <v>Valid Date</v>
      </c>
      <c r="S616" t="s">
        <v>2181</v>
      </c>
      <c r="T616" s="5">
        <v>46045.765127314815</v>
      </c>
      <c r="U616">
        <v>2</v>
      </c>
      <c r="V616" t="str">
        <f t="shared" si="79"/>
        <v>OK</v>
      </c>
      <c r="W616" t="s">
        <v>25</v>
      </c>
      <c r="Y616" t="s">
        <v>30</v>
      </c>
    </row>
    <row r="617" spans="1:25" x14ac:dyDescent="0.25">
      <c r="A617" t="s">
        <v>2182</v>
      </c>
      <c r="B617" t="str">
        <f t="shared" si="73"/>
        <v>Tabu A Mkoko</v>
      </c>
      <c r="C617">
        <v>58891</v>
      </c>
      <c r="D617" t="str">
        <f t="shared" si="72"/>
        <v>Unique</v>
      </c>
      <c r="E617" t="s">
        <v>1061</v>
      </c>
      <c r="F617" s="3">
        <f t="shared" si="74"/>
        <v>66</v>
      </c>
      <c r="G617" t="s">
        <v>32</v>
      </c>
      <c r="H617" t="str">
        <f t="shared" si="75"/>
        <v>Valid</v>
      </c>
      <c r="I617" t="s">
        <v>33</v>
      </c>
      <c r="J617" t="str">
        <f t="shared" si="76"/>
        <v>Kigoma Ujiji Mc</v>
      </c>
      <c r="K617" t="s">
        <v>700</v>
      </c>
      <c r="L617" t="str" cm="1">
        <f t="array" ref="L617">_xlfn.IFS(
ISNUMBER(SEARCH("ICU",K617)), "ICU",
ISNUMBER(SEARCH("NEONATAL",K617)), PROPER("NEONATAL"),
ISNUMBER(SEARCH("LABOUR",K617)), PROPER("LABOUR"),
ISNUMBER(SEARCH("PAEDIATRIC",K617)), PROPER("PAEDIATRIC"),
ISNUMBER(SEARCH("FEMALE SURGICAL",K617)), PROPER("FEMALE SURG, ORTHO &amp; GYN"),
ISNUMBER(SEARCH("PSYCHIATRIST",K617)), PROPER("PSYCHIATRIST"),
ISNUMBER(SEARCH("GRADE 1",K617)), PROPER("GRADE 1"),
ISNUMBER(SEARCH("MALE SURGICAL",K617)), PROPER("MALE SURG &amp; ORTHOPEDIC"),
ISNUMBER(SEARCH("MALE MEDICAL",K617)), PROPER("MALE MEDICAL"),
ISNUMBER(SEARCH("GRADE 2",K617)), PROPER("GRADE 2"),
ISNUMBER(SEARCH("FEMALE WARD",K617)), PROPER("FEMALE MEDICAL"),
TRUE, "Unmapped: " &amp; K617)</f>
        <v>Female Medical</v>
      </c>
      <c r="M617" t="s">
        <v>394</v>
      </c>
      <c r="O617" t="s">
        <v>2183</v>
      </c>
      <c r="P617" t="str">
        <f t="shared" si="77"/>
        <v>Text Error</v>
      </c>
      <c r="Q617" s="5">
        <v>46043.65116898148</v>
      </c>
      <c r="R617" t="str">
        <f t="shared" si="78"/>
        <v>Valid Date</v>
      </c>
      <c r="S617" t="s">
        <v>2184</v>
      </c>
      <c r="T617" s="5">
        <v>46046.619826388887</v>
      </c>
      <c r="U617">
        <v>2</v>
      </c>
      <c r="V617" t="str">
        <f t="shared" si="79"/>
        <v>OK</v>
      </c>
      <c r="W617" t="s">
        <v>25</v>
      </c>
      <c r="Y617" t="s">
        <v>30</v>
      </c>
    </row>
    <row r="618" spans="1:25" x14ac:dyDescent="0.25">
      <c r="A618" t="s">
        <v>2185</v>
      </c>
      <c r="B618" t="str">
        <f t="shared" si="73"/>
        <v>Michael Isack Zyezi</v>
      </c>
      <c r="C618">
        <v>129174</v>
      </c>
      <c r="D618" t="str">
        <f t="shared" si="72"/>
        <v>Unique</v>
      </c>
      <c r="E618" t="s">
        <v>188</v>
      </c>
      <c r="F618" s="3">
        <f t="shared" si="74"/>
        <v>28</v>
      </c>
      <c r="G618" t="s">
        <v>19</v>
      </c>
      <c r="H618" t="str">
        <f t="shared" si="75"/>
        <v>Valid</v>
      </c>
      <c r="I618" t="s">
        <v>260</v>
      </c>
      <c r="J618" t="str">
        <f t="shared" si="76"/>
        <v>Kasulu</v>
      </c>
      <c r="K618" t="s">
        <v>428</v>
      </c>
      <c r="L618" t="str" cm="1">
        <f t="array" ref="L618">_xlfn.IFS(
ISNUMBER(SEARCH("ICU",K618)), "ICU",
ISNUMBER(SEARCH("NEONATAL",K618)), PROPER("NEONATAL"),
ISNUMBER(SEARCH("LABOUR",K618)), PROPER("LABOUR"),
ISNUMBER(SEARCH("PAEDIATRIC",K618)), PROPER("PAEDIATRIC"),
ISNUMBER(SEARCH("FEMALE SURGICAL",K618)), PROPER("FEMALE SURG, ORTHO &amp; GYN"),
ISNUMBER(SEARCH("PSYCHIATRIST",K618)), PROPER("PSYCHIATRIST"),
ISNUMBER(SEARCH("GRADE 1",K618)), PROPER("GRADE 1"),
ISNUMBER(SEARCH("MALE SURGICAL",K618)), PROPER("MALE SURG &amp; ORTHOPEDIC"),
ISNUMBER(SEARCH("MALE MEDICAL",K618)), PROPER("MALE MEDICAL"),
ISNUMBER(SEARCH("GRADE 2",K618)), PROPER("GRADE 2"),
ISNUMBER(SEARCH("FEMALE WARD",K618)), PROPER("FEMALE MEDICAL"),
TRUE, "Unmapped: " &amp; K618)</f>
        <v>Male Surg &amp; Orthopedic</v>
      </c>
      <c r="M618" t="s">
        <v>22</v>
      </c>
      <c r="O618" t="s">
        <v>2186</v>
      </c>
      <c r="P618" t="str">
        <f t="shared" si="77"/>
        <v>Text Error</v>
      </c>
      <c r="Q618" s="5">
        <v>46043.726631944446</v>
      </c>
      <c r="R618" t="str">
        <f t="shared" si="78"/>
        <v>Valid Date</v>
      </c>
      <c r="S618" t="s">
        <v>2187</v>
      </c>
      <c r="T618" s="5">
        <v>46046.497708333336</v>
      </c>
      <c r="U618">
        <v>2</v>
      </c>
      <c r="V618" t="str">
        <f t="shared" si="79"/>
        <v>OK</v>
      </c>
      <c r="W618" t="s">
        <v>25</v>
      </c>
      <c r="Y618" t="s">
        <v>30</v>
      </c>
    </row>
    <row r="619" spans="1:25" x14ac:dyDescent="0.25">
      <c r="A619" t="s">
        <v>2188</v>
      </c>
      <c r="B619" t="str">
        <f t="shared" si="73"/>
        <v>Hasna Bakari Haruna</v>
      </c>
      <c r="C619">
        <v>129183</v>
      </c>
      <c r="D619" t="str">
        <f t="shared" si="72"/>
        <v>Unique</v>
      </c>
      <c r="E619" t="s">
        <v>646</v>
      </c>
      <c r="F619" s="3">
        <f t="shared" si="74"/>
        <v>6</v>
      </c>
      <c r="G619" t="s">
        <v>32</v>
      </c>
      <c r="H619" t="str">
        <f t="shared" si="75"/>
        <v>Valid</v>
      </c>
      <c r="I619" t="s">
        <v>62</v>
      </c>
      <c r="J619" t="str">
        <f t="shared" si="76"/>
        <v>Kigoma Vijijini</v>
      </c>
      <c r="K619" t="s">
        <v>109</v>
      </c>
      <c r="L619" t="str" cm="1">
        <f t="array" ref="L619">_xlfn.IFS(
ISNUMBER(SEARCH("ICU",K619)), "ICU",
ISNUMBER(SEARCH("NEONATAL",K619)), PROPER("NEONATAL"),
ISNUMBER(SEARCH("LABOUR",K619)), PROPER("LABOUR"),
ISNUMBER(SEARCH("PAEDIATRIC",K619)), PROPER("PAEDIATRIC"),
ISNUMBER(SEARCH("FEMALE SURGICAL",K619)), PROPER("FEMALE SURG, ORTHO &amp; GYN"),
ISNUMBER(SEARCH("PSYCHIATRIST",K619)), PROPER("PSYCHIATRIST"),
ISNUMBER(SEARCH("GRADE 1",K619)), PROPER("GRADE 1"),
ISNUMBER(SEARCH("MALE SURGICAL",K619)), PROPER("MALE SURG &amp; ORTHOPEDIC"),
ISNUMBER(SEARCH("MALE MEDICAL",K619)), PROPER("MALE MEDICAL"),
ISNUMBER(SEARCH("GRADE 2",K619)), PROPER("GRADE 2"),
ISNUMBER(SEARCH("FEMALE WARD",K619)), PROPER("FEMALE MEDICAL"),
TRUE, "Unmapped: " &amp; K619)</f>
        <v>Paediatric</v>
      </c>
      <c r="M619" t="s">
        <v>22</v>
      </c>
      <c r="O619" t="s">
        <v>2189</v>
      </c>
      <c r="P619" t="str">
        <f t="shared" si="77"/>
        <v>Text Error</v>
      </c>
      <c r="Q619" s="5">
        <v>46043.927314814813</v>
      </c>
      <c r="R619" t="str">
        <f t="shared" si="78"/>
        <v>Valid Date</v>
      </c>
      <c r="S619" t="s">
        <v>2190</v>
      </c>
      <c r="T619" s="5">
        <v>46046.578796296293</v>
      </c>
      <c r="U619">
        <v>2</v>
      </c>
      <c r="V619" t="str">
        <f t="shared" si="79"/>
        <v>OK</v>
      </c>
      <c r="W619" t="s">
        <v>25</v>
      </c>
      <c r="Y619" t="s">
        <v>30</v>
      </c>
    </row>
    <row r="620" spans="1:25" x14ac:dyDescent="0.25">
      <c r="A620" t="s">
        <v>2191</v>
      </c>
      <c r="B620" t="str">
        <f t="shared" si="73"/>
        <v>Anasitazia Emmanuel Kilajaga</v>
      </c>
      <c r="C620">
        <v>129182</v>
      </c>
      <c r="D620" t="str">
        <f t="shared" si="72"/>
        <v>Unique</v>
      </c>
      <c r="E620" t="s">
        <v>147</v>
      </c>
      <c r="F620" s="3">
        <f t="shared" si="74"/>
        <v>30</v>
      </c>
      <c r="G620" t="s">
        <v>32</v>
      </c>
      <c r="H620" t="str">
        <f t="shared" si="75"/>
        <v>Valid</v>
      </c>
      <c r="I620" t="s">
        <v>33</v>
      </c>
      <c r="J620" t="str">
        <f t="shared" si="76"/>
        <v>Kigoma Ujiji Mc</v>
      </c>
      <c r="K620" t="s">
        <v>40</v>
      </c>
      <c r="L620" t="str" cm="1">
        <f t="array" ref="L620">_xlfn.IFS(
ISNUMBER(SEARCH("ICU",K620)), "ICU",
ISNUMBER(SEARCH("NEONATAL",K620)), PROPER("NEONATAL"),
ISNUMBER(SEARCH("LABOUR",K620)), PROPER("LABOUR"),
ISNUMBER(SEARCH("PAEDIATRIC",K620)), PROPER("PAEDIATRIC"),
ISNUMBER(SEARCH("FEMALE SURGICAL",K620)), PROPER("FEMALE SURG, ORTHO &amp; GYN"),
ISNUMBER(SEARCH("PSYCHIATRIST",K620)), PROPER("PSYCHIATRIST"),
ISNUMBER(SEARCH("GRADE 1",K620)), PROPER("GRADE 1"),
ISNUMBER(SEARCH("MALE SURGICAL",K620)), PROPER("MALE SURG &amp; ORTHOPEDIC"),
ISNUMBER(SEARCH("MALE MEDICAL",K620)), PROPER("MALE MEDICAL"),
ISNUMBER(SEARCH("GRADE 2",K620)), PROPER("GRADE 2"),
ISNUMBER(SEARCH("FEMALE WARD",K620)), PROPER("FEMALE MEDICAL"),
TRUE, "Unmapped: " &amp; K620)</f>
        <v>Labour</v>
      </c>
      <c r="M620" t="s">
        <v>22</v>
      </c>
      <c r="O620" t="s">
        <v>2192</v>
      </c>
      <c r="P620" t="str">
        <f t="shared" si="77"/>
        <v>Text Error</v>
      </c>
      <c r="Q620" s="5">
        <v>46044.291516203702</v>
      </c>
      <c r="R620" t="str">
        <f t="shared" si="78"/>
        <v>Valid Date</v>
      </c>
      <c r="S620" t="s">
        <v>2193</v>
      </c>
      <c r="T620" s="5">
        <v>46046.633379629631</v>
      </c>
      <c r="U620">
        <v>2</v>
      </c>
      <c r="V620" t="str">
        <f t="shared" si="79"/>
        <v>OK</v>
      </c>
      <c r="W620" t="s">
        <v>25</v>
      </c>
      <c r="Y620" t="s">
        <v>30</v>
      </c>
    </row>
    <row r="621" spans="1:25" x14ac:dyDescent="0.25">
      <c r="A621" t="s">
        <v>2194</v>
      </c>
      <c r="B621" t="str">
        <f t="shared" si="73"/>
        <v>Babyof Olympia Sylvester Lymo</v>
      </c>
      <c r="C621">
        <v>129202</v>
      </c>
      <c r="D621" t="str">
        <f t="shared" si="72"/>
        <v>Unique</v>
      </c>
      <c r="E621" t="s">
        <v>622</v>
      </c>
      <c r="F621" s="3" t="str">
        <f t="shared" si="74"/>
        <v>2/12</v>
      </c>
      <c r="G621" t="s">
        <v>32</v>
      </c>
      <c r="H621" t="str">
        <f t="shared" si="75"/>
        <v>Valid</v>
      </c>
      <c r="I621" t="s">
        <v>33</v>
      </c>
      <c r="J621" t="str">
        <f t="shared" si="76"/>
        <v>Kigoma Ujiji Mc</v>
      </c>
      <c r="K621" t="s">
        <v>21</v>
      </c>
      <c r="L621" t="str" cm="1">
        <f t="array" ref="L621">_xlfn.IFS(
ISNUMBER(SEARCH("ICU",K621)), "ICU",
ISNUMBER(SEARCH("NEONATAL",K621)), PROPER("NEONATAL"),
ISNUMBER(SEARCH("LABOUR",K621)), PROPER("LABOUR"),
ISNUMBER(SEARCH("PAEDIATRIC",K621)), PROPER("PAEDIATRIC"),
ISNUMBER(SEARCH("FEMALE SURGICAL",K621)), PROPER("FEMALE SURG, ORTHO &amp; GYN"),
ISNUMBER(SEARCH("PSYCHIATRIST",K621)), PROPER("PSYCHIATRIST"),
ISNUMBER(SEARCH("GRADE 1",K621)), PROPER("GRADE 1"),
ISNUMBER(SEARCH("MALE SURGICAL",K621)), PROPER("MALE SURG &amp; ORTHOPEDIC"),
ISNUMBER(SEARCH("MALE MEDICAL",K621)), PROPER("MALE MEDICAL"),
ISNUMBER(SEARCH("GRADE 2",K621)), PROPER("GRADE 2"),
ISNUMBER(SEARCH("FEMALE WARD",K621)), PROPER("FEMALE MEDICAL"),
TRUE, "Unmapped: " &amp; K621)</f>
        <v>Neonatal</v>
      </c>
      <c r="M621" t="s">
        <v>22</v>
      </c>
      <c r="O621" t="s">
        <v>2195</v>
      </c>
      <c r="P621" t="str">
        <f t="shared" si="77"/>
        <v>Text Error</v>
      </c>
      <c r="Q621" s="5">
        <v>46044.294004629628</v>
      </c>
      <c r="R621" t="str">
        <f t="shared" si="78"/>
        <v>Valid Date</v>
      </c>
      <c r="S621" t="s">
        <v>2196</v>
      </c>
      <c r="T621" s="5">
        <v>46046.619328703702</v>
      </c>
      <c r="U621">
        <v>2</v>
      </c>
      <c r="V621" t="str">
        <f t="shared" si="79"/>
        <v>OK</v>
      </c>
      <c r="W621" t="s">
        <v>25</v>
      </c>
      <c r="Y621" t="s">
        <v>30</v>
      </c>
    </row>
    <row r="622" spans="1:25" x14ac:dyDescent="0.25">
      <c r="A622" t="s">
        <v>2197</v>
      </c>
      <c r="B622" t="str">
        <f t="shared" si="73"/>
        <v>Briella Hamis John</v>
      </c>
      <c r="C622">
        <v>125184</v>
      </c>
      <c r="D622" t="str">
        <f t="shared" si="72"/>
        <v>Unique</v>
      </c>
      <c r="E622" t="s">
        <v>221</v>
      </c>
      <c r="F622" s="3" t="str">
        <f t="shared" si="74"/>
        <v>9/12</v>
      </c>
      <c r="G622" t="s">
        <v>32</v>
      </c>
      <c r="H622" t="str">
        <f t="shared" si="75"/>
        <v>Valid</v>
      </c>
      <c r="I622" t="s">
        <v>62</v>
      </c>
      <c r="J622" t="str">
        <f t="shared" si="76"/>
        <v>Kigoma Vijijini</v>
      </c>
      <c r="K622" t="s">
        <v>109</v>
      </c>
      <c r="L622" t="str" cm="1">
        <f t="array" ref="L622">_xlfn.IFS(
ISNUMBER(SEARCH("ICU",K622)), "ICU",
ISNUMBER(SEARCH("NEONATAL",K622)), PROPER("NEONATAL"),
ISNUMBER(SEARCH("LABOUR",K622)), PROPER("LABOUR"),
ISNUMBER(SEARCH("PAEDIATRIC",K622)), PROPER("PAEDIATRIC"),
ISNUMBER(SEARCH("FEMALE SURGICAL",K622)), PROPER("FEMALE SURG, ORTHO &amp; GYN"),
ISNUMBER(SEARCH("PSYCHIATRIST",K622)), PROPER("PSYCHIATRIST"),
ISNUMBER(SEARCH("GRADE 1",K622)), PROPER("GRADE 1"),
ISNUMBER(SEARCH("MALE SURGICAL",K622)), PROPER("MALE SURG &amp; ORTHOPEDIC"),
ISNUMBER(SEARCH("MALE MEDICAL",K622)), PROPER("MALE MEDICAL"),
ISNUMBER(SEARCH("GRADE 2",K622)), PROPER("GRADE 2"),
ISNUMBER(SEARCH("FEMALE WARD",K622)), PROPER("FEMALE MEDICAL"),
TRUE, "Unmapped: " &amp; K622)</f>
        <v>Paediatric</v>
      </c>
      <c r="M622" t="s">
        <v>394</v>
      </c>
      <c r="O622" t="s">
        <v>2198</v>
      </c>
      <c r="P622" t="str">
        <f t="shared" si="77"/>
        <v>Text Error</v>
      </c>
      <c r="Q622" s="5">
        <v>46044.552812499998</v>
      </c>
      <c r="R622" t="str">
        <f t="shared" si="78"/>
        <v>Valid Date</v>
      </c>
      <c r="S622" t="s">
        <v>2199</v>
      </c>
      <c r="T622" s="5">
        <v>46046.708379629628</v>
      </c>
      <c r="U622">
        <v>2</v>
      </c>
      <c r="V622" t="str">
        <f t="shared" si="79"/>
        <v>OK</v>
      </c>
      <c r="W622" t="s">
        <v>25</v>
      </c>
      <c r="Y622" t="s">
        <v>30</v>
      </c>
    </row>
    <row r="623" spans="1:25" x14ac:dyDescent="0.25">
      <c r="A623" t="s">
        <v>2200</v>
      </c>
      <c r="B623" t="str">
        <f t="shared" si="73"/>
        <v>Amida Mussa Dondoli</v>
      </c>
      <c r="C623">
        <v>129302</v>
      </c>
      <c r="D623" t="str">
        <f t="shared" si="72"/>
        <v>Unique</v>
      </c>
      <c r="E623" t="s">
        <v>614</v>
      </c>
      <c r="F623" s="3">
        <f t="shared" si="74"/>
        <v>43</v>
      </c>
      <c r="G623" t="s">
        <v>32</v>
      </c>
      <c r="H623" t="str">
        <f t="shared" si="75"/>
        <v>Valid</v>
      </c>
      <c r="I623" t="s">
        <v>260</v>
      </c>
      <c r="J623" t="str">
        <f t="shared" si="76"/>
        <v>Kasulu</v>
      </c>
      <c r="K623" t="s">
        <v>700</v>
      </c>
      <c r="L623" t="str" cm="1">
        <f t="array" ref="L623">_xlfn.IFS(
ISNUMBER(SEARCH("ICU",K623)), "ICU",
ISNUMBER(SEARCH("NEONATAL",K623)), PROPER("NEONATAL"),
ISNUMBER(SEARCH("LABOUR",K623)), PROPER("LABOUR"),
ISNUMBER(SEARCH("PAEDIATRIC",K623)), PROPER("PAEDIATRIC"),
ISNUMBER(SEARCH("FEMALE SURGICAL",K623)), PROPER("FEMALE SURG, ORTHO &amp; GYN"),
ISNUMBER(SEARCH("PSYCHIATRIST",K623)), PROPER("PSYCHIATRIST"),
ISNUMBER(SEARCH("GRADE 1",K623)), PROPER("GRADE 1"),
ISNUMBER(SEARCH("MALE SURGICAL",K623)), PROPER("MALE SURG &amp; ORTHOPEDIC"),
ISNUMBER(SEARCH("MALE MEDICAL",K623)), PROPER("MALE MEDICAL"),
ISNUMBER(SEARCH("GRADE 2",K623)), PROPER("GRADE 2"),
ISNUMBER(SEARCH("FEMALE WARD",K623)), PROPER("FEMALE MEDICAL"),
TRUE, "Unmapped: " &amp; K623)</f>
        <v>Female Medical</v>
      </c>
      <c r="M623" t="s">
        <v>22</v>
      </c>
      <c r="O623" t="s">
        <v>2201</v>
      </c>
      <c r="P623" t="str">
        <f t="shared" si="77"/>
        <v>Text Error</v>
      </c>
      <c r="Q623" s="5">
        <v>46044.833969907406</v>
      </c>
      <c r="R623" t="str">
        <f t="shared" si="78"/>
        <v>Valid Date</v>
      </c>
      <c r="S623" t="s">
        <v>2202</v>
      </c>
      <c r="T623" s="5">
        <v>46047.643576388888</v>
      </c>
      <c r="U623">
        <v>2</v>
      </c>
      <c r="V623" t="str">
        <f t="shared" si="79"/>
        <v>OK</v>
      </c>
      <c r="W623" t="s">
        <v>397</v>
      </c>
      <c r="Y623" t="s">
        <v>30</v>
      </c>
    </row>
    <row r="624" spans="1:25" x14ac:dyDescent="0.25">
      <c r="A624" t="s">
        <v>2203</v>
      </c>
      <c r="B624" t="str">
        <f t="shared" si="73"/>
        <v>Hanajina Kenedi Masumbuko</v>
      </c>
      <c r="C624">
        <v>129291</v>
      </c>
      <c r="D624" t="str">
        <f t="shared" si="72"/>
        <v>Unique</v>
      </c>
      <c r="E624" t="s">
        <v>454</v>
      </c>
      <c r="F624" s="3">
        <f t="shared" si="74"/>
        <v>3</v>
      </c>
      <c r="G624" t="s">
        <v>19</v>
      </c>
      <c r="H624" t="str">
        <f t="shared" si="75"/>
        <v>Valid</v>
      </c>
      <c r="I624" t="s">
        <v>33</v>
      </c>
      <c r="J624" t="str">
        <f t="shared" si="76"/>
        <v>Kigoma Ujiji Mc</v>
      </c>
      <c r="K624" t="s">
        <v>109</v>
      </c>
      <c r="L624" t="str" cm="1">
        <f t="array" ref="L624">_xlfn.IFS(
ISNUMBER(SEARCH("ICU",K624)), "ICU",
ISNUMBER(SEARCH("NEONATAL",K624)), PROPER("NEONATAL"),
ISNUMBER(SEARCH("LABOUR",K624)), PROPER("LABOUR"),
ISNUMBER(SEARCH("PAEDIATRIC",K624)), PROPER("PAEDIATRIC"),
ISNUMBER(SEARCH("FEMALE SURGICAL",K624)), PROPER("FEMALE SURG, ORTHO &amp; GYN"),
ISNUMBER(SEARCH("PSYCHIATRIST",K624)), PROPER("PSYCHIATRIST"),
ISNUMBER(SEARCH("GRADE 1",K624)), PROPER("GRADE 1"),
ISNUMBER(SEARCH("MALE SURGICAL",K624)), PROPER("MALE SURG &amp; ORTHOPEDIC"),
ISNUMBER(SEARCH("MALE MEDICAL",K624)), PROPER("MALE MEDICAL"),
ISNUMBER(SEARCH("GRADE 2",K624)), PROPER("GRADE 2"),
ISNUMBER(SEARCH("FEMALE WARD",K624)), PROPER("FEMALE MEDICAL"),
TRUE, "Unmapped: " &amp; K624)</f>
        <v>Paediatric</v>
      </c>
      <c r="M624" t="s">
        <v>22</v>
      </c>
      <c r="O624" t="s">
        <v>2204</v>
      </c>
      <c r="P624" t="str">
        <f t="shared" si="77"/>
        <v>Text Error</v>
      </c>
      <c r="Q624" s="5">
        <v>46044.963171296295</v>
      </c>
      <c r="R624" t="str">
        <f t="shared" si="78"/>
        <v>Valid Date</v>
      </c>
      <c r="S624" t="s">
        <v>2205</v>
      </c>
      <c r="T624" s="5">
        <v>46047.384375000001</v>
      </c>
      <c r="U624">
        <v>2</v>
      </c>
      <c r="V624" t="str">
        <f t="shared" si="79"/>
        <v>OK</v>
      </c>
      <c r="W624" t="s">
        <v>25</v>
      </c>
      <c r="Y624" t="s">
        <v>30</v>
      </c>
    </row>
    <row r="625" spans="1:25" x14ac:dyDescent="0.25">
      <c r="A625" t="s">
        <v>2206</v>
      </c>
      <c r="B625" t="str">
        <f t="shared" si="73"/>
        <v>Winifrida Fred Petro</v>
      </c>
      <c r="C625">
        <v>129324</v>
      </c>
      <c r="D625" t="str">
        <f t="shared" si="72"/>
        <v>Unique</v>
      </c>
      <c r="E625" t="s">
        <v>252</v>
      </c>
      <c r="F625" s="3" t="str">
        <f t="shared" si="74"/>
        <v>10/12</v>
      </c>
      <c r="G625" t="s">
        <v>32</v>
      </c>
      <c r="H625" t="str">
        <f t="shared" si="75"/>
        <v>Valid</v>
      </c>
      <c r="I625" t="s">
        <v>62</v>
      </c>
      <c r="J625" t="str">
        <f t="shared" si="76"/>
        <v>Kigoma Vijijini</v>
      </c>
      <c r="K625" t="s">
        <v>109</v>
      </c>
      <c r="L625" t="str" cm="1">
        <f t="array" ref="L625">_xlfn.IFS(
ISNUMBER(SEARCH("ICU",K625)), "ICU",
ISNUMBER(SEARCH("NEONATAL",K625)), PROPER("NEONATAL"),
ISNUMBER(SEARCH("LABOUR",K625)), PROPER("LABOUR"),
ISNUMBER(SEARCH("PAEDIATRIC",K625)), PROPER("PAEDIATRIC"),
ISNUMBER(SEARCH("FEMALE SURGICAL",K625)), PROPER("FEMALE SURG, ORTHO &amp; GYN"),
ISNUMBER(SEARCH("PSYCHIATRIST",K625)), PROPER("PSYCHIATRIST"),
ISNUMBER(SEARCH("GRADE 1",K625)), PROPER("GRADE 1"),
ISNUMBER(SEARCH("MALE SURGICAL",K625)), PROPER("MALE SURG &amp; ORTHOPEDIC"),
ISNUMBER(SEARCH("MALE MEDICAL",K625)), PROPER("MALE MEDICAL"),
ISNUMBER(SEARCH("GRADE 2",K625)), PROPER("GRADE 2"),
ISNUMBER(SEARCH("FEMALE WARD",K625)), PROPER("FEMALE MEDICAL"),
TRUE, "Unmapped: " &amp; K625)</f>
        <v>Paediatric</v>
      </c>
      <c r="M625" t="s">
        <v>22</v>
      </c>
      <c r="O625" t="s">
        <v>2207</v>
      </c>
      <c r="P625" t="str">
        <f t="shared" si="77"/>
        <v>Text Error</v>
      </c>
      <c r="Q625" s="5">
        <v>46045.050127314818</v>
      </c>
      <c r="R625" t="str">
        <f t="shared" si="78"/>
        <v>Valid Date</v>
      </c>
      <c r="S625" t="s">
        <v>2208</v>
      </c>
      <c r="T625" s="5">
        <v>46047.334166666667</v>
      </c>
      <c r="U625">
        <v>2</v>
      </c>
      <c r="V625" t="str">
        <f t="shared" si="79"/>
        <v>OK</v>
      </c>
      <c r="W625" t="s">
        <v>25</v>
      </c>
      <c r="Y625" t="s">
        <v>30</v>
      </c>
    </row>
    <row r="626" spans="1:25" x14ac:dyDescent="0.25">
      <c r="A626" t="s">
        <v>2209</v>
      </c>
      <c r="B626" t="str">
        <f t="shared" si="73"/>
        <v>Baby Of Rahma Omary Issa</v>
      </c>
      <c r="C626">
        <v>129327</v>
      </c>
      <c r="D626" t="str">
        <f t="shared" si="72"/>
        <v>Unique</v>
      </c>
      <c r="E626" t="s">
        <v>1172</v>
      </c>
      <c r="F626" s="3" t="str">
        <f t="shared" si="74"/>
        <v>1/12</v>
      </c>
      <c r="G626" t="s">
        <v>19</v>
      </c>
      <c r="H626" t="str">
        <f t="shared" si="75"/>
        <v>Valid</v>
      </c>
      <c r="I626" t="s">
        <v>33</v>
      </c>
      <c r="J626" t="str">
        <f t="shared" si="76"/>
        <v>Kigoma Ujiji Mc</v>
      </c>
      <c r="K626" t="s">
        <v>21</v>
      </c>
      <c r="L626" t="str" cm="1">
        <f t="array" ref="L626">_xlfn.IFS(
ISNUMBER(SEARCH("ICU",K626)), "ICU",
ISNUMBER(SEARCH("NEONATAL",K626)), PROPER("NEONATAL"),
ISNUMBER(SEARCH("LABOUR",K626)), PROPER("LABOUR"),
ISNUMBER(SEARCH("PAEDIATRIC",K626)), PROPER("PAEDIATRIC"),
ISNUMBER(SEARCH("FEMALE SURGICAL",K626)), PROPER("FEMALE SURG, ORTHO &amp; GYN"),
ISNUMBER(SEARCH("PSYCHIATRIST",K626)), PROPER("PSYCHIATRIST"),
ISNUMBER(SEARCH("GRADE 1",K626)), PROPER("GRADE 1"),
ISNUMBER(SEARCH("MALE SURGICAL",K626)), PROPER("MALE SURG &amp; ORTHOPEDIC"),
ISNUMBER(SEARCH("MALE MEDICAL",K626)), PROPER("MALE MEDICAL"),
ISNUMBER(SEARCH("GRADE 2",K626)), PROPER("GRADE 2"),
ISNUMBER(SEARCH("FEMALE WARD",K626)), PROPER("FEMALE MEDICAL"),
TRUE, "Unmapped: " &amp; K626)</f>
        <v>Neonatal</v>
      </c>
      <c r="M626" t="s">
        <v>22</v>
      </c>
      <c r="O626" t="s">
        <v>2210</v>
      </c>
      <c r="P626" t="str">
        <f t="shared" si="77"/>
        <v>Text Error</v>
      </c>
      <c r="Q626" s="5">
        <v>46045.6405787037</v>
      </c>
      <c r="R626" t="str">
        <f t="shared" si="78"/>
        <v>Valid Date</v>
      </c>
      <c r="S626" t="s">
        <v>2211</v>
      </c>
      <c r="T626" s="5">
        <v>46047.729456018518</v>
      </c>
      <c r="U626">
        <v>2</v>
      </c>
      <c r="V626" t="str">
        <f t="shared" si="79"/>
        <v>OK</v>
      </c>
      <c r="W626" t="s">
        <v>25</v>
      </c>
      <c r="Y626" t="s">
        <v>30</v>
      </c>
    </row>
    <row r="627" spans="1:25" x14ac:dyDescent="0.25">
      <c r="A627" t="s">
        <v>2212</v>
      </c>
      <c r="B627" t="str">
        <f t="shared" si="73"/>
        <v>Maleekah Ibrahim Ndembo</v>
      </c>
      <c r="C627">
        <v>129431</v>
      </c>
      <c r="D627" t="str">
        <f t="shared" si="72"/>
        <v>Unique</v>
      </c>
      <c r="E627" t="s">
        <v>622</v>
      </c>
      <c r="F627" s="3" t="str">
        <f t="shared" si="74"/>
        <v>2/12</v>
      </c>
      <c r="G627" t="s">
        <v>32</v>
      </c>
      <c r="H627" t="str">
        <f t="shared" si="75"/>
        <v>Valid</v>
      </c>
      <c r="I627" t="s">
        <v>33</v>
      </c>
      <c r="J627" t="str">
        <f t="shared" si="76"/>
        <v>Kigoma Ujiji Mc</v>
      </c>
      <c r="K627" t="s">
        <v>21</v>
      </c>
      <c r="L627" t="str" cm="1">
        <f t="array" ref="L627">_xlfn.IFS(
ISNUMBER(SEARCH("ICU",K627)), "ICU",
ISNUMBER(SEARCH("NEONATAL",K627)), PROPER("NEONATAL"),
ISNUMBER(SEARCH("LABOUR",K627)), PROPER("LABOUR"),
ISNUMBER(SEARCH("PAEDIATRIC",K627)), PROPER("PAEDIATRIC"),
ISNUMBER(SEARCH("FEMALE SURGICAL",K627)), PROPER("FEMALE SURG, ORTHO &amp; GYN"),
ISNUMBER(SEARCH("PSYCHIATRIST",K627)), PROPER("PSYCHIATRIST"),
ISNUMBER(SEARCH("GRADE 1",K627)), PROPER("GRADE 1"),
ISNUMBER(SEARCH("MALE SURGICAL",K627)), PROPER("MALE SURG &amp; ORTHOPEDIC"),
ISNUMBER(SEARCH("MALE MEDICAL",K627)), PROPER("MALE MEDICAL"),
ISNUMBER(SEARCH("GRADE 2",K627)), PROPER("GRADE 2"),
ISNUMBER(SEARCH("FEMALE WARD",K627)), PROPER("FEMALE MEDICAL"),
TRUE, "Unmapped: " &amp; K627)</f>
        <v>Neonatal</v>
      </c>
      <c r="M627" t="s">
        <v>22</v>
      </c>
      <c r="O627" t="s">
        <v>2213</v>
      </c>
      <c r="P627" t="str">
        <f t="shared" si="77"/>
        <v>Text Error</v>
      </c>
      <c r="Q627" s="5">
        <v>46045.740451388891</v>
      </c>
      <c r="R627" t="str">
        <f t="shared" si="78"/>
        <v>Valid Date</v>
      </c>
      <c r="S627" t="s">
        <v>2214</v>
      </c>
      <c r="T627" s="5">
        <v>46048.654722222222</v>
      </c>
      <c r="U627">
        <v>2</v>
      </c>
      <c r="V627" t="str">
        <f t="shared" si="79"/>
        <v>OK</v>
      </c>
      <c r="W627" t="s">
        <v>25</v>
      </c>
      <c r="Y627" t="s">
        <v>30</v>
      </c>
    </row>
    <row r="628" spans="1:25" x14ac:dyDescent="0.25">
      <c r="A628" t="s">
        <v>2215</v>
      </c>
      <c r="B628" t="str">
        <f t="shared" si="73"/>
        <v>Veronika Daniel Daudi</v>
      </c>
      <c r="C628">
        <v>129418</v>
      </c>
      <c r="D628" t="str">
        <f t="shared" si="72"/>
        <v>Unique</v>
      </c>
      <c r="E628" t="s">
        <v>68</v>
      </c>
      <c r="F628" s="3">
        <f t="shared" si="74"/>
        <v>32</v>
      </c>
      <c r="G628" t="s">
        <v>32</v>
      </c>
      <c r="H628" t="str">
        <f t="shared" si="75"/>
        <v>Valid</v>
      </c>
      <c r="I628" t="s">
        <v>20</v>
      </c>
      <c r="J628" t="str">
        <f t="shared" si="76"/>
        <v>Uvinza</v>
      </c>
      <c r="K628" t="s">
        <v>40</v>
      </c>
      <c r="L628" t="str" cm="1">
        <f t="array" ref="L628">_xlfn.IFS(
ISNUMBER(SEARCH("ICU",K628)), "ICU",
ISNUMBER(SEARCH("NEONATAL",K628)), PROPER("NEONATAL"),
ISNUMBER(SEARCH("LABOUR",K628)), PROPER("LABOUR"),
ISNUMBER(SEARCH("PAEDIATRIC",K628)), PROPER("PAEDIATRIC"),
ISNUMBER(SEARCH("FEMALE SURGICAL",K628)), PROPER("FEMALE SURG, ORTHO &amp; GYN"),
ISNUMBER(SEARCH("PSYCHIATRIST",K628)), PROPER("PSYCHIATRIST"),
ISNUMBER(SEARCH("GRADE 1",K628)), PROPER("GRADE 1"),
ISNUMBER(SEARCH("MALE SURGICAL",K628)), PROPER("MALE SURG &amp; ORTHOPEDIC"),
ISNUMBER(SEARCH("MALE MEDICAL",K628)), PROPER("MALE MEDICAL"),
ISNUMBER(SEARCH("GRADE 2",K628)), PROPER("GRADE 2"),
ISNUMBER(SEARCH("FEMALE WARD",K628)), PROPER("FEMALE MEDICAL"),
TRUE, "Unmapped: " &amp; K628)</f>
        <v>Labour</v>
      </c>
      <c r="M628" t="s">
        <v>22</v>
      </c>
      <c r="O628" t="s">
        <v>2216</v>
      </c>
      <c r="P628" t="str">
        <f t="shared" si="77"/>
        <v>Text Error</v>
      </c>
      <c r="Q628" s="5">
        <v>46045.756747685184</v>
      </c>
      <c r="R628" t="str">
        <f t="shared" si="78"/>
        <v>Valid Date</v>
      </c>
      <c r="S628" t="s">
        <v>2217</v>
      </c>
      <c r="T628" s="5">
        <v>46047.778784722221</v>
      </c>
      <c r="U628">
        <v>2</v>
      </c>
      <c r="V628" t="str">
        <f t="shared" si="79"/>
        <v>OK</v>
      </c>
      <c r="W628" t="s">
        <v>25</v>
      </c>
      <c r="Y628" t="s">
        <v>30</v>
      </c>
    </row>
    <row r="629" spans="1:25" x14ac:dyDescent="0.25">
      <c r="A629" t="s">
        <v>2218</v>
      </c>
      <c r="B629" t="str">
        <f t="shared" si="73"/>
        <v>Baby Of Salma Sharifu Ibrahim</v>
      </c>
      <c r="C629">
        <v>129322</v>
      </c>
      <c r="D629" t="str">
        <f t="shared" si="72"/>
        <v>Unique</v>
      </c>
      <c r="E629" t="s">
        <v>622</v>
      </c>
      <c r="F629" s="3" t="str">
        <f t="shared" si="74"/>
        <v>2/12</v>
      </c>
      <c r="G629" t="s">
        <v>19</v>
      </c>
      <c r="H629" t="str">
        <f t="shared" si="75"/>
        <v>Valid</v>
      </c>
      <c r="I629" t="s">
        <v>33</v>
      </c>
      <c r="J629" t="str">
        <f t="shared" si="76"/>
        <v>Kigoma Ujiji Mc</v>
      </c>
      <c r="K629" t="s">
        <v>21</v>
      </c>
      <c r="L629" t="str" cm="1">
        <f t="array" ref="L629">_xlfn.IFS(
ISNUMBER(SEARCH("ICU",K629)), "ICU",
ISNUMBER(SEARCH("NEONATAL",K629)), PROPER("NEONATAL"),
ISNUMBER(SEARCH("LABOUR",K629)), PROPER("LABOUR"),
ISNUMBER(SEARCH("PAEDIATRIC",K629)), PROPER("PAEDIATRIC"),
ISNUMBER(SEARCH("FEMALE SURGICAL",K629)), PROPER("FEMALE SURG, ORTHO &amp; GYN"),
ISNUMBER(SEARCH("PSYCHIATRIST",K629)), PROPER("PSYCHIATRIST"),
ISNUMBER(SEARCH("GRADE 1",K629)), PROPER("GRADE 1"),
ISNUMBER(SEARCH("MALE SURGICAL",K629)), PROPER("MALE SURG &amp; ORTHOPEDIC"),
ISNUMBER(SEARCH("MALE MEDICAL",K629)), PROPER("MALE MEDICAL"),
ISNUMBER(SEARCH("GRADE 2",K629)), PROPER("GRADE 2"),
ISNUMBER(SEARCH("FEMALE WARD",K629)), PROPER("FEMALE MEDICAL"),
TRUE, "Unmapped: " &amp; K629)</f>
        <v>Neonatal</v>
      </c>
      <c r="M629" t="s">
        <v>22</v>
      </c>
      <c r="O629" t="s">
        <v>2219</v>
      </c>
      <c r="P629" t="str">
        <f t="shared" si="77"/>
        <v>Text Error</v>
      </c>
      <c r="Q629" s="5">
        <v>46045.832766203705</v>
      </c>
      <c r="R629" t="str">
        <f t="shared" si="78"/>
        <v>Valid Date</v>
      </c>
      <c r="S629" t="s">
        <v>2220</v>
      </c>
      <c r="T629" s="5">
        <v>46048.663391203707</v>
      </c>
      <c r="U629">
        <v>2</v>
      </c>
      <c r="V629" t="str">
        <f t="shared" si="79"/>
        <v>OK</v>
      </c>
      <c r="W629" t="s">
        <v>25</v>
      </c>
      <c r="Y629" t="s">
        <v>30</v>
      </c>
    </row>
    <row r="630" spans="1:25" x14ac:dyDescent="0.25">
      <c r="A630" t="s">
        <v>2222</v>
      </c>
      <c r="B630" t="str">
        <f t="shared" si="73"/>
        <v>Asia Yusuph Mombo</v>
      </c>
      <c r="C630">
        <v>23424</v>
      </c>
      <c r="D630" t="str">
        <f t="shared" si="72"/>
        <v>Unique</v>
      </c>
      <c r="E630" t="s">
        <v>1378</v>
      </c>
      <c r="F630" s="3">
        <f t="shared" si="74"/>
        <v>75</v>
      </c>
      <c r="G630" t="s">
        <v>32</v>
      </c>
      <c r="H630" t="str">
        <f t="shared" si="75"/>
        <v>Valid</v>
      </c>
      <c r="I630" t="s">
        <v>227</v>
      </c>
      <c r="J630" t="str">
        <f t="shared" si="76"/>
        <v>KGG</v>
      </c>
      <c r="K630" t="s">
        <v>685</v>
      </c>
      <c r="L630" t="str" cm="1">
        <f t="array" ref="L630">_xlfn.IFS(
ISNUMBER(SEARCH("ICU",K630)), "ICU",
ISNUMBER(SEARCH("NEONATAL",K630)), PROPER("NEONATAL"),
ISNUMBER(SEARCH("LABOUR",K630)), PROPER("LABOUR"),
ISNUMBER(SEARCH("PAEDIATRIC",K630)), PROPER("PAEDIATRIC"),
ISNUMBER(SEARCH("FEMALE SURGICAL",K630)), PROPER("FEMALE SURG, ORTHO &amp; GYN"),
ISNUMBER(SEARCH("PSYCHIATRIST",K630)), PROPER("PSYCHIATRIST"),
ISNUMBER(SEARCH("GRADE 1",K630)), PROPER("GRADE 1"),
ISNUMBER(SEARCH("MALE SURGICAL",K630)), PROPER("MALE SURG &amp; ORTHOPEDIC"),
ISNUMBER(SEARCH("MALE MEDICAL",K630)), PROPER("MALE MEDICAL"),
ISNUMBER(SEARCH("GRADE 2",K630)), PROPER("GRADE 2"),
ISNUMBER(SEARCH("FEMALE WARD",K630)), PROPER("FEMALE MEDICAL"),
TRUE, "Unmapped: " &amp; K630)</f>
        <v>Grade 2</v>
      </c>
      <c r="M630" t="s">
        <v>394</v>
      </c>
      <c r="O630" t="s">
        <v>2223</v>
      </c>
      <c r="P630" t="str">
        <f t="shared" si="77"/>
        <v>Text Error</v>
      </c>
      <c r="Q630" s="5">
        <v>46045.940717592595</v>
      </c>
      <c r="R630" t="str">
        <f t="shared" si="78"/>
        <v>Valid Date</v>
      </c>
      <c r="S630" t="s">
        <v>2224</v>
      </c>
      <c r="T630" s="5">
        <v>46048.631354166668</v>
      </c>
      <c r="U630">
        <v>2</v>
      </c>
      <c r="V630" t="str">
        <f t="shared" si="79"/>
        <v>OK</v>
      </c>
      <c r="W630" t="s">
        <v>25</v>
      </c>
      <c r="Y630" t="s">
        <v>30</v>
      </c>
    </row>
    <row r="631" spans="1:25" x14ac:dyDescent="0.25">
      <c r="A631" t="s">
        <v>2225</v>
      </c>
      <c r="B631" t="str">
        <f t="shared" si="73"/>
        <v>Madua Amos Munyaga</v>
      </c>
      <c r="C631">
        <v>129495</v>
      </c>
      <c r="D631" t="str">
        <f t="shared" si="72"/>
        <v>Unique</v>
      </c>
      <c r="E631" t="s">
        <v>122</v>
      </c>
      <c r="F631" s="3">
        <f t="shared" si="74"/>
        <v>40</v>
      </c>
      <c r="G631" t="s">
        <v>19</v>
      </c>
      <c r="H631" t="str">
        <f t="shared" si="75"/>
        <v>Valid</v>
      </c>
      <c r="I631" t="s">
        <v>130</v>
      </c>
      <c r="J631" t="str">
        <f t="shared" si="76"/>
        <v>Buhigwe</v>
      </c>
      <c r="K631" t="s">
        <v>484</v>
      </c>
      <c r="L631" t="str" cm="1">
        <f t="array" ref="L631">_xlfn.IFS(
ISNUMBER(SEARCH("ICU",K631)), "ICU",
ISNUMBER(SEARCH("NEONATAL",K631)), PROPER("NEONATAL"),
ISNUMBER(SEARCH("LABOUR",K631)), PROPER("LABOUR"),
ISNUMBER(SEARCH("PAEDIATRIC",K631)), PROPER("PAEDIATRIC"),
ISNUMBER(SEARCH("FEMALE SURGICAL",K631)), PROPER("FEMALE SURG, ORTHO &amp; GYN"),
ISNUMBER(SEARCH("PSYCHIATRIST",K631)), PROPER("PSYCHIATRIST"),
ISNUMBER(SEARCH("GRADE 1",K631)), PROPER("GRADE 1"),
ISNUMBER(SEARCH("MALE SURGICAL",K631)), PROPER("MALE SURG &amp; ORTHOPEDIC"),
ISNUMBER(SEARCH("MALE MEDICAL",K631)), PROPER("MALE MEDICAL"),
ISNUMBER(SEARCH("GRADE 2",K631)), PROPER("GRADE 2"),
ISNUMBER(SEARCH("FEMALE WARD",K631)), PROPER("FEMALE MEDICAL"),
TRUE, "Unmapped: " &amp; K631)</f>
        <v>Male Medical</v>
      </c>
      <c r="M631" t="s">
        <v>22</v>
      </c>
      <c r="O631" t="s">
        <v>2226</v>
      </c>
      <c r="P631" t="str">
        <f t="shared" si="77"/>
        <v>Text Error</v>
      </c>
      <c r="Q631" s="5">
        <v>46046.797326388885</v>
      </c>
      <c r="R631" t="str">
        <f t="shared" si="78"/>
        <v>Valid Date</v>
      </c>
      <c r="S631" t="s">
        <v>2227</v>
      </c>
      <c r="T631" s="5">
        <v>46049.549143518518</v>
      </c>
      <c r="U631">
        <v>2</v>
      </c>
      <c r="V631" t="str">
        <f t="shared" si="79"/>
        <v>OK</v>
      </c>
      <c r="W631" t="s">
        <v>25</v>
      </c>
      <c r="Y631" t="s">
        <v>30</v>
      </c>
    </row>
    <row r="632" spans="1:25" x14ac:dyDescent="0.25">
      <c r="A632" t="s">
        <v>2228</v>
      </c>
      <c r="B632" t="str">
        <f t="shared" si="73"/>
        <v>Sefu Sadick Kaduguda</v>
      </c>
      <c r="C632">
        <v>125580</v>
      </c>
      <c r="D632" t="str">
        <f t="shared" si="72"/>
        <v>Unique</v>
      </c>
      <c r="E632" t="s">
        <v>2229</v>
      </c>
      <c r="F632" s="3">
        <f t="shared" si="74"/>
        <v>48</v>
      </c>
      <c r="G632" t="s">
        <v>19</v>
      </c>
      <c r="H632" t="str">
        <f t="shared" si="75"/>
        <v>Valid</v>
      </c>
      <c r="I632" t="s">
        <v>260</v>
      </c>
      <c r="J632" t="str">
        <f t="shared" si="76"/>
        <v>Kasulu</v>
      </c>
      <c r="K632" t="s">
        <v>484</v>
      </c>
      <c r="L632" t="str" cm="1">
        <f t="array" ref="L632">_xlfn.IFS(
ISNUMBER(SEARCH("ICU",K632)), "ICU",
ISNUMBER(SEARCH("NEONATAL",K632)), PROPER("NEONATAL"),
ISNUMBER(SEARCH("LABOUR",K632)), PROPER("LABOUR"),
ISNUMBER(SEARCH("PAEDIATRIC",K632)), PROPER("PAEDIATRIC"),
ISNUMBER(SEARCH("FEMALE SURGICAL",K632)), PROPER("FEMALE SURG, ORTHO &amp; GYN"),
ISNUMBER(SEARCH("PSYCHIATRIST",K632)), PROPER("PSYCHIATRIST"),
ISNUMBER(SEARCH("GRADE 1",K632)), PROPER("GRADE 1"),
ISNUMBER(SEARCH("MALE SURGICAL",K632)), PROPER("MALE SURG &amp; ORTHOPEDIC"),
ISNUMBER(SEARCH("MALE MEDICAL",K632)), PROPER("MALE MEDICAL"),
ISNUMBER(SEARCH("GRADE 2",K632)), PROPER("GRADE 2"),
ISNUMBER(SEARCH("FEMALE WARD",K632)), PROPER("FEMALE MEDICAL"),
TRUE, "Unmapped: " &amp; K632)</f>
        <v>Male Medical</v>
      </c>
      <c r="M632" t="s">
        <v>22</v>
      </c>
      <c r="O632" t="s">
        <v>2230</v>
      </c>
      <c r="P632" t="str">
        <f t="shared" si="77"/>
        <v>Text Error</v>
      </c>
      <c r="Q632" s="5">
        <v>46047.046296296299</v>
      </c>
      <c r="R632" t="str">
        <f t="shared" si="78"/>
        <v>Valid Date</v>
      </c>
      <c r="S632" t="s">
        <v>2231</v>
      </c>
      <c r="T632" s="5">
        <v>46049.545416666668</v>
      </c>
      <c r="U632">
        <v>2</v>
      </c>
      <c r="V632" t="str">
        <f t="shared" si="79"/>
        <v>OK</v>
      </c>
      <c r="W632" t="s">
        <v>25</v>
      </c>
      <c r="Y632" t="s">
        <v>30</v>
      </c>
    </row>
    <row r="633" spans="1:25" x14ac:dyDescent="0.25">
      <c r="A633" t="s">
        <v>2232</v>
      </c>
      <c r="B633" t="str">
        <f t="shared" si="73"/>
        <v>Enock Mawazo Abias</v>
      </c>
      <c r="C633">
        <v>36443</v>
      </c>
      <c r="D633" t="str">
        <f t="shared" si="72"/>
        <v>Unique</v>
      </c>
      <c r="E633" t="s">
        <v>454</v>
      </c>
      <c r="F633" s="3">
        <f t="shared" si="74"/>
        <v>3</v>
      </c>
      <c r="G633" t="s">
        <v>19</v>
      </c>
      <c r="H633" t="str">
        <f t="shared" si="75"/>
        <v>Valid</v>
      </c>
      <c r="I633" t="s">
        <v>227</v>
      </c>
      <c r="J633" t="str">
        <f t="shared" si="76"/>
        <v>KGG</v>
      </c>
      <c r="K633" t="s">
        <v>109</v>
      </c>
      <c r="L633" t="str" cm="1">
        <f t="array" ref="L633">_xlfn.IFS(
ISNUMBER(SEARCH("ICU",K633)), "ICU",
ISNUMBER(SEARCH("NEONATAL",K633)), PROPER("NEONATAL"),
ISNUMBER(SEARCH("LABOUR",K633)), PROPER("LABOUR"),
ISNUMBER(SEARCH("PAEDIATRIC",K633)), PROPER("PAEDIATRIC"),
ISNUMBER(SEARCH("FEMALE SURGICAL",K633)), PROPER("FEMALE SURG, ORTHO &amp; GYN"),
ISNUMBER(SEARCH("PSYCHIATRIST",K633)), PROPER("PSYCHIATRIST"),
ISNUMBER(SEARCH("GRADE 1",K633)), PROPER("GRADE 1"),
ISNUMBER(SEARCH("MALE SURGICAL",K633)), PROPER("MALE SURG &amp; ORTHOPEDIC"),
ISNUMBER(SEARCH("MALE MEDICAL",K633)), PROPER("MALE MEDICAL"),
ISNUMBER(SEARCH("GRADE 2",K633)), PROPER("GRADE 2"),
ISNUMBER(SEARCH("FEMALE WARD",K633)), PROPER("FEMALE MEDICAL"),
TRUE, "Unmapped: " &amp; K633)</f>
        <v>Paediatric</v>
      </c>
      <c r="M633" t="s">
        <v>664</v>
      </c>
      <c r="O633" t="s">
        <v>2233</v>
      </c>
      <c r="P633" t="str">
        <f t="shared" si="77"/>
        <v>Text Error</v>
      </c>
      <c r="Q633" s="5">
        <v>46047.192245370374</v>
      </c>
      <c r="R633" t="str">
        <f t="shared" si="78"/>
        <v>Valid Date</v>
      </c>
      <c r="S633" t="s">
        <v>2234</v>
      </c>
      <c r="T633" s="5">
        <v>46049.732685185183</v>
      </c>
      <c r="U633">
        <v>2</v>
      </c>
      <c r="V633" t="str">
        <f t="shared" si="79"/>
        <v>OK</v>
      </c>
      <c r="W633" t="s">
        <v>25</v>
      </c>
      <c r="Y633" t="s">
        <v>30</v>
      </c>
    </row>
    <row r="634" spans="1:25" x14ac:dyDescent="0.25">
      <c r="A634" t="s">
        <v>2235</v>
      </c>
      <c r="B634" t="str">
        <f t="shared" si="73"/>
        <v>Gian Festo Modest</v>
      </c>
      <c r="C634">
        <v>129452</v>
      </c>
      <c r="D634" t="str">
        <f t="shared" si="72"/>
        <v>Unique</v>
      </c>
      <c r="E634" t="s">
        <v>221</v>
      </c>
      <c r="F634" s="3" t="str">
        <f t="shared" si="74"/>
        <v>9/12</v>
      </c>
      <c r="G634" t="s">
        <v>19</v>
      </c>
      <c r="H634" t="str">
        <f t="shared" si="75"/>
        <v>Valid</v>
      </c>
      <c r="I634" t="s">
        <v>33</v>
      </c>
      <c r="J634" t="str">
        <f t="shared" si="76"/>
        <v>Kigoma Ujiji Mc</v>
      </c>
      <c r="K634" t="s">
        <v>109</v>
      </c>
      <c r="L634" t="str" cm="1">
        <f t="array" ref="L634">_xlfn.IFS(
ISNUMBER(SEARCH("ICU",K634)), "ICU",
ISNUMBER(SEARCH("NEONATAL",K634)), PROPER("NEONATAL"),
ISNUMBER(SEARCH("LABOUR",K634)), PROPER("LABOUR"),
ISNUMBER(SEARCH("PAEDIATRIC",K634)), PROPER("PAEDIATRIC"),
ISNUMBER(SEARCH("FEMALE SURGICAL",K634)), PROPER("FEMALE SURG, ORTHO &amp; GYN"),
ISNUMBER(SEARCH("PSYCHIATRIST",K634)), PROPER("PSYCHIATRIST"),
ISNUMBER(SEARCH("GRADE 1",K634)), PROPER("GRADE 1"),
ISNUMBER(SEARCH("MALE SURGICAL",K634)), PROPER("MALE SURG &amp; ORTHOPEDIC"),
ISNUMBER(SEARCH("MALE MEDICAL",K634)), PROPER("MALE MEDICAL"),
ISNUMBER(SEARCH("GRADE 2",K634)), PROPER("GRADE 2"),
ISNUMBER(SEARCH("FEMALE WARD",K634)), PROPER("FEMALE MEDICAL"),
TRUE, "Unmapped: " &amp; K634)</f>
        <v>Paediatric</v>
      </c>
      <c r="M634" t="s">
        <v>22</v>
      </c>
      <c r="O634" t="s">
        <v>2236</v>
      </c>
      <c r="P634" t="str">
        <f t="shared" si="77"/>
        <v>Text Error</v>
      </c>
      <c r="Q634" s="5">
        <v>46047.430717592593</v>
      </c>
      <c r="R634" t="str">
        <f t="shared" si="78"/>
        <v>Valid Date</v>
      </c>
      <c r="S634" t="s">
        <v>2237</v>
      </c>
      <c r="T634" s="5">
        <v>46049.732870370368</v>
      </c>
      <c r="U634">
        <v>2</v>
      </c>
      <c r="V634" t="str">
        <f t="shared" si="79"/>
        <v>OK</v>
      </c>
      <c r="W634" t="s">
        <v>25</v>
      </c>
      <c r="Y634" t="s">
        <v>30</v>
      </c>
    </row>
    <row r="635" spans="1:25" x14ac:dyDescent="0.25">
      <c r="A635" t="s">
        <v>2238</v>
      </c>
      <c r="B635" t="str">
        <f t="shared" si="73"/>
        <v>Agnes M Maingu</v>
      </c>
      <c r="C635">
        <v>31160</v>
      </c>
      <c r="D635" t="str">
        <f t="shared" si="72"/>
        <v>Duplicate</v>
      </c>
      <c r="E635" t="s">
        <v>454</v>
      </c>
      <c r="F635" s="3">
        <f t="shared" si="74"/>
        <v>3</v>
      </c>
      <c r="G635" t="s">
        <v>32</v>
      </c>
      <c r="H635" t="str">
        <f t="shared" si="75"/>
        <v>Valid</v>
      </c>
      <c r="I635" t="s">
        <v>227</v>
      </c>
      <c r="J635" t="str">
        <f t="shared" si="76"/>
        <v>KGG</v>
      </c>
      <c r="K635" t="s">
        <v>109</v>
      </c>
      <c r="L635" t="str" cm="1">
        <f t="array" ref="L635">_xlfn.IFS(
ISNUMBER(SEARCH("ICU",K635)), "ICU",
ISNUMBER(SEARCH("NEONATAL",K635)), PROPER("NEONATAL"),
ISNUMBER(SEARCH("LABOUR",K635)), PROPER("LABOUR"),
ISNUMBER(SEARCH("PAEDIATRIC",K635)), PROPER("PAEDIATRIC"),
ISNUMBER(SEARCH("FEMALE SURGICAL",K635)), PROPER("FEMALE SURG, ORTHO &amp; GYN"),
ISNUMBER(SEARCH("PSYCHIATRIST",K635)), PROPER("PSYCHIATRIST"),
ISNUMBER(SEARCH("GRADE 1",K635)), PROPER("GRADE 1"),
ISNUMBER(SEARCH("MALE SURGICAL",K635)), PROPER("MALE SURG &amp; ORTHOPEDIC"),
ISNUMBER(SEARCH("MALE MEDICAL",K635)), PROPER("MALE MEDICAL"),
ISNUMBER(SEARCH("GRADE 2",K635)), PROPER("GRADE 2"),
ISNUMBER(SEARCH("FEMALE WARD",K635)), PROPER("FEMALE MEDICAL"),
TRUE, "Unmapped: " &amp; K635)</f>
        <v>Paediatric</v>
      </c>
      <c r="M635" t="s">
        <v>394</v>
      </c>
      <c r="O635" t="s">
        <v>2239</v>
      </c>
      <c r="P635" t="str">
        <f t="shared" si="77"/>
        <v>Text Error</v>
      </c>
      <c r="Q635" s="5">
        <v>46047.461122685185</v>
      </c>
      <c r="R635" t="str">
        <f t="shared" si="78"/>
        <v>Valid Date</v>
      </c>
      <c r="S635" t="s">
        <v>2240</v>
      </c>
      <c r="T635" s="5">
        <v>46049.569027777776</v>
      </c>
      <c r="U635">
        <v>2</v>
      </c>
      <c r="V635" t="str">
        <f t="shared" si="79"/>
        <v>OK</v>
      </c>
      <c r="W635" t="s">
        <v>25</v>
      </c>
      <c r="Y635" t="s">
        <v>30</v>
      </c>
    </row>
    <row r="636" spans="1:25" x14ac:dyDescent="0.25">
      <c r="A636" t="s">
        <v>2242</v>
      </c>
      <c r="B636" t="str">
        <f t="shared" si="73"/>
        <v>Elisha Fyula Kuyeko</v>
      </c>
      <c r="C636">
        <v>3092</v>
      </c>
      <c r="D636" t="str">
        <f t="shared" si="72"/>
        <v>Unique</v>
      </c>
      <c r="E636" t="s">
        <v>208</v>
      </c>
      <c r="F636" s="3">
        <f t="shared" si="74"/>
        <v>50</v>
      </c>
      <c r="G636" t="s">
        <v>19</v>
      </c>
      <c r="H636" t="str">
        <f t="shared" si="75"/>
        <v>Valid</v>
      </c>
      <c r="I636" t="s">
        <v>20</v>
      </c>
      <c r="J636" t="str">
        <f t="shared" si="76"/>
        <v>Uvinza</v>
      </c>
      <c r="K636" t="s">
        <v>484</v>
      </c>
      <c r="L636" t="str" cm="1">
        <f t="array" ref="L636">_xlfn.IFS(
ISNUMBER(SEARCH("ICU",K636)), "ICU",
ISNUMBER(SEARCH("NEONATAL",K636)), PROPER("NEONATAL"),
ISNUMBER(SEARCH("LABOUR",K636)), PROPER("LABOUR"),
ISNUMBER(SEARCH("PAEDIATRIC",K636)), PROPER("PAEDIATRIC"),
ISNUMBER(SEARCH("FEMALE SURGICAL",K636)), PROPER("FEMALE SURG, ORTHO &amp; GYN"),
ISNUMBER(SEARCH("PSYCHIATRIST",K636)), PROPER("PSYCHIATRIST"),
ISNUMBER(SEARCH("GRADE 1",K636)), PROPER("GRADE 1"),
ISNUMBER(SEARCH("MALE SURGICAL",K636)), PROPER("MALE SURG &amp; ORTHOPEDIC"),
ISNUMBER(SEARCH("MALE MEDICAL",K636)), PROPER("MALE MEDICAL"),
ISNUMBER(SEARCH("GRADE 2",K636)), PROPER("GRADE 2"),
ISNUMBER(SEARCH("FEMALE WARD",K636)), PROPER("FEMALE MEDICAL"),
TRUE, "Unmapped: " &amp; K636)</f>
        <v>Male Medical</v>
      </c>
      <c r="M636" t="s">
        <v>22</v>
      </c>
      <c r="O636" t="s">
        <v>2243</v>
      </c>
      <c r="P636" t="str">
        <f t="shared" si="77"/>
        <v>Text Error</v>
      </c>
      <c r="Q636" s="5">
        <v>46047.626064814816</v>
      </c>
      <c r="R636" t="str">
        <f t="shared" si="78"/>
        <v>Valid Date</v>
      </c>
      <c r="S636" t="s">
        <v>2244</v>
      </c>
      <c r="T636" s="5">
        <v>46050.535636574074</v>
      </c>
      <c r="U636">
        <v>2</v>
      </c>
      <c r="V636" t="str">
        <f t="shared" si="79"/>
        <v>OK</v>
      </c>
      <c r="W636" t="s">
        <v>25</v>
      </c>
      <c r="Y636" t="s">
        <v>30</v>
      </c>
    </row>
    <row r="637" spans="1:25" x14ac:dyDescent="0.25">
      <c r="A637" t="s">
        <v>2245</v>
      </c>
      <c r="B637" t="str">
        <f t="shared" si="73"/>
        <v>Alvina A Maganga</v>
      </c>
      <c r="C637">
        <v>122693</v>
      </c>
      <c r="D637" t="str">
        <f t="shared" si="72"/>
        <v>Unique</v>
      </c>
      <c r="E637" t="s">
        <v>18</v>
      </c>
      <c r="F637" s="3">
        <f t="shared" si="74"/>
        <v>1</v>
      </c>
      <c r="G637" t="s">
        <v>32</v>
      </c>
      <c r="H637" t="str">
        <f t="shared" si="75"/>
        <v>Valid</v>
      </c>
      <c r="I637" t="s">
        <v>33</v>
      </c>
      <c r="J637" t="str">
        <f t="shared" si="76"/>
        <v>Kigoma Ujiji Mc</v>
      </c>
      <c r="K637" t="s">
        <v>393</v>
      </c>
      <c r="L637" t="str" cm="1">
        <f t="array" ref="L637">_xlfn.IFS(
ISNUMBER(SEARCH("ICU",K637)), "ICU",
ISNUMBER(SEARCH("NEONATAL",K637)), PROPER("NEONATAL"),
ISNUMBER(SEARCH("LABOUR",K637)), PROPER("LABOUR"),
ISNUMBER(SEARCH("PAEDIATRIC",K637)), PROPER("PAEDIATRIC"),
ISNUMBER(SEARCH("FEMALE SURGICAL",K637)), PROPER("FEMALE SURG, ORTHO &amp; GYN"),
ISNUMBER(SEARCH("PSYCHIATRIST",K637)), PROPER("PSYCHIATRIST"),
ISNUMBER(SEARCH("GRADE 1",K637)), PROPER("GRADE 1"),
ISNUMBER(SEARCH("MALE SURGICAL",K637)), PROPER("MALE SURG &amp; ORTHOPEDIC"),
ISNUMBER(SEARCH("MALE MEDICAL",K637)), PROPER("MALE MEDICAL"),
ISNUMBER(SEARCH("GRADE 2",K637)), PROPER("GRADE 2"),
ISNUMBER(SEARCH("FEMALE WARD",K637)), PROPER("FEMALE MEDICAL"),
TRUE, "Unmapped: " &amp; K637)</f>
        <v>Grade 1</v>
      </c>
      <c r="M637" t="s">
        <v>394</v>
      </c>
      <c r="O637" t="s">
        <v>2246</v>
      </c>
      <c r="P637" t="str">
        <f t="shared" si="77"/>
        <v>Text Error</v>
      </c>
      <c r="Q637" s="5">
        <v>46047.655972222223</v>
      </c>
      <c r="R637" t="str">
        <f t="shared" si="78"/>
        <v>Valid Date</v>
      </c>
      <c r="S637" t="s">
        <v>2247</v>
      </c>
      <c r="T637" s="5">
        <v>46050.490636574075</v>
      </c>
      <c r="U637">
        <v>2</v>
      </c>
      <c r="V637" t="str">
        <f t="shared" si="79"/>
        <v>OK</v>
      </c>
      <c r="W637" t="s">
        <v>25</v>
      </c>
      <c r="Y637" t="s">
        <v>30</v>
      </c>
    </row>
    <row r="638" spans="1:25" x14ac:dyDescent="0.25">
      <c r="A638" t="s">
        <v>2249</v>
      </c>
      <c r="B638" t="str">
        <f t="shared" si="73"/>
        <v>Elisha Inosent Paulo</v>
      </c>
      <c r="C638">
        <v>127638</v>
      </c>
      <c r="D638" t="str">
        <f t="shared" si="72"/>
        <v>Unique</v>
      </c>
      <c r="E638" t="s">
        <v>181</v>
      </c>
      <c r="F638" s="3">
        <f t="shared" si="74"/>
        <v>7</v>
      </c>
      <c r="G638" t="s">
        <v>19</v>
      </c>
      <c r="H638" t="str">
        <f t="shared" si="75"/>
        <v>Valid</v>
      </c>
      <c r="I638" t="s">
        <v>33</v>
      </c>
      <c r="J638" t="str">
        <f t="shared" si="76"/>
        <v>Kigoma Ujiji Mc</v>
      </c>
      <c r="K638" t="s">
        <v>109</v>
      </c>
      <c r="L638" t="str" cm="1">
        <f t="array" ref="L638">_xlfn.IFS(
ISNUMBER(SEARCH("ICU",K638)), "ICU",
ISNUMBER(SEARCH("NEONATAL",K638)), PROPER("NEONATAL"),
ISNUMBER(SEARCH("LABOUR",K638)), PROPER("LABOUR"),
ISNUMBER(SEARCH("PAEDIATRIC",K638)), PROPER("PAEDIATRIC"),
ISNUMBER(SEARCH("FEMALE SURGICAL",K638)), PROPER("FEMALE SURG, ORTHO &amp; GYN"),
ISNUMBER(SEARCH("PSYCHIATRIST",K638)), PROPER("PSYCHIATRIST"),
ISNUMBER(SEARCH("GRADE 1",K638)), PROPER("GRADE 1"),
ISNUMBER(SEARCH("MALE SURGICAL",K638)), PROPER("MALE SURG &amp; ORTHOPEDIC"),
ISNUMBER(SEARCH("MALE MEDICAL",K638)), PROPER("MALE MEDICAL"),
ISNUMBER(SEARCH("GRADE 2",K638)), PROPER("GRADE 2"),
ISNUMBER(SEARCH("FEMALE WARD",K638)), PROPER("FEMALE MEDICAL"),
TRUE, "Unmapped: " &amp; K638)</f>
        <v>Paediatric</v>
      </c>
      <c r="M638" t="s">
        <v>22</v>
      </c>
      <c r="O638" t="s">
        <v>2250</v>
      </c>
      <c r="P638" t="str">
        <f t="shared" si="77"/>
        <v>Text Error</v>
      </c>
      <c r="Q638" s="5">
        <v>46047.695787037039</v>
      </c>
      <c r="R638" t="str">
        <f t="shared" si="78"/>
        <v>Valid Date</v>
      </c>
      <c r="S638" t="s">
        <v>2251</v>
      </c>
      <c r="T638" s="5">
        <v>46050.494884259257</v>
      </c>
      <c r="U638">
        <v>2</v>
      </c>
      <c r="V638" t="str">
        <f t="shared" si="79"/>
        <v>OK</v>
      </c>
      <c r="W638" t="s">
        <v>25</v>
      </c>
      <c r="Y638" t="s">
        <v>30</v>
      </c>
    </row>
    <row r="639" spans="1:25" x14ac:dyDescent="0.25">
      <c r="A639" t="s">
        <v>2252</v>
      </c>
      <c r="B639" t="str">
        <f t="shared" si="73"/>
        <v>Sesilia Daud Sasila</v>
      </c>
      <c r="C639">
        <v>7643</v>
      </c>
      <c r="D639" t="str">
        <f t="shared" si="72"/>
        <v>Unique</v>
      </c>
      <c r="E639" t="s">
        <v>922</v>
      </c>
      <c r="F639" s="3">
        <f t="shared" si="74"/>
        <v>65</v>
      </c>
      <c r="G639" t="s">
        <v>32</v>
      </c>
      <c r="H639" t="str">
        <f t="shared" si="75"/>
        <v>Valid</v>
      </c>
      <c r="I639" t="s">
        <v>754</v>
      </c>
      <c r="J639" t="str">
        <f t="shared" si="76"/>
        <v>KG</v>
      </c>
      <c r="K639" t="s">
        <v>393</v>
      </c>
      <c r="L639" t="str" cm="1">
        <f t="array" ref="L639">_xlfn.IFS(
ISNUMBER(SEARCH("ICU",K639)), "ICU",
ISNUMBER(SEARCH("NEONATAL",K639)), PROPER("NEONATAL"),
ISNUMBER(SEARCH("LABOUR",K639)), PROPER("LABOUR"),
ISNUMBER(SEARCH("PAEDIATRIC",K639)), PROPER("PAEDIATRIC"),
ISNUMBER(SEARCH("FEMALE SURGICAL",K639)), PROPER("FEMALE SURG, ORTHO &amp; GYN"),
ISNUMBER(SEARCH("PSYCHIATRIST",K639)), PROPER("PSYCHIATRIST"),
ISNUMBER(SEARCH("GRADE 1",K639)), PROPER("GRADE 1"),
ISNUMBER(SEARCH("MALE SURGICAL",K639)), PROPER("MALE SURG &amp; ORTHOPEDIC"),
ISNUMBER(SEARCH("MALE MEDICAL",K639)), PROPER("MALE MEDICAL"),
ISNUMBER(SEARCH("GRADE 2",K639)), PROPER("GRADE 2"),
ISNUMBER(SEARCH("FEMALE WARD",K639)), PROPER("FEMALE MEDICAL"),
TRUE, "Unmapped: " &amp; K639)</f>
        <v>Grade 1</v>
      </c>
      <c r="M639" t="s">
        <v>394</v>
      </c>
      <c r="O639" t="s">
        <v>2253</v>
      </c>
      <c r="P639" t="str">
        <f t="shared" si="77"/>
        <v>Text Error</v>
      </c>
      <c r="Q639" s="5">
        <v>46047.697835648149</v>
      </c>
      <c r="R639" t="str">
        <f t="shared" si="78"/>
        <v>Valid Date</v>
      </c>
      <c r="S639" t="s">
        <v>2254</v>
      </c>
      <c r="T639" s="5">
        <v>46050.592569444445</v>
      </c>
      <c r="U639">
        <v>2</v>
      </c>
      <c r="V639" t="str">
        <f t="shared" si="79"/>
        <v>OK</v>
      </c>
      <c r="W639" t="s">
        <v>25</v>
      </c>
      <c r="Y639" t="s">
        <v>30</v>
      </c>
    </row>
    <row r="640" spans="1:25" x14ac:dyDescent="0.25">
      <c r="A640" t="s">
        <v>2255</v>
      </c>
      <c r="B640" t="str">
        <f t="shared" si="73"/>
        <v>Hamimu Makanga Ally</v>
      </c>
      <c r="C640">
        <v>96821</v>
      </c>
      <c r="D640" t="str">
        <f t="shared" si="72"/>
        <v>Unique</v>
      </c>
      <c r="E640" t="s">
        <v>39</v>
      </c>
      <c r="F640" s="3">
        <f t="shared" si="74"/>
        <v>33</v>
      </c>
      <c r="G640" t="s">
        <v>19</v>
      </c>
      <c r="H640" t="str">
        <f t="shared" si="75"/>
        <v>Valid</v>
      </c>
      <c r="I640" t="s">
        <v>33</v>
      </c>
      <c r="J640" t="str">
        <f t="shared" si="76"/>
        <v>Kigoma Ujiji Mc</v>
      </c>
      <c r="K640" t="s">
        <v>428</v>
      </c>
      <c r="L640" t="str" cm="1">
        <f t="array" ref="L640">_xlfn.IFS(
ISNUMBER(SEARCH("ICU",K640)), "ICU",
ISNUMBER(SEARCH("NEONATAL",K640)), PROPER("NEONATAL"),
ISNUMBER(SEARCH("LABOUR",K640)), PROPER("LABOUR"),
ISNUMBER(SEARCH("PAEDIATRIC",K640)), PROPER("PAEDIATRIC"),
ISNUMBER(SEARCH("FEMALE SURGICAL",K640)), PROPER("FEMALE SURG, ORTHO &amp; GYN"),
ISNUMBER(SEARCH("PSYCHIATRIST",K640)), PROPER("PSYCHIATRIST"),
ISNUMBER(SEARCH("GRADE 1",K640)), PROPER("GRADE 1"),
ISNUMBER(SEARCH("MALE SURGICAL",K640)), PROPER("MALE SURG &amp; ORTHOPEDIC"),
ISNUMBER(SEARCH("MALE MEDICAL",K640)), PROPER("MALE MEDICAL"),
ISNUMBER(SEARCH("GRADE 2",K640)), PROPER("GRADE 2"),
ISNUMBER(SEARCH("FEMALE WARD",K640)), PROPER("FEMALE MEDICAL"),
TRUE, "Unmapped: " &amp; K640)</f>
        <v>Male Surg &amp; Orthopedic</v>
      </c>
      <c r="M640" t="s">
        <v>22</v>
      </c>
      <c r="O640" t="s">
        <v>2256</v>
      </c>
      <c r="P640" t="str">
        <f t="shared" si="77"/>
        <v>Text Error</v>
      </c>
      <c r="Q640" s="5">
        <v>46047.804224537038</v>
      </c>
      <c r="R640" t="str">
        <f t="shared" si="78"/>
        <v>Valid Date</v>
      </c>
      <c r="S640" t="s">
        <v>2257</v>
      </c>
      <c r="T640" s="5">
        <v>46050.578067129631</v>
      </c>
      <c r="U640">
        <v>2</v>
      </c>
      <c r="V640" t="str">
        <f t="shared" si="79"/>
        <v>OK</v>
      </c>
      <c r="W640" t="s">
        <v>25</v>
      </c>
      <c r="Y640" t="s">
        <v>30</v>
      </c>
    </row>
    <row r="641" spans="1:25" x14ac:dyDescent="0.25">
      <c r="A641" t="s">
        <v>2258</v>
      </c>
      <c r="B641" t="str">
        <f t="shared" si="73"/>
        <v>Rajabu Mtoro Temela</v>
      </c>
      <c r="C641">
        <v>129552</v>
      </c>
      <c r="D641" t="str">
        <f t="shared" si="72"/>
        <v>Unique</v>
      </c>
      <c r="E641" t="s">
        <v>474</v>
      </c>
      <c r="F641" s="3">
        <f t="shared" si="74"/>
        <v>53</v>
      </c>
      <c r="G641" t="s">
        <v>19</v>
      </c>
      <c r="H641" t="str">
        <f t="shared" si="75"/>
        <v>Valid</v>
      </c>
      <c r="I641" t="s">
        <v>33</v>
      </c>
      <c r="J641" t="str">
        <f t="shared" si="76"/>
        <v>Kigoma Ujiji Mc</v>
      </c>
      <c r="K641" t="s">
        <v>428</v>
      </c>
      <c r="L641" t="str" cm="1">
        <f t="array" ref="L641">_xlfn.IFS(
ISNUMBER(SEARCH("ICU",K641)), "ICU",
ISNUMBER(SEARCH("NEONATAL",K641)), PROPER("NEONATAL"),
ISNUMBER(SEARCH("LABOUR",K641)), PROPER("LABOUR"),
ISNUMBER(SEARCH("PAEDIATRIC",K641)), PROPER("PAEDIATRIC"),
ISNUMBER(SEARCH("FEMALE SURGICAL",K641)), PROPER("FEMALE SURG, ORTHO &amp; GYN"),
ISNUMBER(SEARCH("PSYCHIATRIST",K641)), PROPER("PSYCHIATRIST"),
ISNUMBER(SEARCH("GRADE 1",K641)), PROPER("GRADE 1"),
ISNUMBER(SEARCH("MALE SURGICAL",K641)), PROPER("MALE SURG &amp; ORTHOPEDIC"),
ISNUMBER(SEARCH("MALE MEDICAL",K641)), PROPER("MALE MEDICAL"),
ISNUMBER(SEARCH("GRADE 2",K641)), PROPER("GRADE 2"),
ISNUMBER(SEARCH("FEMALE WARD",K641)), PROPER("FEMALE MEDICAL"),
TRUE, "Unmapped: " &amp; K641)</f>
        <v>Male Surg &amp; Orthopedic</v>
      </c>
      <c r="M641" t="s">
        <v>22</v>
      </c>
      <c r="O641" t="s">
        <v>2259</v>
      </c>
      <c r="P641" t="str">
        <f t="shared" si="77"/>
        <v>Text Error</v>
      </c>
      <c r="Q641" s="5">
        <v>46047.8746875</v>
      </c>
      <c r="R641" t="str">
        <f t="shared" si="78"/>
        <v>Valid Date</v>
      </c>
      <c r="S641" t="s">
        <v>2260</v>
      </c>
      <c r="T641" s="5">
        <v>46050.688784722224</v>
      </c>
      <c r="U641">
        <v>2</v>
      </c>
      <c r="V641" t="str">
        <f t="shared" si="79"/>
        <v>OK</v>
      </c>
      <c r="W641" t="s">
        <v>112</v>
      </c>
      <c r="Y641" t="s">
        <v>30</v>
      </c>
    </row>
    <row r="642" spans="1:25" x14ac:dyDescent="0.25">
      <c r="A642" t="s">
        <v>2261</v>
      </c>
      <c r="B642" t="str">
        <f t="shared" si="73"/>
        <v>Kelemesia Mtabangi Mtabangi</v>
      </c>
      <c r="C642">
        <v>129555</v>
      </c>
      <c r="D642" t="str">
        <f t="shared" ref="D642:D705" si="80">IF(COUNTIF($C$2:$C$905,C642)&gt;1,"Duplicate","Unique")</f>
        <v>Unique</v>
      </c>
      <c r="E642" t="s">
        <v>884</v>
      </c>
      <c r="F642" s="3">
        <f t="shared" si="74"/>
        <v>70</v>
      </c>
      <c r="G642" t="s">
        <v>32</v>
      </c>
      <c r="H642" t="str">
        <f t="shared" si="75"/>
        <v>Valid</v>
      </c>
      <c r="I642" t="s">
        <v>33</v>
      </c>
      <c r="J642" t="str">
        <f t="shared" si="76"/>
        <v>Kigoma Ujiji Mc</v>
      </c>
      <c r="K642" t="s">
        <v>700</v>
      </c>
      <c r="L642" t="str" cm="1">
        <f t="array" ref="L642">_xlfn.IFS(
ISNUMBER(SEARCH("ICU",K642)), "ICU",
ISNUMBER(SEARCH("NEONATAL",K642)), PROPER("NEONATAL"),
ISNUMBER(SEARCH("LABOUR",K642)), PROPER("LABOUR"),
ISNUMBER(SEARCH("PAEDIATRIC",K642)), PROPER("PAEDIATRIC"),
ISNUMBER(SEARCH("FEMALE SURGICAL",K642)), PROPER("FEMALE SURG, ORTHO &amp; GYN"),
ISNUMBER(SEARCH("PSYCHIATRIST",K642)), PROPER("PSYCHIATRIST"),
ISNUMBER(SEARCH("GRADE 1",K642)), PROPER("GRADE 1"),
ISNUMBER(SEARCH("MALE SURGICAL",K642)), PROPER("MALE SURG &amp; ORTHOPEDIC"),
ISNUMBER(SEARCH("MALE MEDICAL",K642)), PROPER("MALE MEDICAL"),
ISNUMBER(SEARCH("GRADE 2",K642)), PROPER("GRADE 2"),
ISNUMBER(SEARCH("FEMALE WARD",K642)), PROPER("FEMALE MEDICAL"),
TRUE, "Unmapped: " &amp; K642)</f>
        <v>Female Medical</v>
      </c>
      <c r="M642" t="s">
        <v>22</v>
      </c>
      <c r="O642" t="s">
        <v>2262</v>
      </c>
      <c r="P642" t="str">
        <f t="shared" si="77"/>
        <v>Text Error</v>
      </c>
      <c r="Q642" s="5">
        <v>46048.0237037037</v>
      </c>
      <c r="R642" t="str">
        <f t="shared" si="78"/>
        <v>Valid Date</v>
      </c>
      <c r="S642" t="s">
        <v>2263</v>
      </c>
      <c r="T642" s="5">
        <v>46050.687372685185</v>
      </c>
      <c r="U642">
        <v>2</v>
      </c>
      <c r="V642" t="str">
        <f t="shared" si="79"/>
        <v>OK</v>
      </c>
      <c r="W642" t="s">
        <v>25</v>
      </c>
      <c r="Y642" t="s">
        <v>30</v>
      </c>
    </row>
    <row r="643" spans="1:25" x14ac:dyDescent="0.25">
      <c r="A643" t="s">
        <v>2264</v>
      </c>
      <c r="B643" t="str">
        <f t="shared" ref="B643:B706" si="81">IF(LEN(TRIM(A643))-LEN(SUBSTITUTE(TRIM(A643)," ",""))&gt;=1,TRIM(A643),"⚠ Only 1 name: "&amp;TRIM(A643))</f>
        <v>Ummy Maulid Rajabu</v>
      </c>
      <c r="C643">
        <v>128390</v>
      </c>
      <c r="D643" t="str">
        <f t="shared" si="80"/>
        <v>Unique</v>
      </c>
      <c r="E643" t="s">
        <v>142</v>
      </c>
      <c r="F643" s="3">
        <f t="shared" ref="F643:F706" si="82">IF(ISNUMBER(SEARCH("month",E643)), LEFT(E643,FIND(" ",E643)-1)&amp;"/12", VALUE(LEFT(E643,FIND(" ",E643)-1)))</f>
        <v>20</v>
      </c>
      <c r="G643" t="s">
        <v>32</v>
      </c>
      <c r="H643" t="str">
        <f t="shared" ref="H643:H706" si="83">IF(OR(TRIM(G643)="Male", TRIM(G643)="Female"), "Valid", "Inconsistent")</f>
        <v>Valid</v>
      </c>
      <c r="I643" t="s">
        <v>62</v>
      </c>
      <c r="J643" t="str">
        <f t="shared" ref="J643:J706" si="84">SUBSTITUTE(SUBSTITUTE(TRIM(CLEAN(I643)),"Manisipaa ya kigoma ujiji","Kigoma Ujiji Mc"),"Buhingwe","Buhigwe")</f>
        <v>Kigoma Vijijini</v>
      </c>
      <c r="K643" t="s">
        <v>685</v>
      </c>
      <c r="L643" t="str" cm="1">
        <f t="array" ref="L643">_xlfn.IFS(
ISNUMBER(SEARCH("ICU",K643)), "ICU",
ISNUMBER(SEARCH("NEONATAL",K643)), PROPER("NEONATAL"),
ISNUMBER(SEARCH("LABOUR",K643)), PROPER("LABOUR"),
ISNUMBER(SEARCH("PAEDIATRIC",K643)), PROPER("PAEDIATRIC"),
ISNUMBER(SEARCH("FEMALE SURGICAL",K643)), PROPER("FEMALE SURG, ORTHO &amp; GYN"),
ISNUMBER(SEARCH("PSYCHIATRIST",K643)), PROPER("PSYCHIATRIST"),
ISNUMBER(SEARCH("GRADE 1",K643)), PROPER("GRADE 1"),
ISNUMBER(SEARCH("MALE SURGICAL",K643)), PROPER("MALE SURG &amp; ORTHOPEDIC"),
ISNUMBER(SEARCH("MALE MEDICAL",K643)), PROPER("MALE MEDICAL"),
ISNUMBER(SEARCH("GRADE 2",K643)), PROPER("GRADE 2"),
ISNUMBER(SEARCH("FEMALE WARD",K643)), PROPER("FEMALE MEDICAL"),
TRUE, "Unmapped: " &amp; K643)</f>
        <v>Grade 2</v>
      </c>
      <c r="M643" t="s">
        <v>2265</v>
      </c>
      <c r="O643" t="s">
        <v>2266</v>
      </c>
      <c r="P643" t="str">
        <f t="shared" ref="P643:P706" si="85">IF(ISNUMBER(O643), "Valid Date", "Text Error")</f>
        <v>Text Error</v>
      </c>
      <c r="Q643" s="5">
        <v>46048.481747685182</v>
      </c>
      <c r="R643" t="str">
        <f t="shared" ref="R643:R706" si="86">IF(ISNUMBER(Q643), "Valid Date", "Text Error")</f>
        <v>Valid Date</v>
      </c>
      <c r="S643" t="s">
        <v>2267</v>
      </c>
      <c r="T643" s="5">
        <v>46050.600381944445</v>
      </c>
      <c r="U643">
        <v>2</v>
      </c>
      <c r="V643" t="str">
        <f t="shared" ref="V643:V706" si="87">IF(NOT(ISNUMBER(U643)), "Text Error", IF(U643&lt;0, "Negative", "OK"))</f>
        <v>OK</v>
      </c>
      <c r="W643" t="s">
        <v>25</v>
      </c>
      <c r="Y643" t="s">
        <v>30</v>
      </c>
    </row>
    <row r="644" spans="1:25" x14ac:dyDescent="0.25">
      <c r="A644" t="s">
        <v>2268</v>
      </c>
      <c r="B644" t="str">
        <f t="shared" si="81"/>
        <v>Gianna A Evarist</v>
      </c>
      <c r="C644">
        <v>98603</v>
      </c>
      <c r="D644" t="str">
        <f t="shared" si="80"/>
        <v>Unique</v>
      </c>
      <c r="E644" t="s">
        <v>108</v>
      </c>
      <c r="F644" s="3">
        <f t="shared" si="82"/>
        <v>2</v>
      </c>
      <c r="G644" t="s">
        <v>32</v>
      </c>
      <c r="H644" t="str">
        <f t="shared" si="83"/>
        <v>Valid</v>
      </c>
      <c r="I644" t="s">
        <v>33</v>
      </c>
      <c r="J644" t="str">
        <f t="shared" si="84"/>
        <v>Kigoma Ujiji Mc</v>
      </c>
      <c r="K644" t="s">
        <v>109</v>
      </c>
      <c r="L644" t="str" cm="1">
        <f t="array" ref="L644">_xlfn.IFS(
ISNUMBER(SEARCH("ICU",K644)), "ICU",
ISNUMBER(SEARCH("NEONATAL",K644)), PROPER("NEONATAL"),
ISNUMBER(SEARCH("LABOUR",K644)), PROPER("LABOUR"),
ISNUMBER(SEARCH("PAEDIATRIC",K644)), PROPER("PAEDIATRIC"),
ISNUMBER(SEARCH("FEMALE SURGICAL",K644)), PROPER("FEMALE SURG, ORTHO &amp; GYN"),
ISNUMBER(SEARCH("PSYCHIATRIST",K644)), PROPER("PSYCHIATRIST"),
ISNUMBER(SEARCH("GRADE 1",K644)), PROPER("GRADE 1"),
ISNUMBER(SEARCH("MALE SURGICAL",K644)), PROPER("MALE SURG &amp; ORTHOPEDIC"),
ISNUMBER(SEARCH("MALE MEDICAL",K644)), PROPER("MALE MEDICAL"),
ISNUMBER(SEARCH("GRADE 2",K644)), PROPER("GRADE 2"),
ISNUMBER(SEARCH("FEMALE WARD",K644)), PROPER("FEMALE MEDICAL"),
TRUE, "Unmapped: " &amp; K644)</f>
        <v>Paediatric</v>
      </c>
      <c r="M644" t="s">
        <v>394</v>
      </c>
      <c r="O644" t="s">
        <v>2269</v>
      </c>
      <c r="P644" t="str">
        <f t="shared" si="85"/>
        <v>Text Error</v>
      </c>
      <c r="Q644" s="5">
        <v>46048.823784722219</v>
      </c>
      <c r="R644" t="str">
        <f t="shared" si="86"/>
        <v>Valid Date</v>
      </c>
      <c r="S644" t="s">
        <v>2270</v>
      </c>
      <c r="T644" s="5">
        <v>46051.661053240743</v>
      </c>
      <c r="U644">
        <v>2</v>
      </c>
      <c r="V644" t="str">
        <f t="shared" si="87"/>
        <v>OK</v>
      </c>
      <c r="W644" t="s">
        <v>112</v>
      </c>
      <c r="Y644" t="s">
        <v>30</v>
      </c>
    </row>
    <row r="645" spans="1:25" x14ac:dyDescent="0.25">
      <c r="A645" t="s">
        <v>2271</v>
      </c>
      <c r="B645" t="str">
        <f t="shared" si="81"/>
        <v>David Josephat Ngenzi</v>
      </c>
      <c r="C645">
        <v>129660</v>
      </c>
      <c r="D645" t="str">
        <f t="shared" si="80"/>
        <v>Unique</v>
      </c>
      <c r="E645" t="s">
        <v>74</v>
      </c>
      <c r="F645" s="3">
        <f t="shared" si="82"/>
        <v>35</v>
      </c>
      <c r="G645" t="s">
        <v>19</v>
      </c>
      <c r="H645" t="str">
        <f t="shared" si="83"/>
        <v>Valid</v>
      </c>
      <c r="I645" t="s">
        <v>33</v>
      </c>
      <c r="J645" t="str">
        <f t="shared" si="84"/>
        <v>Kigoma Ujiji Mc</v>
      </c>
      <c r="K645" t="s">
        <v>484</v>
      </c>
      <c r="L645" t="str" cm="1">
        <f t="array" ref="L645">_xlfn.IFS(
ISNUMBER(SEARCH("ICU",K645)), "ICU",
ISNUMBER(SEARCH("NEONATAL",K645)), PROPER("NEONATAL"),
ISNUMBER(SEARCH("LABOUR",K645)), PROPER("LABOUR"),
ISNUMBER(SEARCH("PAEDIATRIC",K645)), PROPER("PAEDIATRIC"),
ISNUMBER(SEARCH("FEMALE SURGICAL",K645)), PROPER("FEMALE SURG, ORTHO &amp; GYN"),
ISNUMBER(SEARCH("PSYCHIATRIST",K645)), PROPER("PSYCHIATRIST"),
ISNUMBER(SEARCH("GRADE 1",K645)), PROPER("GRADE 1"),
ISNUMBER(SEARCH("MALE SURGICAL",K645)), PROPER("MALE SURG &amp; ORTHOPEDIC"),
ISNUMBER(SEARCH("MALE MEDICAL",K645)), PROPER("MALE MEDICAL"),
ISNUMBER(SEARCH("GRADE 2",K645)), PROPER("GRADE 2"),
ISNUMBER(SEARCH("FEMALE WARD",K645)), PROPER("FEMALE MEDICAL"),
TRUE, "Unmapped: " &amp; K645)</f>
        <v>Male Medical</v>
      </c>
      <c r="M645" t="s">
        <v>22</v>
      </c>
      <c r="O645" t="s">
        <v>2272</v>
      </c>
      <c r="P645" t="str">
        <f t="shared" si="85"/>
        <v>Text Error</v>
      </c>
      <c r="Q645" s="5">
        <v>46048.92491898148</v>
      </c>
      <c r="R645" t="str">
        <f t="shared" si="86"/>
        <v>Valid Date</v>
      </c>
      <c r="S645" t="s">
        <v>2273</v>
      </c>
      <c r="T645" s="5">
        <v>46051.665972222225</v>
      </c>
      <c r="U645">
        <v>2</v>
      </c>
      <c r="V645" t="str">
        <f t="shared" si="87"/>
        <v>OK</v>
      </c>
      <c r="W645" t="s">
        <v>25</v>
      </c>
      <c r="Y645" t="s">
        <v>30</v>
      </c>
    </row>
    <row r="646" spans="1:25" x14ac:dyDescent="0.25">
      <c r="A646" t="s">
        <v>2274</v>
      </c>
      <c r="B646" t="str">
        <f t="shared" si="81"/>
        <v>Gilbet Osward Kambanga</v>
      </c>
      <c r="C646">
        <v>129696</v>
      </c>
      <c r="D646" t="str">
        <f t="shared" si="80"/>
        <v>Unique</v>
      </c>
      <c r="E646" t="s">
        <v>281</v>
      </c>
      <c r="F646" s="3">
        <f t="shared" si="82"/>
        <v>36</v>
      </c>
      <c r="G646" t="s">
        <v>19</v>
      </c>
      <c r="H646" t="str">
        <f t="shared" si="83"/>
        <v>Valid</v>
      </c>
      <c r="I646" t="s">
        <v>20</v>
      </c>
      <c r="J646" t="str">
        <f t="shared" si="84"/>
        <v>Uvinza</v>
      </c>
      <c r="K646" t="s">
        <v>428</v>
      </c>
      <c r="L646" t="str" cm="1">
        <f t="array" ref="L646">_xlfn.IFS(
ISNUMBER(SEARCH("ICU",K646)), "ICU",
ISNUMBER(SEARCH("NEONATAL",K646)), PROPER("NEONATAL"),
ISNUMBER(SEARCH("LABOUR",K646)), PROPER("LABOUR"),
ISNUMBER(SEARCH("PAEDIATRIC",K646)), PROPER("PAEDIATRIC"),
ISNUMBER(SEARCH("FEMALE SURGICAL",K646)), PROPER("FEMALE SURG, ORTHO &amp; GYN"),
ISNUMBER(SEARCH("PSYCHIATRIST",K646)), PROPER("PSYCHIATRIST"),
ISNUMBER(SEARCH("GRADE 1",K646)), PROPER("GRADE 1"),
ISNUMBER(SEARCH("MALE SURGICAL",K646)), PROPER("MALE SURG &amp; ORTHOPEDIC"),
ISNUMBER(SEARCH("MALE MEDICAL",K646)), PROPER("MALE MEDICAL"),
ISNUMBER(SEARCH("GRADE 2",K646)), PROPER("GRADE 2"),
ISNUMBER(SEARCH("FEMALE WARD",K646)), PROPER("FEMALE MEDICAL"),
TRUE, "Unmapped: " &amp; K646)</f>
        <v>Male Surg &amp; Orthopedic</v>
      </c>
      <c r="M646" t="s">
        <v>22</v>
      </c>
      <c r="O646" t="s">
        <v>2275</v>
      </c>
      <c r="P646" t="str">
        <f t="shared" si="85"/>
        <v>Text Error</v>
      </c>
      <c r="Q646" s="5">
        <v>46049.226631944446</v>
      </c>
      <c r="R646" t="str">
        <f t="shared" si="86"/>
        <v>Valid Date</v>
      </c>
      <c r="S646" t="s">
        <v>2276</v>
      </c>
      <c r="T646" s="5">
        <v>46051.355949074074</v>
      </c>
      <c r="U646">
        <v>2</v>
      </c>
      <c r="V646" t="str">
        <f t="shared" si="87"/>
        <v>OK</v>
      </c>
      <c r="W646" t="s">
        <v>397</v>
      </c>
      <c r="Y646" t="s">
        <v>30</v>
      </c>
    </row>
    <row r="647" spans="1:25" x14ac:dyDescent="0.25">
      <c r="A647" t="s">
        <v>2277</v>
      </c>
      <c r="B647" t="str">
        <f t="shared" si="81"/>
        <v>Leonia Mpamba Lusohoka</v>
      </c>
      <c r="C647">
        <v>239</v>
      </c>
      <c r="D647" t="str">
        <f t="shared" si="80"/>
        <v>Unique</v>
      </c>
      <c r="E647" t="s">
        <v>1041</v>
      </c>
      <c r="F647" s="3">
        <f t="shared" si="82"/>
        <v>57</v>
      </c>
      <c r="G647" t="s">
        <v>32</v>
      </c>
      <c r="H647" t="str">
        <f t="shared" si="83"/>
        <v>Valid</v>
      </c>
      <c r="I647" t="s">
        <v>33</v>
      </c>
      <c r="J647" t="str">
        <f t="shared" si="84"/>
        <v>Kigoma Ujiji Mc</v>
      </c>
      <c r="K647" t="s">
        <v>700</v>
      </c>
      <c r="L647" t="str" cm="1">
        <f t="array" ref="L647">_xlfn.IFS(
ISNUMBER(SEARCH("ICU",K647)), "ICU",
ISNUMBER(SEARCH("NEONATAL",K647)), PROPER("NEONATAL"),
ISNUMBER(SEARCH("LABOUR",K647)), PROPER("LABOUR"),
ISNUMBER(SEARCH("PAEDIATRIC",K647)), PROPER("PAEDIATRIC"),
ISNUMBER(SEARCH("FEMALE SURGICAL",K647)), PROPER("FEMALE SURG, ORTHO &amp; GYN"),
ISNUMBER(SEARCH("PSYCHIATRIST",K647)), PROPER("PSYCHIATRIST"),
ISNUMBER(SEARCH("GRADE 1",K647)), PROPER("GRADE 1"),
ISNUMBER(SEARCH("MALE SURGICAL",K647)), PROPER("MALE SURG &amp; ORTHOPEDIC"),
ISNUMBER(SEARCH("MALE MEDICAL",K647)), PROPER("MALE MEDICAL"),
ISNUMBER(SEARCH("GRADE 2",K647)), PROPER("GRADE 2"),
ISNUMBER(SEARCH("FEMALE WARD",K647)), PROPER("FEMALE MEDICAL"),
TRUE, "Unmapped: " &amp; K647)</f>
        <v>Female Medical</v>
      </c>
      <c r="M647" t="s">
        <v>22</v>
      </c>
      <c r="O647" t="s">
        <v>2278</v>
      </c>
      <c r="P647" t="str">
        <f t="shared" si="85"/>
        <v>Text Error</v>
      </c>
      <c r="Q647" s="5">
        <v>46049.425879629627</v>
      </c>
      <c r="R647" t="str">
        <f t="shared" si="86"/>
        <v>Valid Date</v>
      </c>
      <c r="S647" t="s">
        <v>2279</v>
      </c>
      <c r="T647" s="5">
        <v>46051.457256944443</v>
      </c>
      <c r="U647">
        <v>2</v>
      </c>
      <c r="V647" t="str">
        <f t="shared" si="87"/>
        <v>OK</v>
      </c>
      <c r="W647" t="s">
        <v>25</v>
      </c>
      <c r="Y647" t="s">
        <v>30</v>
      </c>
    </row>
    <row r="648" spans="1:25" x14ac:dyDescent="0.25">
      <c r="A648" t="s">
        <v>2280</v>
      </c>
      <c r="B648" t="str">
        <f t="shared" si="81"/>
        <v>Situmai K Mtandanyi</v>
      </c>
      <c r="C648">
        <v>129777</v>
      </c>
      <c r="D648" t="str">
        <f t="shared" si="80"/>
        <v>Unique</v>
      </c>
      <c r="E648" t="s">
        <v>788</v>
      </c>
      <c r="F648" s="3">
        <f t="shared" si="82"/>
        <v>72</v>
      </c>
      <c r="G648" t="s">
        <v>32</v>
      </c>
      <c r="H648" t="str">
        <f t="shared" si="83"/>
        <v>Valid</v>
      </c>
      <c r="I648" t="s">
        <v>33</v>
      </c>
      <c r="J648" t="str">
        <f t="shared" si="84"/>
        <v>Kigoma Ujiji Mc</v>
      </c>
      <c r="K648" t="s">
        <v>685</v>
      </c>
      <c r="L648" t="str" cm="1">
        <f t="array" ref="L648">_xlfn.IFS(
ISNUMBER(SEARCH("ICU",K648)), "ICU",
ISNUMBER(SEARCH("NEONATAL",K648)), PROPER("NEONATAL"),
ISNUMBER(SEARCH("LABOUR",K648)), PROPER("LABOUR"),
ISNUMBER(SEARCH("PAEDIATRIC",K648)), PROPER("PAEDIATRIC"),
ISNUMBER(SEARCH("FEMALE SURGICAL",K648)), PROPER("FEMALE SURG, ORTHO &amp; GYN"),
ISNUMBER(SEARCH("PSYCHIATRIST",K648)), PROPER("PSYCHIATRIST"),
ISNUMBER(SEARCH("GRADE 1",K648)), PROPER("GRADE 1"),
ISNUMBER(SEARCH("MALE SURGICAL",K648)), PROPER("MALE SURG &amp; ORTHOPEDIC"),
ISNUMBER(SEARCH("MALE MEDICAL",K648)), PROPER("MALE MEDICAL"),
ISNUMBER(SEARCH("GRADE 2",K648)), PROPER("GRADE 2"),
ISNUMBER(SEARCH("FEMALE WARD",K648)), PROPER("FEMALE MEDICAL"),
TRUE, "Unmapped: " &amp; K648)</f>
        <v>Grade 2</v>
      </c>
      <c r="M648" t="s">
        <v>394</v>
      </c>
      <c r="O648" t="s">
        <v>2281</v>
      </c>
      <c r="P648" t="str">
        <f t="shared" si="85"/>
        <v>Text Error</v>
      </c>
      <c r="Q648" s="5">
        <v>46049.570416666669</v>
      </c>
      <c r="R648" t="str">
        <f t="shared" si="86"/>
        <v>Valid Date</v>
      </c>
      <c r="S648" t="s">
        <v>2282</v>
      </c>
      <c r="T648" s="5">
        <v>46051.577384259261</v>
      </c>
      <c r="U648">
        <v>2</v>
      </c>
      <c r="V648" t="str">
        <f t="shared" si="87"/>
        <v>OK</v>
      </c>
      <c r="W648" t="s">
        <v>112</v>
      </c>
      <c r="Y648" t="s">
        <v>30</v>
      </c>
    </row>
    <row r="649" spans="1:25" x14ac:dyDescent="0.25">
      <c r="A649" t="s">
        <v>2283</v>
      </c>
      <c r="B649" t="str">
        <f t="shared" si="81"/>
        <v>Christopher Philipo Samuyango</v>
      </c>
      <c r="C649">
        <v>129706</v>
      </c>
      <c r="D649" t="str">
        <f t="shared" si="80"/>
        <v>Unique</v>
      </c>
      <c r="E649" t="s">
        <v>296</v>
      </c>
      <c r="F649" s="3">
        <f t="shared" si="82"/>
        <v>26</v>
      </c>
      <c r="G649" t="s">
        <v>19</v>
      </c>
      <c r="H649" t="str">
        <f t="shared" si="83"/>
        <v>Valid</v>
      </c>
      <c r="I649" t="s">
        <v>130</v>
      </c>
      <c r="J649" t="str">
        <f t="shared" si="84"/>
        <v>Buhigwe</v>
      </c>
      <c r="K649" t="s">
        <v>484</v>
      </c>
      <c r="L649" t="str" cm="1">
        <f t="array" ref="L649">_xlfn.IFS(
ISNUMBER(SEARCH("ICU",K649)), "ICU",
ISNUMBER(SEARCH("NEONATAL",K649)), PROPER("NEONATAL"),
ISNUMBER(SEARCH("LABOUR",K649)), PROPER("LABOUR"),
ISNUMBER(SEARCH("PAEDIATRIC",K649)), PROPER("PAEDIATRIC"),
ISNUMBER(SEARCH("FEMALE SURGICAL",K649)), PROPER("FEMALE SURG, ORTHO &amp; GYN"),
ISNUMBER(SEARCH("PSYCHIATRIST",K649)), PROPER("PSYCHIATRIST"),
ISNUMBER(SEARCH("GRADE 1",K649)), PROPER("GRADE 1"),
ISNUMBER(SEARCH("MALE SURGICAL",K649)), PROPER("MALE SURG &amp; ORTHOPEDIC"),
ISNUMBER(SEARCH("MALE MEDICAL",K649)), PROPER("MALE MEDICAL"),
ISNUMBER(SEARCH("GRADE 2",K649)), PROPER("GRADE 2"),
ISNUMBER(SEARCH("FEMALE WARD",K649)), PROPER("FEMALE MEDICAL"),
TRUE, "Unmapped: " &amp; K649)</f>
        <v>Male Medical</v>
      </c>
      <c r="M649" t="s">
        <v>22</v>
      </c>
      <c r="O649" t="s">
        <v>2284</v>
      </c>
      <c r="P649" t="str">
        <f t="shared" si="85"/>
        <v>Text Error</v>
      </c>
      <c r="Q649" s="5">
        <v>46049.727407407408</v>
      </c>
      <c r="R649" t="str">
        <f t="shared" si="86"/>
        <v>Valid Date</v>
      </c>
      <c r="S649" t="s">
        <v>2285</v>
      </c>
      <c r="T649" s="5">
        <v>46052.525312500002</v>
      </c>
      <c r="U649">
        <v>2</v>
      </c>
      <c r="V649" t="str">
        <f t="shared" si="87"/>
        <v>OK</v>
      </c>
      <c r="W649" t="s">
        <v>25</v>
      </c>
      <c r="Y649" t="s">
        <v>30</v>
      </c>
    </row>
    <row r="650" spans="1:25" x14ac:dyDescent="0.25">
      <c r="A650" t="s">
        <v>2286</v>
      </c>
      <c r="B650" t="str">
        <f t="shared" si="81"/>
        <v>Mwavita Furaha</v>
      </c>
      <c r="C650">
        <v>129780</v>
      </c>
      <c r="D650" t="str">
        <f t="shared" si="80"/>
        <v>Unique</v>
      </c>
      <c r="E650" t="s">
        <v>175</v>
      </c>
      <c r="F650" s="3">
        <f t="shared" si="82"/>
        <v>8</v>
      </c>
      <c r="G650" t="s">
        <v>32</v>
      </c>
      <c r="H650" t="str">
        <f t="shared" si="83"/>
        <v>Valid</v>
      </c>
      <c r="I650" t="s">
        <v>33</v>
      </c>
      <c r="J650" t="str">
        <f t="shared" si="84"/>
        <v>Kigoma Ujiji Mc</v>
      </c>
      <c r="K650" t="s">
        <v>109</v>
      </c>
      <c r="L650" t="str" cm="1">
        <f t="array" ref="L650">_xlfn.IFS(
ISNUMBER(SEARCH("ICU",K650)), "ICU",
ISNUMBER(SEARCH("NEONATAL",K650)), PROPER("NEONATAL"),
ISNUMBER(SEARCH("LABOUR",K650)), PROPER("LABOUR"),
ISNUMBER(SEARCH("PAEDIATRIC",K650)), PROPER("PAEDIATRIC"),
ISNUMBER(SEARCH("FEMALE SURGICAL",K650)), PROPER("FEMALE SURG, ORTHO &amp; GYN"),
ISNUMBER(SEARCH("PSYCHIATRIST",K650)), PROPER("PSYCHIATRIST"),
ISNUMBER(SEARCH("GRADE 1",K650)), PROPER("GRADE 1"),
ISNUMBER(SEARCH("MALE SURGICAL",K650)), PROPER("MALE SURG &amp; ORTHOPEDIC"),
ISNUMBER(SEARCH("MALE MEDICAL",K650)), PROPER("MALE MEDICAL"),
ISNUMBER(SEARCH("GRADE 2",K650)), PROPER("GRADE 2"),
ISNUMBER(SEARCH("FEMALE WARD",K650)), PROPER("FEMALE MEDICAL"),
TRUE, "Unmapped: " &amp; K650)</f>
        <v>Paediatric</v>
      </c>
      <c r="M650" t="s">
        <v>22</v>
      </c>
      <c r="O650" t="s">
        <v>2287</v>
      </c>
      <c r="P650" t="str">
        <f t="shared" si="85"/>
        <v>Text Error</v>
      </c>
      <c r="Q650" s="5">
        <v>46049.729733796295</v>
      </c>
      <c r="R650" t="str">
        <f t="shared" si="86"/>
        <v>Valid Date</v>
      </c>
      <c r="S650" t="s">
        <v>2288</v>
      </c>
      <c r="T650" s="5">
        <v>46052.604189814818</v>
      </c>
      <c r="U650">
        <v>2</v>
      </c>
      <c r="V650" t="str">
        <f t="shared" si="87"/>
        <v>OK</v>
      </c>
      <c r="W650" t="s">
        <v>25</v>
      </c>
      <c r="Y650" t="s">
        <v>30</v>
      </c>
    </row>
    <row r="651" spans="1:25" x14ac:dyDescent="0.25">
      <c r="A651" t="s">
        <v>2289</v>
      </c>
      <c r="B651" t="str">
        <f t="shared" si="81"/>
        <v>Kakulu Yasin Mihozo</v>
      </c>
      <c r="C651">
        <v>129826</v>
      </c>
      <c r="D651" t="str">
        <f t="shared" si="80"/>
        <v>Unique</v>
      </c>
      <c r="E651" t="s">
        <v>450</v>
      </c>
      <c r="F651" s="3">
        <f t="shared" si="82"/>
        <v>45</v>
      </c>
      <c r="G651" t="s">
        <v>19</v>
      </c>
      <c r="H651" t="str">
        <f t="shared" si="83"/>
        <v>Valid</v>
      </c>
      <c r="I651" t="s">
        <v>62</v>
      </c>
      <c r="J651" t="str">
        <f t="shared" si="84"/>
        <v>Kigoma Vijijini</v>
      </c>
      <c r="K651" t="s">
        <v>484</v>
      </c>
      <c r="L651" t="str" cm="1">
        <f t="array" ref="L651">_xlfn.IFS(
ISNUMBER(SEARCH("ICU",K651)), "ICU",
ISNUMBER(SEARCH("NEONATAL",K651)), PROPER("NEONATAL"),
ISNUMBER(SEARCH("LABOUR",K651)), PROPER("LABOUR"),
ISNUMBER(SEARCH("PAEDIATRIC",K651)), PROPER("PAEDIATRIC"),
ISNUMBER(SEARCH("FEMALE SURGICAL",K651)), PROPER("FEMALE SURG, ORTHO &amp; GYN"),
ISNUMBER(SEARCH("PSYCHIATRIST",K651)), PROPER("PSYCHIATRIST"),
ISNUMBER(SEARCH("GRADE 1",K651)), PROPER("GRADE 1"),
ISNUMBER(SEARCH("MALE SURGICAL",K651)), PROPER("MALE SURG &amp; ORTHOPEDIC"),
ISNUMBER(SEARCH("MALE MEDICAL",K651)), PROPER("MALE MEDICAL"),
ISNUMBER(SEARCH("GRADE 2",K651)), PROPER("GRADE 2"),
ISNUMBER(SEARCH("FEMALE WARD",K651)), PROPER("FEMALE MEDICAL"),
TRUE, "Unmapped: " &amp; K651)</f>
        <v>Male Medical</v>
      </c>
      <c r="M651" t="s">
        <v>22</v>
      </c>
      <c r="O651" t="s">
        <v>2290</v>
      </c>
      <c r="P651" t="str">
        <f t="shared" si="85"/>
        <v>Text Error</v>
      </c>
      <c r="Q651" s="5">
        <v>46050.446655092594</v>
      </c>
      <c r="R651" t="str">
        <f t="shared" si="86"/>
        <v>Valid Date</v>
      </c>
      <c r="S651" t="s">
        <v>2291</v>
      </c>
      <c r="T651" s="5">
        <v>46052.637291666666</v>
      </c>
      <c r="U651">
        <v>2</v>
      </c>
      <c r="V651" t="str">
        <f t="shared" si="87"/>
        <v>OK</v>
      </c>
      <c r="W651" t="s">
        <v>25</v>
      </c>
      <c r="Y651" t="s">
        <v>30</v>
      </c>
    </row>
    <row r="652" spans="1:25" x14ac:dyDescent="0.25">
      <c r="A652" t="s">
        <v>2292</v>
      </c>
      <c r="B652" t="str">
        <f t="shared" si="81"/>
        <v>Zawadi Jackson Nanda</v>
      </c>
      <c r="C652">
        <v>129896</v>
      </c>
      <c r="D652" t="str">
        <f t="shared" si="80"/>
        <v>Unique</v>
      </c>
      <c r="E652" t="s">
        <v>374</v>
      </c>
      <c r="F652" s="3">
        <f t="shared" si="82"/>
        <v>37</v>
      </c>
      <c r="G652" t="s">
        <v>32</v>
      </c>
      <c r="H652" t="str">
        <f t="shared" si="83"/>
        <v>Valid</v>
      </c>
      <c r="I652" t="s">
        <v>33</v>
      </c>
      <c r="J652" t="str">
        <f t="shared" si="84"/>
        <v>Kigoma Ujiji Mc</v>
      </c>
      <c r="K652" t="s">
        <v>40</v>
      </c>
      <c r="L652" t="str" cm="1">
        <f t="array" ref="L652">_xlfn.IFS(
ISNUMBER(SEARCH("ICU",K652)), "ICU",
ISNUMBER(SEARCH("NEONATAL",K652)), PROPER("NEONATAL"),
ISNUMBER(SEARCH("LABOUR",K652)), PROPER("LABOUR"),
ISNUMBER(SEARCH("PAEDIATRIC",K652)), PROPER("PAEDIATRIC"),
ISNUMBER(SEARCH("FEMALE SURGICAL",K652)), PROPER("FEMALE SURG, ORTHO &amp; GYN"),
ISNUMBER(SEARCH("PSYCHIATRIST",K652)), PROPER("PSYCHIATRIST"),
ISNUMBER(SEARCH("GRADE 1",K652)), PROPER("GRADE 1"),
ISNUMBER(SEARCH("MALE SURGICAL",K652)), PROPER("MALE SURG &amp; ORTHOPEDIC"),
ISNUMBER(SEARCH("MALE MEDICAL",K652)), PROPER("MALE MEDICAL"),
ISNUMBER(SEARCH("GRADE 2",K652)), PROPER("GRADE 2"),
ISNUMBER(SEARCH("FEMALE WARD",K652)), PROPER("FEMALE MEDICAL"),
TRUE, "Unmapped: " &amp; K652)</f>
        <v>Labour</v>
      </c>
      <c r="M652" t="s">
        <v>22</v>
      </c>
      <c r="O652" t="s">
        <v>2293</v>
      </c>
      <c r="P652" t="str">
        <f t="shared" si="85"/>
        <v>Text Error</v>
      </c>
      <c r="Q652" s="5">
        <v>46050.58222222222</v>
      </c>
      <c r="R652" t="str">
        <f t="shared" si="86"/>
        <v>Valid Date</v>
      </c>
      <c r="S652" t="s">
        <v>2294</v>
      </c>
      <c r="T652" s="5">
        <v>46052.681516203702</v>
      </c>
      <c r="U652">
        <v>2</v>
      </c>
      <c r="V652" t="str">
        <f t="shared" si="87"/>
        <v>OK</v>
      </c>
      <c r="W652" t="s">
        <v>25</v>
      </c>
      <c r="Y652" t="s">
        <v>30</v>
      </c>
    </row>
    <row r="653" spans="1:25" x14ac:dyDescent="0.25">
      <c r="A653" t="s">
        <v>2295</v>
      </c>
      <c r="B653" t="str">
        <f t="shared" si="81"/>
        <v>Hadija Robson Rusovu</v>
      </c>
      <c r="C653">
        <v>129943</v>
      </c>
      <c r="D653" t="str">
        <f t="shared" si="80"/>
        <v>Unique</v>
      </c>
      <c r="E653" t="s">
        <v>39</v>
      </c>
      <c r="F653" s="3">
        <f t="shared" si="82"/>
        <v>33</v>
      </c>
      <c r="G653" t="s">
        <v>32</v>
      </c>
      <c r="H653" t="str">
        <f t="shared" si="83"/>
        <v>Valid</v>
      </c>
      <c r="I653" t="s">
        <v>62</v>
      </c>
      <c r="J653" t="str">
        <f t="shared" si="84"/>
        <v>Kigoma Vijijini</v>
      </c>
      <c r="K653" t="s">
        <v>40</v>
      </c>
      <c r="L653" t="str" cm="1">
        <f t="array" ref="L653">_xlfn.IFS(
ISNUMBER(SEARCH("ICU",K653)), "ICU",
ISNUMBER(SEARCH("NEONATAL",K653)), PROPER("NEONATAL"),
ISNUMBER(SEARCH("LABOUR",K653)), PROPER("LABOUR"),
ISNUMBER(SEARCH("PAEDIATRIC",K653)), PROPER("PAEDIATRIC"),
ISNUMBER(SEARCH("FEMALE SURGICAL",K653)), PROPER("FEMALE SURG, ORTHO &amp; GYN"),
ISNUMBER(SEARCH("PSYCHIATRIST",K653)), PROPER("PSYCHIATRIST"),
ISNUMBER(SEARCH("GRADE 1",K653)), PROPER("GRADE 1"),
ISNUMBER(SEARCH("MALE SURGICAL",K653)), PROPER("MALE SURG &amp; ORTHOPEDIC"),
ISNUMBER(SEARCH("MALE MEDICAL",K653)), PROPER("MALE MEDICAL"),
ISNUMBER(SEARCH("GRADE 2",K653)), PROPER("GRADE 2"),
ISNUMBER(SEARCH("FEMALE WARD",K653)), PROPER("FEMALE MEDICAL"),
TRUE, "Unmapped: " &amp; K653)</f>
        <v>Labour</v>
      </c>
      <c r="M653" t="s">
        <v>22</v>
      </c>
      <c r="O653" t="s">
        <v>2296</v>
      </c>
      <c r="P653" t="str">
        <f t="shared" si="85"/>
        <v>Text Error</v>
      </c>
      <c r="Q653" s="5">
        <v>46050.923148148147</v>
      </c>
      <c r="R653" t="str">
        <f t="shared" si="86"/>
        <v>Valid Date</v>
      </c>
      <c r="S653" t="s">
        <v>2297</v>
      </c>
      <c r="T653" s="5">
        <v>46053.751782407409</v>
      </c>
      <c r="U653">
        <v>2</v>
      </c>
      <c r="V653" t="str">
        <f t="shared" si="87"/>
        <v>OK</v>
      </c>
      <c r="W653" t="s">
        <v>25</v>
      </c>
      <c r="Y653" t="s">
        <v>30</v>
      </c>
    </row>
    <row r="654" spans="1:25" x14ac:dyDescent="0.25">
      <c r="A654" t="s">
        <v>2299</v>
      </c>
      <c r="B654" t="str">
        <f t="shared" si="81"/>
        <v>Kalia Hussein Kubaza</v>
      </c>
      <c r="C654">
        <v>129944</v>
      </c>
      <c r="D654" t="str">
        <f t="shared" si="80"/>
        <v>Unique</v>
      </c>
      <c r="E654" t="s">
        <v>713</v>
      </c>
      <c r="F654" s="3">
        <f t="shared" si="82"/>
        <v>55</v>
      </c>
      <c r="G654" t="s">
        <v>32</v>
      </c>
      <c r="H654" t="str">
        <f t="shared" si="83"/>
        <v>Valid</v>
      </c>
      <c r="I654" t="s">
        <v>33</v>
      </c>
      <c r="J654" t="str">
        <f t="shared" si="84"/>
        <v>Kigoma Ujiji Mc</v>
      </c>
      <c r="K654" t="s">
        <v>700</v>
      </c>
      <c r="L654" t="str" cm="1">
        <f t="array" ref="L654">_xlfn.IFS(
ISNUMBER(SEARCH("ICU",K654)), "ICU",
ISNUMBER(SEARCH("NEONATAL",K654)), PROPER("NEONATAL"),
ISNUMBER(SEARCH("LABOUR",K654)), PROPER("LABOUR"),
ISNUMBER(SEARCH("PAEDIATRIC",K654)), PROPER("PAEDIATRIC"),
ISNUMBER(SEARCH("FEMALE SURGICAL",K654)), PROPER("FEMALE SURG, ORTHO &amp; GYN"),
ISNUMBER(SEARCH("PSYCHIATRIST",K654)), PROPER("PSYCHIATRIST"),
ISNUMBER(SEARCH("GRADE 1",K654)), PROPER("GRADE 1"),
ISNUMBER(SEARCH("MALE SURGICAL",K654)), PROPER("MALE SURG &amp; ORTHOPEDIC"),
ISNUMBER(SEARCH("MALE MEDICAL",K654)), PROPER("MALE MEDICAL"),
ISNUMBER(SEARCH("GRADE 2",K654)), PROPER("GRADE 2"),
ISNUMBER(SEARCH("FEMALE WARD",K654)), PROPER("FEMALE MEDICAL"),
TRUE, "Unmapped: " &amp; K654)</f>
        <v>Female Medical</v>
      </c>
      <c r="M654" t="s">
        <v>22</v>
      </c>
      <c r="O654" t="s">
        <v>2300</v>
      </c>
      <c r="P654" t="str">
        <f t="shared" si="85"/>
        <v>Text Error</v>
      </c>
      <c r="Q654" s="5">
        <v>46051.148368055554</v>
      </c>
      <c r="R654" t="str">
        <f t="shared" si="86"/>
        <v>Valid Date</v>
      </c>
      <c r="S654" t="s">
        <v>2301</v>
      </c>
      <c r="T654" s="5">
        <v>46053.735983796294</v>
      </c>
      <c r="U654">
        <v>2</v>
      </c>
      <c r="V654" t="str">
        <f t="shared" si="87"/>
        <v>OK</v>
      </c>
      <c r="W654" t="s">
        <v>25</v>
      </c>
      <c r="Y654" t="s">
        <v>30</v>
      </c>
    </row>
    <row r="655" spans="1:25" x14ac:dyDescent="0.25">
      <c r="A655" t="s">
        <v>2302</v>
      </c>
      <c r="B655" t="str">
        <f t="shared" si="81"/>
        <v>Milgreda Essau Japhet</v>
      </c>
      <c r="C655">
        <v>38653</v>
      </c>
      <c r="D655" t="str">
        <f t="shared" si="80"/>
        <v>Unique</v>
      </c>
      <c r="E655" t="s">
        <v>215</v>
      </c>
      <c r="F655" s="3">
        <f t="shared" si="82"/>
        <v>25</v>
      </c>
      <c r="G655" t="s">
        <v>32</v>
      </c>
      <c r="H655" t="str">
        <f t="shared" si="83"/>
        <v>Valid</v>
      </c>
      <c r="I655" t="s">
        <v>227</v>
      </c>
      <c r="J655" t="str">
        <f t="shared" si="84"/>
        <v>KGG</v>
      </c>
      <c r="K655" t="s">
        <v>40</v>
      </c>
      <c r="L655" t="str" cm="1">
        <f t="array" ref="L655">_xlfn.IFS(
ISNUMBER(SEARCH("ICU",K655)), "ICU",
ISNUMBER(SEARCH("NEONATAL",K655)), PROPER("NEONATAL"),
ISNUMBER(SEARCH("LABOUR",K655)), PROPER("LABOUR"),
ISNUMBER(SEARCH("PAEDIATRIC",K655)), PROPER("PAEDIATRIC"),
ISNUMBER(SEARCH("FEMALE SURGICAL",K655)), PROPER("FEMALE SURG, ORTHO &amp; GYN"),
ISNUMBER(SEARCH("PSYCHIATRIST",K655)), PROPER("PSYCHIATRIST"),
ISNUMBER(SEARCH("GRADE 1",K655)), PROPER("GRADE 1"),
ISNUMBER(SEARCH("MALE SURGICAL",K655)), PROPER("MALE SURG &amp; ORTHOPEDIC"),
ISNUMBER(SEARCH("MALE MEDICAL",K655)), PROPER("MALE MEDICAL"),
ISNUMBER(SEARCH("GRADE 2",K655)), PROPER("GRADE 2"),
ISNUMBER(SEARCH("FEMALE WARD",K655)), PROPER("FEMALE MEDICAL"),
TRUE, "Unmapped: " &amp; K655)</f>
        <v>Labour</v>
      </c>
      <c r="M655" t="s">
        <v>22</v>
      </c>
      <c r="O655" t="s">
        <v>2303</v>
      </c>
      <c r="P655" t="str">
        <f t="shared" si="85"/>
        <v>Text Error</v>
      </c>
      <c r="Q655" s="5">
        <v>46051.469513888886</v>
      </c>
      <c r="R655" t="str">
        <f t="shared" si="86"/>
        <v>Valid Date</v>
      </c>
      <c r="S655" t="s">
        <v>2304</v>
      </c>
      <c r="T655" s="5">
        <v>46053.698634259257</v>
      </c>
      <c r="U655">
        <v>2</v>
      </c>
      <c r="V655" t="str">
        <f t="shared" si="87"/>
        <v>OK</v>
      </c>
      <c r="W655" t="s">
        <v>25</v>
      </c>
      <c r="Y655" t="s">
        <v>30</v>
      </c>
    </row>
    <row r="656" spans="1:25" x14ac:dyDescent="0.25">
      <c r="A656" t="s">
        <v>2305</v>
      </c>
      <c r="B656" t="str">
        <f t="shared" si="81"/>
        <v>Halfan Shaban Somaso</v>
      </c>
      <c r="C656">
        <v>129959</v>
      </c>
      <c r="D656" t="str">
        <f t="shared" si="80"/>
        <v>Unique</v>
      </c>
      <c r="E656" t="s">
        <v>713</v>
      </c>
      <c r="F656" s="3">
        <f t="shared" si="82"/>
        <v>55</v>
      </c>
      <c r="G656" t="s">
        <v>19</v>
      </c>
      <c r="H656" t="str">
        <f t="shared" si="83"/>
        <v>Valid</v>
      </c>
      <c r="I656" t="s">
        <v>33</v>
      </c>
      <c r="J656" t="str">
        <f t="shared" si="84"/>
        <v>Kigoma Ujiji Mc</v>
      </c>
      <c r="K656" t="s">
        <v>428</v>
      </c>
      <c r="L656" t="str" cm="1">
        <f t="array" ref="L656">_xlfn.IFS(
ISNUMBER(SEARCH("ICU",K656)), "ICU",
ISNUMBER(SEARCH("NEONATAL",K656)), PROPER("NEONATAL"),
ISNUMBER(SEARCH("LABOUR",K656)), PROPER("LABOUR"),
ISNUMBER(SEARCH("PAEDIATRIC",K656)), PROPER("PAEDIATRIC"),
ISNUMBER(SEARCH("FEMALE SURGICAL",K656)), PROPER("FEMALE SURG, ORTHO &amp; GYN"),
ISNUMBER(SEARCH("PSYCHIATRIST",K656)), PROPER("PSYCHIATRIST"),
ISNUMBER(SEARCH("GRADE 1",K656)), PROPER("GRADE 1"),
ISNUMBER(SEARCH("MALE SURGICAL",K656)), PROPER("MALE SURG &amp; ORTHOPEDIC"),
ISNUMBER(SEARCH("MALE MEDICAL",K656)), PROPER("MALE MEDICAL"),
ISNUMBER(SEARCH("GRADE 2",K656)), PROPER("GRADE 2"),
ISNUMBER(SEARCH("FEMALE WARD",K656)), PROPER("FEMALE MEDICAL"),
TRUE, "Unmapped: " &amp; K656)</f>
        <v>Male Surg &amp; Orthopedic</v>
      </c>
      <c r="M656" t="s">
        <v>22</v>
      </c>
      <c r="O656" t="s">
        <v>2306</v>
      </c>
      <c r="P656" t="str">
        <f t="shared" si="85"/>
        <v>Text Error</v>
      </c>
      <c r="Q656" s="5">
        <v>46051.504120370373</v>
      </c>
      <c r="R656" t="str">
        <f t="shared" si="86"/>
        <v>Valid Date</v>
      </c>
      <c r="S656" t="s">
        <v>2307</v>
      </c>
      <c r="T656" s="5">
        <v>46053.688692129632</v>
      </c>
      <c r="U656">
        <v>2</v>
      </c>
      <c r="V656" t="str">
        <f t="shared" si="87"/>
        <v>OK</v>
      </c>
      <c r="W656" t="s">
        <v>112</v>
      </c>
      <c r="Y656" t="s">
        <v>30</v>
      </c>
    </row>
    <row r="657" spans="1:25" x14ac:dyDescent="0.25">
      <c r="A657" t="s">
        <v>2308</v>
      </c>
      <c r="B657" t="str">
        <f t="shared" si="81"/>
        <v>Zaina Rambei Jeremia</v>
      </c>
      <c r="C657">
        <v>126753</v>
      </c>
      <c r="D657" t="str">
        <f t="shared" si="80"/>
        <v>Unique</v>
      </c>
      <c r="E657" t="s">
        <v>474</v>
      </c>
      <c r="F657" s="3">
        <f t="shared" si="82"/>
        <v>53</v>
      </c>
      <c r="G657" t="s">
        <v>32</v>
      </c>
      <c r="H657" t="str">
        <f t="shared" si="83"/>
        <v>Valid</v>
      </c>
      <c r="I657" t="s">
        <v>33</v>
      </c>
      <c r="J657" t="str">
        <f t="shared" si="84"/>
        <v>Kigoma Ujiji Mc</v>
      </c>
      <c r="K657" t="s">
        <v>700</v>
      </c>
      <c r="L657" t="str" cm="1">
        <f t="array" ref="L657">_xlfn.IFS(
ISNUMBER(SEARCH("ICU",K657)), "ICU",
ISNUMBER(SEARCH("NEONATAL",K657)), PROPER("NEONATAL"),
ISNUMBER(SEARCH("LABOUR",K657)), PROPER("LABOUR"),
ISNUMBER(SEARCH("PAEDIATRIC",K657)), PROPER("PAEDIATRIC"),
ISNUMBER(SEARCH("FEMALE SURGICAL",K657)), PROPER("FEMALE SURG, ORTHO &amp; GYN"),
ISNUMBER(SEARCH("PSYCHIATRIST",K657)), PROPER("PSYCHIATRIST"),
ISNUMBER(SEARCH("GRADE 1",K657)), PROPER("GRADE 1"),
ISNUMBER(SEARCH("MALE SURGICAL",K657)), PROPER("MALE SURG &amp; ORTHOPEDIC"),
ISNUMBER(SEARCH("MALE MEDICAL",K657)), PROPER("MALE MEDICAL"),
ISNUMBER(SEARCH("GRADE 2",K657)), PROPER("GRADE 2"),
ISNUMBER(SEARCH("FEMALE WARD",K657)), PROPER("FEMALE MEDICAL"),
TRUE, "Unmapped: " &amp; K657)</f>
        <v>Female Medical</v>
      </c>
      <c r="M657" t="s">
        <v>22</v>
      </c>
      <c r="O657" t="s">
        <v>2309</v>
      </c>
      <c r="P657" t="str">
        <f t="shared" si="85"/>
        <v>Text Error</v>
      </c>
      <c r="Q657" s="5">
        <v>46021.526504629626</v>
      </c>
      <c r="R657" t="str">
        <f t="shared" si="86"/>
        <v>Valid Date</v>
      </c>
      <c r="S657" t="s">
        <v>2310</v>
      </c>
      <c r="T657" s="5">
        <v>46023.424050925925</v>
      </c>
      <c r="U657">
        <v>1</v>
      </c>
      <c r="V657" t="str">
        <f t="shared" si="87"/>
        <v>OK</v>
      </c>
      <c r="W657" t="s">
        <v>25</v>
      </c>
      <c r="Y657" t="s">
        <v>30</v>
      </c>
    </row>
    <row r="658" spans="1:25" x14ac:dyDescent="0.25">
      <c r="A658" t="s">
        <v>2311</v>
      </c>
      <c r="B658" t="str">
        <f t="shared" si="81"/>
        <v>Pili Ahmadi Mneza</v>
      </c>
      <c r="C658">
        <v>126777</v>
      </c>
      <c r="D658" t="str">
        <f t="shared" si="80"/>
        <v>Unique</v>
      </c>
      <c r="E658" t="s">
        <v>39</v>
      </c>
      <c r="F658" s="3">
        <f t="shared" si="82"/>
        <v>33</v>
      </c>
      <c r="G658" t="s">
        <v>32</v>
      </c>
      <c r="H658" t="str">
        <f t="shared" si="83"/>
        <v>Valid</v>
      </c>
      <c r="I658" t="s">
        <v>33</v>
      </c>
      <c r="J658" t="str">
        <f t="shared" si="84"/>
        <v>Kigoma Ujiji Mc</v>
      </c>
      <c r="K658" t="s">
        <v>40</v>
      </c>
      <c r="L658" t="str" cm="1">
        <f t="array" ref="L658">_xlfn.IFS(
ISNUMBER(SEARCH("ICU",K658)), "ICU",
ISNUMBER(SEARCH("NEONATAL",K658)), PROPER("NEONATAL"),
ISNUMBER(SEARCH("LABOUR",K658)), PROPER("LABOUR"),
ISNUMBER(SEARCH("PAEDIATRIC",K658)), PROPER("PAEDIATRIC"),
ISNUMBER(SEARCH("FEMALE SURGICAL",K658)), PROPER("FEMALE SURG, ORTHO &amp; GYN"),
ISNUMBER(SEARCH("PSYCHIATRIST",K658)), PROPER("PSYCHIATRIST"),
ISNUMBER(SEARCH("GRADE 1",K658)), PROPER("GRADE 1"),
ISNUMBER(SEARCH("MALE SURGICAL",K658)), PROPER("MALE SURG &amp; ORTHOPEDIC"),
ISNUMBER(SEARCH("MALE MEDICAL",K658)), PROPER("MALE MEDICAL"),
ISNUMBER(SEARCH("GRADE 2",K658)), PROPER("GRADE 2"),
ISNUMBER(SEARCH("FEMALE WARD",K658)), PROPER("FEMALE MEDICAL"),
TRUE, "Unmapped: " &amp; K658)</f>
        <v>Labour</v>
      </c>
      <c r="M658" t="s">
        <v>22</v>
      </c>
      <c r="O658" t="s">
        <v>2312</v>
      </c>
      <c r="P658" t="str">
        <f t="shared" si="85"/>
        <v>Text Error</v>
      </c>
      <c r="Q658" s="5">
        <v>46021.556400462963</v>
      </c>
      <c r="R658" t="str">
        <f t="shared" si="86"/>
        <v>Valid Date</v>
      </c>
      <c r="S658" t="s">
        <v>2313</v>
      </c>
      <c r="T658" s="5">
        <v>46023.40048611111</v>
      </c>
      <c r="U658">
        <v>1</v>
      </c>
      <c r="V658" t="str">
        <f t="shared" si="87"/>
        <v>OK</v>
      </c>
      <c r="W658" t="s">
        <v>25</v>
      </c>
      <c r="Y658" t="s">
        <v>30</v>
      </c>
    </row>
    <row r="659" spans="1:25" x14ac:dyDescent="0.25">
      <c r="A659" t="s">
        <v>2314</v>
      </c>
      <c r="B659" t="str">
        <f t="shared" si="81"/>
        <v>Grace Peter Muhambo</v>
      </c>
      <c r="C659">
        <v>126782</v>
      </c>
      <c r="D659" t="str">
        <f t="shared" si="80"/>
        <v>Unique</v>
      </c>
      <c r="E659" t="s">
        <v>151</v>
      </c>
      <c r="F659" s="3">
        <f t="shared" si="82"/>
        <v>22</v>
      </c>
      <c r="G659" t="s">
        <v>32</v>
      </c>
      <c r="H659" t="str">
        <f t="shared" si="83"/>
        <v>Valid</v>
      </c>
      <c r="I659" t="s">
        <v>33</v>
      </c>
      <c r="J659" t="str">
        <f t="shared" si="84"/>
        <v>Kigoma Ujiji Mc</v>
      </c>
      <c r="K659" t="s">
        <v>123</v>
      </c>
      <c r="L659" t="str" cm="1">
        <f t="array" ref="L659">_xlfn.IFS(
ISNUMBER(SEARCH("ICU",K659)), "ICU",
ISNUMBER(SEARCH("NEONATAL",K659)), PROPER("NEONATAL"),
ISNUMBER(SEARCH("LABOUR",K659)), PROPER("LABOUR"),
ISNUMBER(SEARCH("PAEDIATRIC",K659)), PROPER("PAEDIATRIC"),
ISNUMBER(SEARCH("FEMALE SURGICAL",K659)), PROPER("FEMALE SURG, ORTHO &amp; GYN"),
ISNUMBER(SEARCH("PSYCHIATRIST",K659)), PROPER("PSYCHIATRIST"),
ISNUMBER(SEARCH("GRADE 1",K659)), PROPER("GRADE 1"),
ISNUMBER(SEARCH("MALE SURGICAL",K659)), PROPER("MALE SURG &amp; ORTHOPEDIC"),
ISNUMBER(SEARCH("MALE MEDICAL",K659)), PROPER("MALE MEDICAL"),
ISNUMBER(SEARCH("GRADE 2",K659)), PROPER("GRADE 2"),
ISNUMBER(SEARCH("FEMALE WARD",K659)), PROPER("FEMALE MEDICAL"),
TRUE, "Unmapped: " &amp; K659)</f>
        <v>Female Surg, Ortho &amp; Gyn</v>
      </c>
      <c r="M659" t="s">
        <v>22</v>
      </c>
      <c r="O659" t="s">
        <v>2315</v>
      </c>
      <c r="P659" t="str">
        <f t="shared" si="85"/>
        <v>Text Error</v>
      </c>
      <c r="Q659" s="5">
        <v>46021.722708333335</v>
      </c>
      <c r="R659" t="str">
        <f t="shared" si="86"/>
        <v>Valid Date</v>
      </c>
      <c r="S659" t="s">
        <v>2316</v>
      </c>
      <c r="T659" s="5">
        <v>46023.478703703702</v>
      </c>
      <c r="U659">
        <v>1</v>
      </c>
      <c r="V659" t="str">
        <f t="shared" si="87"/>
        <v>OK</v>
      </c>
      <c r="W659" t="s">
        <v>112</v>
      </c>
      <c r="Y659" t="s">
        <v>30</v>
      </c>
    </row>
    <row r="660" spans="1:25" x14ac:dyDescent="0.25">
      <c r="A660" t="s">
        <v>2317</v>
      </c>
      <c r="B660" t="str">
        <f t="shared" si="81"/>
        <v>Eliza Samson Samwel</v>
      </c>
      <c r="C660">
        <v>126857</v>
      </c>
      <c r="D660" t="str">
        <f t="shared" si="80"/>
        <v>Unique</v>
      </c>
      <c r="E660" t="s">
        <v>2229</v>
      </c>
      <c r="F660" s="3">
        <f t="shared" si="82"/>
        <v>48</v>
      </c>
      <c r="G660" t="s">
        <v>32</v>
      </c>
      <c r="H660" t="str">
        <f t="shared" si="83"/>
        <v>Valid</v>
      </c>
      <c r="I660" t="s">
        <v>33</v>
      </c>
      <c r="J660" t="str">
        <f t="shared" si="84"/>
        <v>Kigoma Ujiji Mc</v>
      </c>
      <c r="K660" t="s">
        <v>700</v>
      </c>
      <c r="L660" t="str" cm="1">
        <f t="array" ref="L660">_xlfn.IFS(
ISNUMBER(SEARCH("ICU",K660)), "ICU",
ISNUMBER(SEARCH("NEONATAL",K660)), PROPER("NEONATAL"),
ISNUMBER(SEARCH("LABOUR",K660)), PROPER("LABOUR"),
ISNUMBER(SEARCH("PAEDIATRIC",K660)), PROPER("PAEDIATRIC"),
ISNUMBER(SEARCH("FEMALE SURGICAL",K660)), PROPER("FEMALE SURG, ORTHO &amp; GYN"),
ISNUMBER(SEARCH("PSYCHIATRIST",K660)), PROPER("PSYCHIATRIST"),
ISNUMBER(SEARCH("GRADE 1",K660)), PROPER("GRADE 1"),
ISNUMBER(SEARCH("MALE SURGICAL",K660)), PROPER("MALE SURG &amp; ORTHOPEDIC"),
ISNUMBER(SEARCH("MALE MEDICAL",K660)), PROPER("MALE MEDICAL"),
ISNUMBER(SEARCH("GRADE 2",K660)), PROPER("GRADE 2"),
ISNUMBER(SEARCH("FEMALE WARD",K660)), PROPER("FEMALE MEDICAL"),
TRUE, "Unmapped: " &amp; K660)</f>
        <v>Female Medical</v>
      </c>
      <c r="M660" t="s">
        <v>22</v>
      </c>
      <c r="O660" t="s">
        <v>2318</v>
      </c>
      <c r="P660" t="str">
        <f t="shared" si="85"/>
        <v>Text Error</v>
      </c>
      <c r="Q660" s="5">
        <v>46021.802986111114</v>
      </c>
      <c r="R660" t="str">
        <f t="shared" si="86"/>
        <v>Valid Date</v>
      </c>
      <c r="S660" t="s">
        <v>2319</v>
      </c>
      <c r="T660" s="5">
        <v>46023.59547453704</v>
      </c>
      <c r="U660">
        <v>1</v>
      </c>
      <c r="V660" t="str">
        <f t="shared" si="87"/>
        <v>OK</v>
      </c>
      <c r="W660" t="s">
        <v>25</v>
      </c>
      <c r="Y660" t="s">
        <v>30</v>
      </c>
    </row>
    <row r="661" spans="1:25" x14ac:dyDescent="0.25">
      <c r="A661" t="s">
        <v>2320</v>
      </c>
      <c r="B661" t="str">
        <f t="shared" si="81"/>
        <v>Eliada Robert Robert</v>
      </c>
      <c r="C661">
        <v>126856</v>
      </c>
      <c r="D661" t="str">
        <f t="shared" si="80"/>
        <v>Unique</v>
      </c>
      <c r="E661" t="s">
        <v>601</v>
      </c>
      <c r="F661" s="3">
        <f t="shared" si="82"/>
        <v>17</v>
      </c>
      <c r="G661" t="s">
        <v>32</v>
      </c>
      <c r="H661" t="str">
        <f t="shared" si="83"/>
        <v>Valid</v>
      </c>
      <c r="I661" t="s">
        <v>260</v>
      </c>
      <c r="J661" t="str">
        <f t="shared" si="84"/>
        <v>Kasulu</v>
      </c>
      <c r="K661" t="s">
        <v>40</v>
      </c>
      <c r="L661" t="str" cm="1">
        <f t="array" ref="L661">_xlfn.IFS(
ISNUMBER(SEARCH("ICU",K661)), "ICU",
ISNUMBER(SEARCH("NEONATAL",K661)), PROPER("NEONATAL"),
ISNUMBER(SEARCH("LABOUR",K661)), PROPER("LABOUR"),
ISNUMBER(SEARCH("PAEDIATRIC",K661)), PROPER("PAEDIATRIC"),
ISNUMBER(SEARCH("FEMALE SURGICAL",K661)), PROPER("FEMALE SURG, ORTHO &amp; GYN"),
ISNUMBER(SEARCH("PSYCHIATRIST",K661)), PROPER("PSYCHIATRIST"),
ISNUMBER(SEARCH("GRADE 1",K661)), PROPER("GRADE 1"),
ISNUMBER(SEARCH("MALE SURGICAL",K661)), PROPER("MALE SURG &amp; ORTHOPEDIC"),
ISNUMBER(SEARCH("MALE MEDICAL",K661)), PROPER("MALE MEDICAL"),
ISNUMBER(SEARCH("GRADE 2",K661)), PROPER("GRADE 2"),
ISNUMBER(SEARCH("FEMALE WARD",K661)), PROPER("FEMALE MEDICAL"),
TRUE, "Unmapped: " &amp; K661)</f>
        <v>Labour</v>
      </c>
      <c r="M661" t="s">
        <v>22</v>
      </c>
      <c r="O661" t="s">
        <v>2321</v>
      </c>
      <c r="P661" t="str">
        <f t="shared" si="85"/>
        <v>Text Error</v>
      </c>
      <c r="Q661" s="5">
        <v>46021.814259259256</v>
      </c>
      <c r="R661" t="str">
        <f t="shared" si="86"/>
        <v>Valid Date</v>
      </c>
      <c r="S661" t="s">
        <v>2322</v>
      </c>
      <c r="T661" s="5">
        <v>46023.650856481479</v>
      </c>
      <c r="U661">
        <v>1</v>
      </c>
      <c r="V661" t="str">
        <f t="shared" si="87"/>
        <v>OK</v>
      </c>
      <c r="W661" t="s">
        <v>25</v>
      </c>
      <c r="Y661" t="s">
        <v>30</v>
      </c>
    </row>
    <row r="662" spans="1:25" x14ac:dyDescent="0.25">
      <c r="A662" t="s">
        <v>2323</v>
      </c>
      <c r="B662" t="str">
        <f t="shared" si="81"/>
        <v>Hashim Habibu Kayago</v>
      </c>
      <c r="C662">
        <v>126859</v>
      </c>
      <c r="D662" t="str">
        <f t="shared" si="80"/>
        <v>Unique</v>
      </c>
      <c r="E662" t="s">
        <v>201</v>
      </c>
      <c r="F662" s="3">
        <f t="shared" si="82"/>
        <v>44</v>
      </c>
      <c r="G662" t="s">
        <v>19</v>
      </c>
      <c r="H662" t="str">
        <f t="shared" si="83"/>
        <v>Valid</v>
      </c>
      <c r="I662" t="s">
        <v>33</v>
      </c>
      <c r="J662" t="str">
        <f t="shared" si="84"/>
        <v>Kigoma Ujiji Mc</v>
      </c>
      <c r="K662" t="s">
        <v>484</v>
      </c>
      <c r="L662" t="str" cm="1">
        <f t="array" ref="L662">_xlfn.IFS(
ISNUMBER(SEARCH("ICU",K662)), "ICU",
ISNUMBER(SEARCH("NEONATAL",K662)), PROPER("NEONATAL"),
ISNUMBER(SEARCH("LABOUR",K662)), PROPER("LABOUR"),
ISNUMBER(SEARCH("PAEDIATRIC",K662)), PROPER("PAEDIATRIC"),
ISNUMBER(SEARCH("FEMALE SURGICAL",K662)), PROPER("FEMALE SURG, ORTHO &amp; GYN"),
ISNUMBER(SEARCH("PSYCHIATRIST",K662)), PROPER("PSYCHIATRIST"),
ISNUMBER(SEARCH("GRADE 1",K662)), PROPER("GRADE 1"),
ISNUMBER(SEARCH("MALE SURGICAL",K662)), PROPER("MALE SURG &amp; ORTHOPEDIC"),
ISNUMBER(SEARCH("MALE MEDICAL",K662)), PROPER("MALE MEDICAL"),
ISNUMBER(SEARCH("GRADE 2",K662)), PROPER("GRADE 2"),
ISNUMBER(SEARCH("FEMALE WARD",K662)), PROPER("FEMALE MEDICAL"),
TRUE, "Unmapped: " &amp; K662)</f>
        <v>Male Medical</v>
      </c>
      <c r="M662" t="s">
        <v>22</v>
      </c>
      <c r="O662" t="s">
        <v>2324</v>
      </c>
      <c r="P662" t="str">
        <f t="shared" si="85"/>
        <v>Text Error</v>
      </c>
      <c r="Q662" s="5">
        <v>46021.880925925929</v>
      </c>
      <c r="R662" t="str">
        <f t="shared" si="86"/>
        <v>Valid Date</v>
      </c>
      <c r="S662" t="s">
        <v>2325</v>
      </c>
      <c r="T662" s="5">
        <v>46023.595347222225</v>
      </c>
      <c r="U662">
        <v>1</v>
      </c>
      <c r="V662" t="str">
        <f t="shared" si="87"/>
        <v>OK</v>
      </c>
      <c r="W662" t="s">
        <v>25</v>
      </c>
      <c r="Y662" t="s">
        <v>30</v>
      </c>
    </row>
    <row r="663" spans="1:25" x14ac:dyDescent="0.25">
      <c r="A663" t="s">
        <v>2326</v>
      </c>
      <c r="B663" t="str">
        <f t="shared" si="81"/>
        <v>Gian Hassan Msuba</v>
      </c>
      <c r="C663">
        <v>126867</v>
      </c>
      <c r="D663" t="str">
        <f t="shared" si="80"/>
        <v>Unique</v>
      </c>
      <c r="E663" t="s">
        <v>634</v>
      </c>
      <c r="F663" s="3" t="str">
        <f t="shared" si="82"/>
        <v>3/12</v>
      </c>
      <c r="G663" t="s">
        <v>19</v>
      </c>
      <c r="H663" t="str">
        <f t="shared" si="83"/>
        <v>Valid</v>
      </c>
      <c r="I663" t="s">
        <v>33</v>
      </c>
      <c r="J663" t="str">
        <f t="shared" si="84"/>
        <v>Kigoma Ujiji Mc</v>
      </c>
      <c r="K663" t="s">
        <v>21</v>
      </c>
      <c r="L663" t="str" cm="1">
        <f t="array" ref="L663">_xlfn.IFS(
ISNUMBER(SEARCH("ICU",K663)), "ICU",
ISNUMBER(SEARCH("NEONATAL",K663)), PROPER("NEONATAL"),
ISNUMBER(SEARCH("LABOUR",K663)), PROPER("LABOUR"),
ISNUMBER(SEARCH("PAEDIATRIC",K663)), PROPER("PAEDIATRIC"),
ISNUMBER(SEARCH("FEMALE SURGICAL",K663)), PROPER("FEMALE SURG, ORTHO &amp; GYN"),
ISNUMBER(SEARCH("PSYCHIATRIST",K663)), PROPER("PSYCHIATRIST"),
ISNUMBER(SEARCH("GRADE 1",K663)), PROPER("GRADE 1"),
ISNUMBER(SEARCH("MALE SURGICAL",K663)), PROPER("MALE SURG &amp; ORTHOPEDIC"),
ISNUMBER(SEARCH("MALE MEDICAL",K663)), PROPER("MALE MEDICAL"),
ISNUMBER(SEARCH("GRADE 2",K663)), PROPER("GRADE 2"),
ISNUMBER(SEARCH("FEMALE WARD",K663)), PROPER("FEMALE MEDICAL"),
TRUE, "Unmapped: " &amp; K663)</f>
        <v>Neonatal</v>
      </c>
      <c r="M663" t="s">
        <v>22</v>
      </c>
      <c r="O663" t="s">
        <v>2327</v>
      </c>
      <c r="P663" t="str">
        <f t="shared" si="85"/>
        <v>Text Error</v>
      </c>
      <c r="Q663" s="5">
        <v>46022.035092592596</v>
      </c>
      <c r="R663" t="str">
        <f t="shared" si="86"/>
        <v>Valid Date</v>
      </c>
      <c r="S663" t="s">
        <v>2328</v>
      </c>
      <c r="T663" s="5">
        <v>46023.607465277775</v>
      </c>
      <c r="U663">
        <v>1</v>
      </c>
      <c r="V663" t="str">
        <f t="shared" si="87"/>
        <v>OK</v>
      </c>
      <c r="W663" t="s">
        <v>25</v>
      </c>
      <c r="Y663" t="s">
        <v>30</v>
      </c>
    </row>
    <row r="664" spans="1:25" x14ac:dyDescent="0.25">
      <c r="A664" t="s">
        <v>2329</v>
      </c>
      <c r="B664" t="str">
        <f t="shared" si="81"/>
        <v>Fatuma Said Kilungu</v>
      </c>
      <c r="C664">
        <v>126881</v>
      </c>
      <c r="D664" t="str">
        <f t="shared" si="80"/>
        <v>Unique</v>
      </c>
      <c r="E664" t="s">
        <v>884</v>
      </c>
      <c r="F664" s="3">
        <f t="shared" si="82"/>
        <v>70</v>
      </c>
      <c r="G664" t="s">
        <v>32</v>
      </c>
      <c r="H664" t="str">
        <f t="shared" si="83"/>
        <v>Valid</v>
      </c>
      <c r="I664" t="s">
        <v>33</v>
      </c>
      <c r="J664" t="str">
        <f t="shared" si="84"/>
        <v>Kigoma Ujiji Mc</v>
      </c>
      <c r="K664" t="s">
        <v>700</v>
      </c>
      <c r="L664" t="str" cm="1">
        <f t="array" ref="L664">_xlfn.IFS(
ISNUMBER(SEARCH("ICU",K664)), "ICU",
ISNUMBER(SEARCH("NEONATAL",K664)), PROPER("NEONATAL"),
ISNUMBER(SEARCH("LABOUR",K664)), PROPER("LABOUR"),
ISNUMBER(SEARCH("PAEDIATRIC",K664)), PROPER("PAEDIATRIC"),
ISNUMBER(SEARCH("FEMALE SURGICAL",K664)), PROPER("FEMALE SURG, ORTHO &amp; GYN"),
ISNUMBER(SEARCH("PSYCHIATRIST",K664)), PROPER("PSYCHIATRIST"),
ISNUMBER(SEARCH("GRADE 1",K664)), PROPER("GRADE 1"),
ISNUMBER(SEARCH("MALE SURGICAL",K664)), PROPER("MALE SURG &amp; ORTHOPEDIC"),
ISNUMBER(SEARCH("MALE MEDICAL",K664)), PROPER("MALE MEDICAL"),
ISNUMBER(SEARCH("GRADE 2",K664)), PROPER("GRADE 2"),
ISNUMBER(SEARCH("FEMALE WARD",K664)), PROPER("FEMALE MEDICAL"),
TRUE, "Unmapped: " &amp; K664)</f>
        <v>Female Medical</v>
      </c>
      <c r="M664" t="s">
        <v>22</v>
      </c>
      <c r="O664" t="s">
        <v>2330</v>
      </c>
      <c r="P664" t="str">
        <f t="shared" si="85"/>
        <v>Text Error</v>
      </c>
      <c r="Q664" s="5">
        <v>46022.481087962966</v>
      </c>
      <c r="R664" t="str">
        <f t="shared" si="86"/>
        <v>Valid Date</v>
      </c>
      <c r="S664" t="s">
        <v>2331</v>
      </c>
      <c r="T664" s="5">
        <v>46023.742974537039</v>
      </c>
      <c r="U664">
        <v>1</v>
      </c>
      <c r="V664" t="str">
        <f t="shared" si="87"/>
        <v>OK</v>
      </c>
      <c r="W664" t="s">
        <v>25</v>
      </c>
      <c r="Y664" t="s">
        <v>30</v>
      </c>
    </row>
    <row r="665" spans="1:25" x14ac:dyDescent="0.25">
      <c r="A665" t="s">
        <v>2332</v>
      </c>
      <c r="B665" t="str">
        <f t="shared" si="81"/>
        <v>Aisha Rashid Msuta</v>
      </c>
      <c r="C665">
        <v>126926</v>
      </c>
      <c r="D665" t="str">
        <f t="shared" si="80"/>
        <v>Unique</v>
      </c>
      <c r="E665" t="s">
        <v>147</v>
      </c>
      <c r="F665" s="3">
        <f t="shared" si="82"/>
        <v>30</v>
      </c>
      <c r="G665" t="s">
        <v>32</v>
      </c>
      <c r="H665" t="str">
        <f t="shared" si="83"/>
        <v>Valid</v>
      </c>
      <c r="I665" t="s">
        <v>62</v>
      </c>
      <c r="J665" t="str">
        <f t="shared" si="84"/>
        <v>Kigoma Vijijini</v>
      </c>
      <c r="K665" t="s">
        <v>123</v>
      </c>
      <c r="L665" t="str" cm="1">
        <f t="array" ref="L665">_xlfn.IFS(
ISNUMBER(SEARCH("ICU",K665)), "ICU",
ISNUMBER(SEARCH("NEONATAL",K665)), PROPER("NEONATAL"),
ISNUMBER(SEARCH("LABOUR",K665)), PROPER("LABOUR"),
ISNUMBER(SEARCH("PAEDIATRIC",K665)), PROPER("PAEDIATRIC"),
ISNUMBER(SEARCH("FEMALE SURGICAL",K665)), PROPER("FEMALE SURG, ORTHO &amp; GYN"),
ISNUMBER(SEARCH("PSYCHIATRIST",K665)), PROPER("PSYCHIATRIST"),
ISNUMBER(SEARCH("GRADE 1",K665)), PROPER("GRADE 1"),
ISNUMBER(SEARCH("MALE SURGICAL",K665)), PROPER("MALE SURG &amp; ORTHOPEDIC"),
ISNUMBER(SEARCH("MALE MEDICAL",K665)), PROPER("MALE MEDICAL"),
ISNUMBER(SEARCH("GRADE 2",K665)), PROPER("GRADE 2"),
ISNUMBER(SEARCH("FEMALE WARD",K665)), PROPER("FEMALE MEDICAL"),
TRUE, "Unmapped: " &amp; K665)</f>
        <v>Female Surg, Ortho &amp; Gyn</v>
      </c>
      <c r="M665" t="s">
        <v>22</v>
      </c>
      <c r="O665" t="s">
        <v>2333</v>
      </c>
      <c r="P665" t="str">
        <f t="shared" si="85"/>
        <v>Text Error</v>
      </c>
      <c r="Q665" s="5">
        <v>46022.708935185183</v>
      </c>
      <c r="R665" t="str">
        <f t="shared" si="86"/>
        <v>Valid Date</v>
      </c>
      <c r="S665" t="s">
        <v>2334</v>
      </c>
      <c r="T665" s="5">
        <v>46023.725648148145</v>
      </c>
      <c r="U665">
        <v>1</v>
      </c>
      <c r="V665" t="str">
        <f t="shared" si="87"/>
        <v>OK</v>
      </c>
      <c r="W665" t="s">
        <v>25</v>
      </c>
      <c r="Y665" t="s">
        <v>30</v>
      </c>
    </row>
    <row r="666" spans="1:25" x14ac:dyDescent="0.25">
      <c r="A666" t="s">
        <v>2335</v>
      </c>
      <c r="B666" t="str">
        <f t="shared" si="81"/>
        <v>Abdulrahman K Kadito</v>
      </c>
      <c r="C666">
        <v>126967</v>
      </c>
      <c r="D666" t="str">
        <f t="shared" si="80"/>
        <v>Unique</v>
      </c>
      <c r="E666" t="s">
        <v>108</v>
      </c>
      <c r="F666" s="3">
        <f t="shared" si="82"/>
        <v>2</v>
      </c>
      <c r="G666" t="s">
        <v>19</v>
      </c>
      <c r="H666" t="str">
        <f t="shared" si="83"/>
        <v>Valid</v>
      </c>
      <c r="I666" t="s">
        <v>33</v>
      </c>
      <c r="J666" t="str">
        <f t="shared" si="84"/>
        <v>Kigoma Ujiji Mc</v>
      </c>
      <c r="K666" t="s">
        <v>109</v>
      </c>
      <c r="L666" t="str" cm="1">
        <f t="array" ref="L666">_xlfn.IFS(
ISNUMBER(SEARCH("ICU",K666)), "ICU",
ISNUMBER(SEARCH("NEONATAL",K666)), PROPER("NEONATAL"),
ISNUMBER(SEARCH("LABOUR",K666)), PROPER("LABOUR"),
ISNUMBER(SEARCH("PAEDIATRIC",K666)), PROPER("PAEDIATRIC"),
ISNUMBER(SEARCH("FEMALE SURGICAL",K666)), PROPER("FEMALE SURG, ORTHO &amp; GYN"),
ISNUMBER(SEARCH("PSYCHIATRIST",K666)), PROPER("PSYCHIATRIST"),
ISNUMBER(SEARCH("GRADE 1",K666)), PROPER("GRADE 1"),
ISNUMBER(SEARCH("MALE SURGICAL",K666)), PROPER("MALE SURG &amp; ORTHOPEDIC"),
ISNUMBER(SEARCH("MALE MEDICAL",K666)), PROPER("MALE MEDICAL"),
ISNUMBER(SEARCH("GRADE 2",K666)), PROPER("GRADE 2"),
ISNUMBER(SEARCH("FEMALE WARD",K666)), PROPER("FEMALE MEDICAL"),
TRUE, "Unmapped: " &amp; K666)</f>
        <v>Paediatric</v>
      </c>
      <c r="M666" t="s">
        <v>394</v>
      </c>
      <c r="O666" t="s">
        <v>2336</v>
      </c>
      <c r="P666" t="str">
        <f t="shared" si="85"/>
        <v>Text Error</v>
      </c>
      <c r="Q666" s="5">
        <v>46022.981620370374</v>
      </c>
      <c r="R666" t="str">
        <f t="shared" si="86"/>
        <v>Valid Date</v>
      </c>
      <c r="S666" t="s">
        <v>2337</v>
      </c>
      <c r="T666" s="5">
        <v>46024.497337962966</v>
      </c>
      <c r="U666">
        <v>1</v>
      </c>
      <c r="V666" t="str">
        <f t="shared" si="87"/>
        <v>OK</v>
      </c>
      <c r="W666" t="s">
        <v>25</v>
      </c>
      <c r="Y666" t="s">
        <v>30</v>
      </c>
    </row>
    <row r="667" spans="1:25" x14ac:dyDescent="0.25">
      <c r="A667" t="s">
        <v>2338</v>
      </c>
      <c r="B667" t="str">
        <f t="shared" si="81"/>
        <v>Pelina H Noboka</v>
      </c>
      <c r="C667">
        <v>126998</v>
      </c>
      <c r="D667" t="str">
        <f t="shared" si="80"/>
        <v>Unique</v>
      </c>
      <c r="E667" t="s">
        <v>718</v>
      </c>
      <c r="F667" s="3">
        <f t="shared" si="82"/>
        <v>64</v>
      </c>
      <c r="G667" t="s">
        <v>32</v>
      </c>
      <c r="H667" t="str">
        <f t="shared" si="83"/>
        <v>Valid</v>
      </c>
      <c r="I667" t="s">
        <v>130</v>
      </c>
      <c r="J667" t="str">
        <f t="shared" si="84"/>
        <v>Buhigwe</v>
      </c>
      <c r="K667" t="s">
        <v>700</v>
      </c>
      <c r="L667" t="str" cm="1">
        <f t="array" ref="L667">_xlfn.IFS(
ISNUMBER(SEARCH("ICU",K667)), "ICU",
ISNUMBER(SEARCH("NEONATAL",K667)), PROPER("NEONATAL"),
ISNUMBER(SEARCH("LABOUR",K667)), PROPER("LABOUR"),
ISNUMBER(SEARCH("PAEDIATRIC",K667)), PROPER("PAEDIATRIC"),
ISNUMBER(SEARCH("FEMALE SURGICAL",K667)), PROPER("FEMALE SURG, ORTHO &amp; GYN"),
ISNUMBER(SEARCH("PSYCHIATRIST",K667)), PROPER("PSYCHIATRIST"),
ISNUMBER(SEARCH("GRADE 1",K667)), PROPER("GRADE 1"),
ISNUMBER(SEARCH("MALE SURGICAL",K667)), PROPER("MALE SURG &amp; ORTHOPEDIC"),
ISNUMBER(SEARCH("MALE MEDICAL",K667)), PROPER("MALE MEDICAL"),
ISNUMBER(SEARCH("GRADE 2",K667)), PROPER("GRADE 2"),
ISNUMBER(SEARCH("FEMALE WARD",K667)), PROPER("FEMALE MEDICAL"),
TRUE, "Unmapped: " &amp; K667)</f>
        <v>Female Medical</v>
      </c>
      <c r="M667" t="s">
        <v>394</v>
      </c>
      <c r="O667" t="s">
        <v>2339</v>
      </c>
      <c r="P667" t="str">
        <f t="shared" si="85"/>
        <v>Text Error</v>
      </c>
      <c r="Q667" s="5">
        <v>46023.655162037037</v>
      </c>
      <c r="R667" t="str">
        <f t="shared" si="86"/>
        <v>Valid Date</v>
      </c>
      <c r="S667" t="s">
        <v>2340</v>
      </c>
      <c r="T667" s="5">
        <v>46025.371793981481</v>
      </c>
      <c r="U667">
        <v>1</v>
      </c>
      <c r="V667" t="str">
        <f t="shared" si="87"/>
        <v>OK</v>
      </c>
      <c r="W667" t="s">
        <v>211</v>
      </c>
      <c r="Y667" t="s">
        <v>30</v>
      </c>
    </row>
    <row r="668" spans="1:25" x14ac:dyDescent="0.25">
      <c r="A668" t="s">
        <v>2341</v>
      </c>
      <c r="B668" t="str">
        <f t="shared" si="81"/>
        <v>Anna Filipo Nuhu</v>
      </c>
      <c r="C668">
        <v>127018</v>
      </c>
      <c r="D668" t="str">
        <f t="shared" si="80"/>
        <v>Unique</v>
      </c>
      <c r="E668" t="s">
        <v>285</v>
      </c>
      <c r="F668" s="3">
        <f t="shared" si="82"/>
        <v>38</v>
      </c>
      <c r="G668" t="s">
        <v>32</v>
      </c>
      <c r="H668" t="str">
        <f t="shared" si="83"/>
        <v>Valid</v>
      </c>
      <c r="I668" t="s">
        <v>62</v>
      </c>
      <c r="J668" t="str">
        <f t="shared" si="84"/>
        <v>Kigoma Vijijini</v>
      </c>
      <c r="K668" t="s">
        <v>123</v>
      </c>
      <c r="L668" t="str" cm="1">
        <f t="array" ref="L668">_xlfn.IFS(
ISNUMBER(SEARCH("ICU",K668)), "ICU",
ISNUMBER(SEARCH("NEONATAL",K668)), PROPER("NEONATAL"),
ISNUMBER(SEARCH("LABOUR",K668)), PROPER("LABOUR"),
ISNUMBER(SEARCH("PAEDIATRIC",K668)), PROPER("PAEDIATRIC"),
ISNUMBER(SEARCH("FEMALE SURGICAL",K668)), PROPER("FEMALE SURG, ORTHO &amp; GYN"),
ISNUMBER(SEARCH("PSYCHIATRIST",K668)), PROPER("PSYCHIATRIST"),
ISNUMBER(SEARCH("GRADE 1",K668)), PROPER("GRADE 1"),
ISNUMBER(SEARCH("MALE SURGICAL",K668)), PROPER("MALE SURG &amp; ORTHOPEDIC"),
ISNUMBER(SEARCH("MALE MEDICAL",K668)), PROPER("MALE MEDICAL"),
ISNUMBER(SEARCH("GRADE 2",K668)), PROPER("GRADE 2"),
ISNUMBER(SEARCH("FEMALE WARD",K668)), PROPER("FEMALE MEDICAL"),
TRUE, "Unmapped: " &amp; K668)</f>
        <v>Female Surg, Ortho &amp; Gyn</v>
      </c>
      <c r="M668" t="s">
        <v>22</v>
      </c>
      <c r="O668" t="s">
        <v>2342</v>
      </c>
      <c r="P668" t="str">
        <f t="shared" si="85"/>
        <v>Text Error</v>
      </c>
      <c r="Q668" s="5">
        <v>46024.064895833333</v>
      </c>
      <c r="R668" t="str">
        <f t="shared" si="86"/>
        <v>Valid Date</v>
      </c>
      <c r="S668" t="s">
        <v>2343</v>
      </c>
      <c r="T668" s="5">
        <v>46025.744814814818</v>
      </c>
      <c r="U668">
        <v>1</v>
      </c>
      <c r="V668" t="str">
        <f t="shared" si="87"/>
        <v>OK</v>
      </c>
      <c r="W668" t="s">
        <v>25</v>
      </c>
      <c r="Y668" t="s">
        <v>30</v>
      </c>
    </row>
    <row r="669" spans="1:25" x14ac:dyDescent="0.25">
      <c r="A669" t="s">
        <v>2344</v>
      </c>
      <c r="B669" t="str">
        <f t="shared" si="81"/>
        <v>Fatuma Tosili Eliasa</v>
      </c>
      <c r="C669">
        <v>126898</v>
      </c>
      <c r="D669" t="str">
        <f t="shared" si="80"/>
        <v>Duplicate</v>
      </c>
      <c r="E669" t="s">
        <v>80</v>
      </c>
      <c r="F669" s="3">
        <f t="shared" si="82"/>
        <v>24</v>
      </c>
      <c r="G669" t="s">
        <v>32</v>
      </c>
      <c r="H669" t="str">
        <f t="shared" si="83"/>
        <v>Valid</v>
      </c>
      <c r="I669" t="s">
        <v>33</v>
      </c>
      <c r="J669" t="str">
        <f t="shared" si="84"/>
        <v>Kigoma Ujiji Mc</v>
      </c>
      <c r="K669" t="s">
        <v>40</v>
      </c>
      <c r="L669" t="str" cm="1">
        <f t="array" ref="L669">_xlfn.IFS(
ISNUMBER(SEARCH("ICU",K669)), "ICU",
ISNUMBER(SEARCH("NEONATAL",K669)), PROPER("NEONATAL"),
ISNUMBER(SEARCH("LABOUR",K669)), PROPER("LABOUR"),
ISNUMBER(SEARCH("PAEDIATRIC",K669)), PROPER("PAEDIATRIC"),
ISNUMBER(SEARCH("FEMALE SURGICAL",K669)), PROPER("FEMALE SURG, ORTHO &amp; GYN"),
ISNUMBER(SEARCH("PSYCHIATRIST",K669)), PROPER("PSYCHIATRIST"),
ISNUMBER(SEARCH("GRADE 1",K669)), PROPER("GRADE 1"),
ISNUMBER(SEARCH("MALE SURGICAL",K669)), PROPER("MALE SURG &amp; ORTHOPEDIC"),
ISNUMBER(SEARCH("MALE MEDICAL",K669)), PROPER("MALE MEDICAL"),
ISNUMBER(SEARCH("GRADE 2",K669)), PROPER("GRADE 2"),
ISNUMBER(SEARCH("FEMALE WARD",K669)), PROPER("FEMALE MEDICAL"),
TRUE, "Unmapped: " &amp; K669)</f>
        <v>Labour</v>
      </c>
      <c r="M669" t="s">
        <v>22</v>
      </c>
      <c r="O669" t="s">
        <v>2345</v>
      </c>
      <c r="P669" t="str">
        <f t="shared" si="85"/>
        <v>Text Error</v>
      </c>
      <c r="Q669" s="5">
        <v>46024.368645833332</v>
      </c>
      <c r="R669" t="str">
        <f t="shared" si="86"/>
        <v>Valid Date</v>
      </c>
      <c r="S669" t="s">
        <v>2346</v>
      </c>
      <c r="T669" s="5">
        <v>46025.62427083333</v>
      </c>
      <c r="U669">
        <v>1</v>
      </c>
      <c r="V669" t="str">
        <f t="shared" si="87"/>
        <v>OK</v>
      </c>
      <c r="W669" t="s">
        <v>25</v>
      </c>
      <c r="Y669" t="s">
        <v>30</v>
      </c>
    </row>
    <row r="670" spans="1:25" x14ac:dyDescent="0.25">
      <c r="A670" t="s">
        <v>2347</v>
      </c>
      <c r="B670" t="str">
        <f t="shared" si="81"/>
        <v>Huberto Mahanga Tegera</v>
      </c>
      <c r="C670">
        <v>41751</v>
      </c>
      <c r="D670" t="str">
        <f t="shared" si="80"/>
        <v>Unique</v>
      </c>
      <c r="E670" t="s">
        <v>310</v>
      </c>
      <c r="F670" s="3">
        <f t="shared" si="82"/>
        <v>90</v>
      </c>
      <c r="G670" t="s">
        <v>19</v>
      </c>
      <c r="H670" t="str">
        <f t="shared" si="83"/>
        <v>Valid</v>
      </c>
      <c r="I670" t="s">
        <v>227</v>
      </c>
      <c r="J670" t="str">
        <f t="shared" si="84"/>
        <v>KGG</v>
      </c>
      <c r="K670" t="s">
        <v>685</v>
      </c>
      <c r="L670" t="str" cm="1">
        <f t="array" ref="L670">_xlfn.IFS(
ISNUMBER(SEARCH("ICU",K670)), "ICU",
ISNUMBER(SEARCH("NEONATAL",K670)), PROPER("NEONATAL"),
ISNUMBER(SEARCH("LABOUR",K670)), PROPER("LABOUR"),
ISNUMBER(SEARCH("PAEDIATRIC",K670)), PROPER("PAEDIATRIC"),
ISNUMBER(SEARCH("FEMALE SURGICAL",K670)), PROPER("FEMALE SURG, ORTHO &amp; GYN"),
ISNUMBER(SEARCH("PSYCHIATRIST",K670)), PROPER("PSYCHIATRIST"),
ISNUMBER(SEARCH("GRADE 1",K670)), PROPER("GRADE 1"),
ISNUMBER(SEARCH("MALE SURGICAL",K670)), PROPER("MALE SURG &amp; ORTHOPEDIC"),
ISNUMBER(SEARCH("MALE MEDICAL",K670)), PROPER("MALE MEDICAL"),
ISNUMBER(SEARCH("GRADE 2",K670)), PROPER("GRADE 2"),
ISNUMBER(SEARCH("FEMALE WARD",K670)), PROPER("FEMALE MEDICAL"),
TRUE, "Unmapped: " &amp; K670)</f>
        <v>Grade 2</v>
      </c>
      <c r="M670" t="s">
        <v>394</v>
      </c>
      <c r="O670" t="s">
        <v>2348</v>
      </c>
      <c r="P670" t="str">
        <f t="shared" si="85"/>
        <v>Text Error</v>
      </c>
      <c r="Q670" s="5">
        <v>46024.375706018516</v>
      </c>
      <c r="R670" t="str">
        <f t="shared" si="86"/>
        <v>Valid Date</v>
      </c>
      <c r="S670" t="s">
        <v>2349</v>
      </c>
      <c r="T670" s="5">
        <v>46025.51326388889</v>
      </c>
      <c r="U670">
        <v>1</v>
      </c>
      <c r="V670" t="str">
        <f t="shared" si="87"/>
        <v>OK</v>
      </c>
      <c r="W670" t="s">
        <v>25</v>
      </c>
      <c r="Y670" t="s">
        <v>30</v>
      </c>
    </row>
    <row r="671" spans="1:25" x14ac:dyDescent="0.25">
      <c r="A671" t="s">
        <v>2350</v>
      </c>
      <c r="B671" t="str">
        <f t="shared" si="81"/>
        <v>Bryson Fedrick Stephano</v>
      </c>
      <c r="C671">
        <v>76402</v>
      </c>
      <c r="D671" t="str">
        <f t="shared" si="80"/>
        <v>Unique</v>
      </c>
      <c r="E671" t="s">
        <v>18</v>
      </c>
      <c r="F671" s="3">
        <f t="shared" si="82"/>
        <v>1</v>
      </c>
      <c r="G671" t="s">
        <v>19</v>
      </c>
      <c r="H671" t="str">
        <f t="shared" si="83"/>
        <v>Valid</v>
      </c>
      <c r="I671" t="s">
        <v>33</v>
      </c>
      <c r="J671" t="str">
        <f t="shared" si="84"/>
        <v>Kigoma Ujiji Mc</v>
      </c>
      <c r="K671" t="s">
        <v>109</v>
      </c>
      <c r="L671" t="str" cm="1">
        <f t="array" ref="L671">_xlfn.IFS(
ISNUMBER(SEARCH("ICU",K671)), "ICU",
ISNUMBER(SEARCH("NEONATAL",K671)), PROPER("NEONATAL"),
ISNUMBER(SEARCH("LABOUR",K671)), PROPER("LABOUR"),
ISNUMBER(SEARCH("PAEDIATRIC",K671)), PROPER("PAEDIATRIC"),
ISNUMBER(SEARCH("FEMALE SURGICAL",K671)), PROPER("FEMALE SURG, ORTHO &amp; GYN"),
ISNUMBER(SEARCH("PSYCHIATRIST",K671)), PROPER("PSYCHIATRIST"),
ISNUMBER(SEARCH("GRADE 1",K671)), PROPER("GRADE 1"),
ISNUMBER(SEARCH("MALE SURGICAL",K671)), PROPER("MALE SURG &amp; ORTHOPEDIC"),
ISNUMBER(SEARCH("MALE MEDICAL",K671)), PROPER("MALE MEDICAL"),
ISNUMBER(SEARCH("GRADE 2",K671)), PROPER("GRADE 2"),
ISNUMBER(SEARCH("FEMALE WARD",K671)), PROPER("FEMALE MEDICAL"),
TRUE, "Unmapped: " &amp; K671)</f>
        <v>Paediatric</v>
      </c>
      <c r="M671" t="s">
        <v>394</v>
      </c>
      <c r="O671" t="s">
        <v>2351</v>
      </c>
      <c r="P671" t="str">
        <f t="shared" si="85"/>
        <v>Text Error</v>
      </c>
      <c r="Q671" s="5">
        <v>46024.544120370374</v>
      </c>
      <c r="R671" t="str">
        <f t="shared" si="86"/>
        <v>Valid Date</v>
      </c>
      <c r="S671" t="s">
        <v>2352</v>
      </c>
      <c r="T671" s="5">
        <v>46025.549560185187</v>
      </c>
      <c r="U671">
        <v>1</v>
      </c>
      <c r="V671" t="str">
        <f t="shared" si="87"/>
        <v>OK</v>
      </c>
      <c r="W671" t="s">
        <v>25</v>
      </c>
      <c r="Y671" t="s">
        <v>30</v>
      </c>
    </row>
    <row r="672" spans="1:25" x14ac:dyDescent="0.25">
      <c r="A672" t="s">
        <v>2353</v>
      </c>
      <c r="B672" t="str">
        <f t="shared" si="81"/>
        <v>Winifrida Elidadi Bujiji</v>
      </c>
      <c r="C672">
        <v>127087</v>
      </c>
      <c r="D672" t="str">
        <f t="shared" si="80"/>
        <v>Unique</v>
      </c>
      <c r="E672" t="s">
        <v>151</v>
      </c>
      <c r="F672" s="3">
        <f t="shared" si="82"/>
        <v>22</v>
      </c>
      <c r="G672" t="s">
        <v>32</v>
      </c>
      <c r="H672" t="str">
        <f t="shared" si="83"/>
        <v>Valid</v>
      </c>
      <c r="I672" t="s">
        <v>33</v>
      </c>
      <c r="J672" t="str">
        <f t="shared" si="84"/>
        <v>Kigoma Ujiji Mc</v>
      </c>
      <c r="K672" t="s">
        <v>40</v>
      </c>
      <c r="L672" t="str" cm="1">
        <f t="array" ref="L672">_xlfn.IFS(
ISNUMBER(SEARCH("ICU",K672)), "ICU",
ISNUMBER(SEARCH("NEONATAL",K672)), PROPER("NEONATAL"),
ISNUMBER(SEARCH("LABOUR",K672)), PROPER("LABOUR"),
ISNUMBER(SEARCH("PAEDIATRIC",K672)), PROPER("PAEDIATRIC"),
ISNUMBER(SEARCH("FEMALE SURGICAL",K672)), PROPER("FEMALE SURG, ORTHO &amp; GYN"),
ISNUMBER(SEARCH("PSYCHIATRIST",K672)), PROPER("PSYCHIATRIST"),
ISNUMBER(SEARCH("GRADE 1",K672)), PROPER("GRADE 1"),
ISNUMBER(SEARCH("MALE SURGICAL",K672)), PROPER("MALE SURG &amp; ORTHOPEDIC"),
ISNUMBER(SEARCH("MALE MEDICAL",K672)), PROPER("MALE MEDICAL"),
ISNUMBER(SEARCH("GRADE 2",K672)), PROPER("GRADE 2"),
ISNUMBER(SEARCH("FEMALE WARD",K672)), PROPER("FEMALE MEDICAL"),
TRUE, "Unmapped: " &amp; K672)</f>
        <v>Labour</v>
      </c>
      <c r="M672" t="s">
        <v>22</v>
      </c>
      <c r="O672" t="s">
        <v>2354</v>
      </c>
      <c r="P672" t="str">
        <f t="shared" si="85"/>
        <v>Text Error</v>
      </c>
      <c r="Q672" s="5">
        <v>46024.646203703705</v>
      </c>
      <c r="R672" t="str">
        <f t="shared" si="86"/>
        <v>Valid Date</v>
      </c>
      <c r="S672" t="s">
        <v>2355</v>
      </c>
      <c r="T672" s="5">
        <v>46026.57303240741</v>
      </c>
      <c r="U672">
        <v>1</v>
      </c>
      <c r="V672" t="str">
        <f t="shared" si="87"/>
        <v>OK</v>
      </c>
      <c r="W672" t="s">
        <v>25</v>
      </c>
      <c r="Y672" t="s">
        <v>30</v>
      </c>
    </row>
    <row r="673" spans="1:25" x14ac:dyDescent="0.25">
      <c r="A673" t="s">
        <v>2356</v>
      </c>
      <c r="B673" t="str">
        <f t="shared" si="81"/>
        <v>Lucia Onesmo Holle</v>
      </c>
      <c r="C673">
        <v>113670</v>
      </c>
      <c r="D673" t="str">
        <f t="shared" si="80"/>
        <v>Unique</v>
      </c>
      <c r="E673" t="s">
        <v>296</v>
      </c>
      <c r="F673" s="3">
        <f t="shared" si="82"/>
        <v>26</v>
      </c>
      <c r="G673" t="s">
        <v>32</v>
      </c>
      <c r="H673" t="str">
        <f t="shared" si="83"/>
        <v>Valid</v>
      </c>
      <c r="I673" t="s">
        <v>33</v>
      </c>
      <c r="J673" t="str">
        <f t="shared" si="84"/>
        <v>Kigoma Ujiji Mc</v>
      </c>
      <c r="K673" t="s">
        <v>40</v>
      </c>
      <c r="L673" t="str" cm="1">
        <f t="array" ref="L673">_xlfn.IFS(
ISNUMBER(SEARCH("ICU",K673)), "ICU",
ISNUMBER(SEARCH("NEONATAL",K673)), PROPER("NEONATAL"),
ISNUMBER(SEARCH("LABOUR",K673)), PROPER("LABOUR"),
ISNUMBER(SEARCH("PAEDIATRIC",K673)), PROPER("PAEDIATRIC"),
ISNUMBER(SEARCH("FEMALE SURGICAL",K673)), PROPER("FEMALE SURG, ORTHO &amp; GYN"),
ISNUMBER(SEARCH("PSYCHIATRIST",K673)), PROPER("PSYCHIATRIST"),
ISNUMBER(SEARCH("GRADE 1",K673)), PROPER("GRADE 1"),
ISNUMBER(SEARCH("MALE SURGICAL",K673)), PROPER("MALE SURG &amp; ORTHOPEDIC"),
ISNUMBER(SEARCH("MALE MEDICAL",K673)), PROPER("MALE MEDICAL"),
ISNUMBER(SEARCH("GRADE 2",K673)), PROPER("GRADE 2"),
ISNUMBER(SEARCH("FEMALE WARD",K673)), PROPER("FEMALE MEDICAL"),
TRUE, "Unmapped: " &amp; K673)</f>
        <v>Labour</v>
      </c>
      <c r="M673" t="s">
        <v>22</v>
      </c>
      <c r="O673" t="s">
        <v>2357</v>
      </c>
      <c r="P673" t="str">
        <f t="shared" si="85"/>
        <v>Text Error</v>
      </c>
      <c r="Q673" s="5">
        <v>46024.791250000002</v>
      </c>
      <c r="R673" t="str">
        <f t="shared" si="86"/>
        <v>Valid Date</v>
      </c>
      <c r="S673" t="s">
        <v>2358</v>
      </c>
      <c r="T673" s="5">
        <v>46026.570486111108</v>
      </c>
      <c r="U673">
        <v>1</v>
      </c>
      <c r="V673" t="str">
        <f t="shared" si="87"/>
        <v>OK</v>
      </c>
      <c r="W673" t="s">
        <v>25</v>
      </c>
      <c r="Y673" t="s">
        <v>30</v>
      </c>
    </row>
    <row r="674" spans="1:25" x14ac:dyDescent="0.25">
      <c r="A674" t="s">
        <v>2359</v>
      </c>
      <c r="B674" t="str">
        <f t="shared" si="81"/>
        <v>Brown Matwili Matinde</v>
      </c>
      <c r="C674">
        <v>127137</v>
      </c>
      <c r="D674" t="str">
        <f t="shared" si="80"/>
        <v>Duplicate</v>
      </c>
      <c r="E674" t="s">
        <v>622</v>
      </c>
      <c r="F674" s="3" t="str">
        <f t="shared" si="82"/>
        <v>2/12</v>
      </c>
      <c r="G674" t="s">
        <v>19</v>
      </c>
      <c r="H674" t="str">
        <f t="shared" si="83"/>
        <v>Valid</v>
      </c>
      <c r="I674" t="s">
        <v>33</v>
      </c>
      <c r="J674" t="str">
        <f t="shared" si="84"/>
        <v>Kigoma Ujiji Mc</v>
      </c>
      <c r="K674" t="s">
        <v>21</v>
      </c>
      <c r="L674" t="str" cm="1">
        <f t="array" ref="L674">_xlfn.IFS(
ISNUMBER(SEARCH("ICU",K674)), "ICU",
ISNUMBER(SEARCH("NEONATAL",K674)), PROPER("NEONATAL"),
ISNUMBER(SEARCH("LABOUR",K674)), PROPER("LABOUR"),
ISNUMBER(SEARCH("PAEDIATRIC",K674)), PROPER("PAEDIATRIC"),
ISNUMBER(SEARCH("FEMALE SURGICAL",K674)), PROPER("FEMALE SURG, ORTHO &amp; GYN"),
ISNUMBER(SEARCH("PSYCHIATRIST",K674)), PROPER("PSYCHIATRIST"),
ISNUMBER(SEARCH("GRADE 1",K674)), PROPER("GRADE 1"),
ISNUMBER(SEARCH("MALE SURGICAL",K674)), PROPER("MALE SURG &amp; ORTHOPEDIC"),
ISNUMBER(SEARCH("MALE MEDICAL",K674)), PROPER("MALE MEDICAL"),
ISNUMBER(SEARCH("GRADE 2",K674)), PROPER("GRADE 2"),
ISNUMBER(SEARCH("FEMALE WARD",K674)), PROPER("FEMALE MEDICAL"),
TRUE, "Unmapped: " &amp; K674)</f>
        <v>Neonatal</v>
      </c>
      <c r="M674" t="s">
        <v>22</v>
      </c>
      <c r="O674" t="s">
        <v>2360</v>
      </c>
      <c r="P674" t="str">
        <f t="shared" si="85"/>
        <v>Text Error</v>
      </c>
      <c r="Q674" s="5">
        <v>46025.026805555557</v>
      </c>
      <c r="R674" t="str">
        <f t="shared" si="86"/>
        <v>Valid Date</v>
      </c>
      <c r="S674" t="s">
        <v>2361</v>
      </c>
      <c r="T674" s="5">
        <v>46026.570960648147</v>
      </c>
      <c r="U674">
        <v>1</v>
      </c>
      <c r="V674" t="str">
        <f t="shared" si="87"/>
        <v>OK</v>
      </c>
      <c r="W674" t="s">
        <v>25</v>
      </c>
      <c r="Y674" t="s">
        <v>30</v>
      </c>
    </row>
    <row r="675" spans="1:25" x14ac:dyDescent="0.25">
      <c r="A675" t="s">
        <v>2362</v>
      </c>
      <c r="B675" t="str">
        <f t="shared" si="81"/>
        <v>Hudhaifa Sadick Yusuph</v>
      </c>
      <c r="C675">
        <v>100606</v>
      </c>
      <c r="D675" t="str">
        <f t="shared" si="80"/>
        <v>Unique</v>
      </c>
      <c r="E675" t="s">
        <v>601</v>
      </c>
      <c r="F675" s="3">
        <f t="shared" si="82"/>
        <v>17</v>
      </c>
      <c r="G675" t="s">
        <v>19</v>
      </c>
      <c r="H675" t="str">
        <f t="shared" si="83"/>
        <v>Valid</v>
      </c>
      <c r="I675" t="s">
        <v>33</v>
      </c>
      <c r="J675" t="str">
        <f t="shared" si="84"/>
        <v>Kigoma Ujiji Mc</v>
      </c>
      <c r="K675" t="s">
        <v>484</v>
      </c>
      <c r="L675" t="str" cm="1">
        <f t="array" ref="L675">_xlfn.IFS(
ISNUMBER(SEARCH("ICU",K675)), "ICU",
ISNUMBER(SEARCH("NEONATAL",K675)), PROPER("NEONATAL"),
ISNUMBER(SEARCH("LABOUR",K675)), PROPER("LABOUR"),
ISNUMBER(SEARCH("PAEDIATRIC",K675)), PROPER("PAEDIATRIC"),
ISNUMBER(SEARCH("FEMALE SURGICAL",K675)), PROPER("FEMALE SURG, ORTHO &amp; GYN"),
ISNUMBER(SEARCH("PSYCHIATRIST",K675)), PROPER("PSYCHIATRIST"),
ISNUMBER(SEARCH("GRADE 1",K675)), PROPER("GRADE 1"),
ISNUMBER(SEARCH("MALE SURGICAL",K675)), PROPER("MALE SURG &amp; ORTHOPEDIC"),
ISNUMBER(SEARCH("MALE MEDICAL",K675)), PROPER("MALE MEDICAL"),
ISNUMBER(SEARCH("GRADE 2",K675)), PROPER("GRADE 2"),
ISNUMBER(SEARCH("FEMALE WARD",K675)), PROPER("FEMALE MEDICAL"),
TRUE, "Unmapped: " &amp; K675)</f>
        <v>Male Medical</v>
      </c>
      <c r="M675" t="s">
        <v>22</v>
      </c>
      <c r="O675" t="s">
        <v>2363</v>
      </c>
      <c r="P675" t="str">
        <f t="shared" si="85"/>
        <v>Text Error</v>
      </c>
      <c r="Q675" s="5">
        <v>46025.081701388888</v>
      </c>
      <c r="R675" t="str">
        <f t="shared" si="86"/>
        <v>Valid Date</v>
      </c>
      <c r="S675" t="s">
        <v>2364</v>
      </c>
      <c r="T675" s="5">
        <v>46026.525555555556</v>
      </c>
      <c r="U675">
        <v>1</v>
      </c>
      <c r="V675" t="str">
        <f t="shared" si="87"/>
        <v>OK</v>
      </c>
      <c r="W675" t="s">
        <v>25</v>
      </c>
      <c r="Y675" t="s">
        <v>30</v>
      </c>
    </row>
    <row r="676" spans="1:25" x14ac:dyDescent="0.25">
      <c r="A676" t="s">
        <v>2365</v>
      </c>
      <c r="B676" t="str">
        <f t="shared" si="81"/>
        <v>Raikani Erikado Severino</v>
      </c>
      <c r="C676">
        <v>127174</v>
      </c>
      <c r="D676" t="str">
        <f t="shared" si="80"/>
        <v>Unique</v>
      </c>
      <c r="E676" t="s">
        <v>18</v>
      </c>
      <c r="F676" s="3">
        <f t="shared" si="82"/>
        <v>1</v>
      </c>
      <c r="G676" t="s">
        <v>19</v>
      </c>
      <c r="H676" t="str">
        <f t="shared" si="83"/>
        <v>Valid</v>
      </c>
      <c r="I676" t="s">
        <v>33</v>
      </c>
      <c r="J676" t="str">
        <f t="shared" si="84"/>
        <v>Kigoma Ujiji Mc</v>
      </c>
      <c r="K676" t="s">
        <v>109</v>
      </c>
      <c r="L676" t="str" cm="1">
        <f t="array" ref="L676">_xlfn.IFS(
ISNUMBER(SEARCH("ICU",K676)), "ICU",
ISNUMBER(SEARCH("NEONATAL",K676)), PROPER("NEONATAL"),
ISNUMBER(SEARCH("LABOUR",K676)), PROPER("LABOUR"),
ISNUMBER(SEARCH("PAEDIATRIC",K676)), PROPER("PAEDIATRIC"),
ISNUMBER(SEARCH("FEMALE SURGICAL",K676)), PROPER("FEMALE SURG, ORTHO &amp; GYN"),
ISNUMBER(SEARCH("PSYCHIATRIST",K676)), PROPER("PSYCHIATRIST"),
ISNUMBER(SEARCH("GRADE 1",K676)), PROPER("GRADE 1"),
ISNUMBER(SEARCH("MALE SURGICAL",K676)), PROPER("MALE SURG &amp; ORTHOPEDIC"),
ISNUMBER(SEARCH("MALE MEDICAL",K676)), PROPER("MALE MEDICAL"),
ISNUMBER(SEARCH("GRADE 2",K676)), PROPER("GRADE 2"),
ISNUMBER(SEARCH("FEMALE WARD",K676)), PROPER("FEMALE MEDICAL"),
TRUE, "Unmapped: " &amp; K676)</f>
        <v>Paediatric</v>
      </c>
      <c r="M676" t="s">
        <v>22</v>
      </c>
      <c r="O676" t="s">
        <v>2366</v>
      </c>
      <c r="P676" t="str">
        <f t="shared" si="85"/>
        <v>Text Error</v>
      </c>
      <c r="Q676" s="5">
        <v>46025.726111111115</v>
      </c>
      <c r="R676" t="str">
        <f t="shared" si="86"/>
        <v>Valid Date</v>
      </c>
      <c r="S676" t="s">
        <v>2367</v>
      </c>
      <c r="T676" s="5">
        <v>46027.436840277776</v>
      </c>
      <c r="U676">
        <v>1</v>
      </c>
      <c r="V676" t="str">
        <f t="shared" si="87"/>
        <v>OK</v>
      </c>
      <c r="W676" t="s">
        <v>211</v>
      </c>
      <c r="Y676" t="s">
        <v>30</v>
      </c>
    </row>
    <row r="677" spans="1:25" x14ac:dyDescent="0.25">
      <c r="A677" t="s">
        <v>1325</v>
      </c>
      <c r="B677" t="str">
        <f t="shared" si="81"/>
        <v>Johari Ramadhani Hussein</v>
      </c>
      <c r="C677">
        <v>126781</v>
      </c>
      <c r="D677" t="str">
        <f t="shared" si="80"/>
        <v>Duplicate</v>
      </c>
      <c r="E677" t="s">
        <v>39</v>
      </c>
      <c r="F677" s="3">
        <f t="shared" si="82"/>
        <v>33</v>
      </c>
      <c r="G677" t="s">
        <v>32</v>
      </c>
      <c r="H677" t="str">
        <f t="shared" si="83"/>
        <v>Valid</v>
      </c>
      <c r="I677" t="s">
        <v>33</v>
      </c>
      <c r="J677" t="str">
        <f t="shared" si="84"/>
        <v>Kigoma Ujiji Mc</v>
      </c>
      <c r="K677" t="s">
        <v>40</v>
      </c>
      <c r="L677" t="str" cm="1">
        <f t="array" ref="L677">_xlfn.IFS(
ISNUMBER(SEARCH("ICU",K677)), "ICU",
ISNUMBER(SEARCH("NEONATAL",K677)), PROPER("NEONATAL"),
ISNUMBER(SEARCH("LABOUR",K677)), PROPER("LABOUR"),
ISNUMBER(SEARCH("PAEDIATRIC",K677)), PROPER("PAEDIATRIC"),
ISNUMBER(SEARCH("FEMALE SURGICAL",K677)), PROPER("FEMALE SURG, ORTHO &amp; GYN"),
ISNUMBER(SEARCH("PSYCHIATRIST",K677)), PROPER("PSYCHIATRIST"),
ISNUMBER(SEARCH("GRADE 1",K677)), PROPER("GRADE 1"),
ISNUMBER(SEARCH("MALE SURGICAL",K677)), PROPER("MALE SURG &amp; ORTHOPEDIC"),
ISNUMBER(SEARCH("MALE MEDICAL",K677)), PROPER("MALE MEDICAL"),
ISNUMBER(SEARCH("GRADE 2",K677)), PROPER("GRADE 2"),
ISNUMBER(SEARCH("FEMALE WARD",K677)), PROPER("FEMALE MEDICAL"),
TRUE, "Unmapped: " &amp; K677)</f>
        <v>Labour</v>
      </c>
      <c r="M677" t="s">
        <v>22</v>
      </c>
      <c r="O677" t="s">
        <v>2368</v>
      </c>
      <c r="P677" t="str">
        <f t="shared" si="85"/>
        <v>Text Error</v>
      </c>
      <c r="Q677" s="5">
        <v>46025.746828703705</v>
      </c>
      <c r="R677" t="str">
        <f t="shared" si="86"/>
        <v>Valid Date</v>
      </c>
      <c r="S677" t="s">
        <v>2369</v>
      </c>
      <c r="T677" s="5">
        <v>46027.724328703705</v>
      </c>
      <c r="U677">
        <v>1</v>
      </c>
      <c r="V677" t="str">
        <f t="shared" si="87"/>
        <v>OK</v>
      </c>
      <c r="W677" t="s">
        <v>25</v>
      </c>
      <c r="Y677" t="s">
        <v>30</v>
      </c>
    </row>
    <row r="678" spans="1:25" x14ac:dyDescent="0.25">
      <c r="A678" t="s">
        <v>2370</v>
      </c>
      <c r="B678" t="str">
        <f t="shared" si="81"/>
        <v>Herieth J Kamuangile</v>
      </c>
      <c r="C678">
        <v>86567</v>
      </c>
      <c r="D678" t="str">
        <f t="shared" si="80"/>
        <v>Unique</v>
      </c>
      <c r="E678" t="s">
        <v>181</v>
      </c>
      <c r="F678" s="3">
        <f t="shared" si="82"/>
        <v>7</v>
      </c>
      <c r="G678" t="s">
        <v>32</v>
      </c>
      <c r="H678" t="str">
        <f t="shared" si="83"/>
        <v>Valid</v>
      </c>
      <c r="I678" t="s">
        <v>33</v>
      </c>
      <c r="J678" t="str">
        <f t="shared" si="84"/>
        <v>Kigoma Ujiji Mc</v>
      </c>
      <c r="K678" t="s">
        <v>109</v>
      </c>
      <c r="L678" t="str" cm="1">
        <f t="array" ref="L678">_xlfn.IFS(
ISNUMBER(SEARCH("ICU",K678)), "ICU",
ISNUMBER(SEARCH("NEONATAL",K678)), PROPER("NEONATAL"),
ISNUMBER(SEARCH("LABOUR",K678)), PROPER("LABOUR"),
ISNUMBER(SEARCH("PAEDIATRIC",K678)), PROPER("PAEDIATRIC"),
ISNUMBER(SEARCH("FEMALE SURGICAL",K678)), PROPER("FEMALE SURG, ORTHO &amp; GYN"),
ISNUMBER(SEARCH("PSYCHIATRIST",K678)), PROPER("PSYCHIATRIST"),
ISNUMBER(SEARCH("GRADE 1",K678)), PROPER("GRADE 1"),
ISNUMBER(SEARCH("MALE SURGICAL",K678)), PROPER("MALE SURG &amp; ORTHOPEDIC"),
ISNUMBER(SEARCH("MALE MEDICAL",K678)), PROPER("MALE MEDICAL"),
ISNUMBER(SEARCH("GRADE 2",K678)), PROPER("GRADE 2"),
ISNUMBER(SEARCH("FEMALE WARD",K678)), PROPER("FEMALE MEDICAL"),
TRUE, "Unmapped: " &amp; K678)</f>
        <v>Paediatric</v>
      </c>
      <c r="M678" t="s">
        <v>394</v>
      </c>
      <c r="O678" t="s">
        <v>2371</v>
      </c>
      <c r="P678" t="str">
        <f t="shared" si="85"/>
        <v>Text Error</v>
      </c>
      <c r="Q678" s="5">
        <v>46026.473252314812</v>
      </c>
      <c r="R678" t="str">
        <f t="shared" si="86"/>
        <v>Valid Date</v>
      </c>
      <c r="S678" t="s">
        <v>2372</v>
      </c>
      <c r="T678" s="5">
        <v>46027.607268518521</v>
      </c>
      <c r="U678">
        <v>1</v>
      </c>
      <c r="V678" t="str">
        <f t="shared" si="87"/>
        <v>OK</v>
      </c>
      <c r="W678" t="s">
        <v>25</v>
      </c>
      <c r="Y678" t="s">
        <v>30</v>
      </c>
    </row>
    <row r="679" spans="1:25" x14ac:dyDescent="0.25">
      <c r="A679" t="s">
        <v>2373</v>
      </c>
      <c r="B679" t="str">
        <f t="shared" si="81"/>
        <v>Marcellino Issa Ntulyasili</v>
      </c>
      <c r="C679">
        <v>84413</v>
      </c>
      <c r="D679" t="str">
        <f t="shared" si="80"/>
        <v>Unique</v>
      </c>
      <c r="E679" t="s">
        <v>454</v>
      </c>
      <c r="F679" s="3">
        <f t="shared" si="82"/>
        <v>3</v>
      </c>
      <c r="G679" t="s">
        <v>19</v>
      </c>
      <c r="H679" t="str">
        <f t="shared" si="83"/>
        <v>Valid</v>
      </c>
      <c r="I679" t="s">
        <v>33</v>
      </c>
      <c r="J679" t="str">
        <f t="shared" si="84"/>
        <v>Kigoma Ujiji Mc</v>
      </c>
      <c r="K679" t="s">
        <v>109</v>
      </c>
      <c r="L679" t="str" cm="1">
        <f t="array" ref="L679">_xlfn.IFS(
ISNUMBER(SEARCH("ICU",K679)), "ICU",
ISNUMBER(SEARCH("NEONATAL",K679)), PROPER("NEONATAL"),
ISNUMBER(SEARCH("LABOUR",K679)), PROPER("LABOUR"),
ISNUMBER(SEARCH("PAEDIATRIC",K679)), PROPER("PAEDIATRIC"),
ISNUMBER(SEARCH("FEMALE SURGICAL",K679)), PROPER("FEMALE SURG, ORTHO &amp; GYN"),
ISNUMBER(SEARCH("PSYCHIATRIST",K679)), PROPER("PSYCHIATRIST"),
ISNUMBER(SEARCH("GRADE 1",K679)), PROPER("GRADE 1"),
ISNUMBER(SEARCH("MALE SURGICAL",K679)), PROPER("MALE SURG &amp; ORTHOPEDIC"),
ISNUMBER(SEARCH("MALE MEDICAL",K679)), PROPER("MALE MEDICAL"),
ISNUMBER(SEARCH("GRADE 2",K679)), PROPER("GRADE 2"),
ISNUMBER(SEARCH("FEMALE WARD",K679)), PROPER("FEMALE MEDICAL"),
TRUE, "Unmapped: " &amp; K679)</f>
        <v>Paediatric</v>
      </c>
      <c r="M679" t="s">
        <v>394</v>
      </c>
      <c r="O679" t="s">
        <v>2374</v>
      </c>
      <c r="P679" t="str">
        <f t="shared" si="85"/>
        <v>Text Error</v>
      </c>
      <c r="Q679" s="5">
        <v>46026.481631944444</v>
      </c>
      <c r="R679" t="str">
        <f t="shared" si="86"/>
        <v>Valid Date</v>
      </c>
      <c r="S679" t="s">
        <v>2375</v>
      </c>
      <c r="T679" s="5">
        <v>46027.7503125</v>
      </c>
      <c r="U679">
        <v>1</v>
      </c>
      <c r="V679" t="str">
        <f t="shared" si="87"/>
        <v>OK</v>
      </c>
      <c r="W679" t="s">
        <v>25</v>
      </c>
      <c r="Y679" t="s">
        <v>30</v>
      </c>
    </row>
    <row r="680" spans="1:25" x14ac:dyDescent="0.25">
      <c r="A680" t="s">
        <v>2377</v>
      </c>
      <c r="B680" t="str">
        <f t="shared" si="81"/>
        <v>Melisiana Saimon Saimon</v>
      </c>
      <c r="C680">
        <v>3907</v>
      </c>
      <c r="D680" t="str">
        <f t="shared" si="80"/>
        <v>Unique</v>
      </c>
      <c r="E680" t="s">
        <v>315</v>
      </c>
      <c r="F680" s="3">
        <f t="shared" si="82"/>
        <v>31</v>
      </c>
      <c r="G680" t="s">
        <v>32</v>
      </c>
      <c r="H680" t="str">
        <f t="shared" si="83"/>
        <v>Valid</v>
      </c>
      <c r="I680" t="s">
        <v>754</v>
      </c>
      <c r="J680" t="str">
        <f t="shared" si="84"/>
        <v>KG</v>
      </c>
      <c r="K680" t="s">
        <v>40</v>
      </c>
      <c r="L680" t="str" cm="1">
        <f t="array" ref="L680">_xlfn.IFS(
ISNUMBER(SEARCH("ICU",K680)), "ICU",
ISNUMBER(SEARCH("NEONATAL",K680)), PROPER("NEONATAL"),
ISNUMBER(SEARCH("LABOUR",K680)), PROPER("LABOUR"),
ISNUMBER(SEARCH("PAEDIATRIC",K680)), PROPER("PAEDIATRIC"),
ISNUMBER(SEARCH("FEMALE SURGICAL",K680)), PROPER("FEMALE SURG, ORTHO &amp; GYN"),
ISNUMBER(SEARCH("PSYCHIATRIST",K680)), PROPER("PSYCHIATRIST"),
ISNUMBER(SEARCH("GRADE 1",K680)), PROPER("GRADE 1"),
ISNUMBER(SEARCH("MALE SURGICAL",K680)), PROPER("MALE SURG &amp; ORTHOPEDIC"),
ISNUMBER(SEARCH("MALE MEDICAL",K680)), PROPER("MALE MEDICAL"),
ISNUMBER(SEARCH("GRADE 2",K680)), PROPER("GRADE 2"),
ISNUMBER(SEARCH("FEMALE WARD",K680)), PROPER("FEMALE MEDICAL"),
TRUE, "Unmapped: " &amp; K680)</f>
        <v>Labour</v>
      </c>
      <c r="M680" t="s">
        <v>22</v>
      </c>
      <c r="O680" t="s">
        <v>2378</v>
      </c>
      <c r="P680" t="str">
        <f t="shared" si="85"/>
        <v>Text Error</v>
      </c>
      <c r="Q680" s="5">
        <v>46026.605682870373</v>
      </c>
      <c r="R680" t="str">
        <f t="shared" si="86"/>
        <v>Valid Date</v>
      </c>
      <c r="S680" t="s">
        <v>2379</v>
      </c>
      <c r="T680" s="5">
        <v>46027.697268518517</v>
      </c>
      <c r="U680">
        <v>1</v>
      </c>
      <c r="V680" t="str">
        <f t="shared" si="87"/>
        <v>OK</v>
      </c>
      <c r="W680" t="s">
        <v>25</v>
      </c>
      <c r="Y680" t="s">
        <v>30</v>
      </c>
    </row>
    <row r="681" spans="1:25" x14ac:dyDescent="0.25">
      <c r="A681" t="s">
        <v>2380</v>
      </c>
      <c r="B681" t="str">
        <f t="shared" si="81"/>
        <v>Careen Yohana Joel</v>
      </c>
      <c r="C681">
        <v>78462</v>
      </c>
      <c r="D681" t="str">
        <f t="shared" si="80"/>
        <v>Unique</v>
      </c>
      <c r="E681" t="s">
        <v>108</v>
      </c>
      <c r="F681" s="3">
        <f t="shared" si="82"/>
        <v>2</v>
      </c>
      <c r="G681" t="s">
        <v>32</v>
      </c>
      <c r="H681" t="str">
        <f t="shared" si="83"/>
        <v>Valid</v>
      </c>
      <c r="I681" t="s">
        <v>227</v>
      </c>
      <c r="J681" t="str">
        <f t="shared" si="84"/>
        <v>KGG</v>
      </c>
      <c r="K681" t="s">
        <v>393</v>
      </c>
      <c r="L681" t="str" cm="1">
        <f t="array" ref="L681">_xlfn.IFS(
ISNUMBER(SEARCH("ICU",K681)), "ICU",
ISNUMBER(SEARCH("NEONATAL",K681)), PROPER("NEONATAL"),
ISNUMBER(SEARCH("LABOUR",K681)), PROPER("LABOUR"),
ISNUMBER(SEARCH("PAEDIATRIC",K681)), PROPER("PAEDIATRIC"),
ISNUMBER(SEARCH("FEMALE SURGICAL",K681)), PROPER("FEMALE SURG, ORTHO &amp; GYN"),
ISNUMBER(SEARCH("PSYCHIATRIST",K681)), PROPER("PSYCHIATRIST"),
ISNUMBER(SEARCH("GRADE 1",K681)), PROPER("GRADE 1"),
ISNUMBER(SEARCH("MALE SURGICAL",K681)), PROPER("MALE SURG &amp; ORTHOPEDIC"),
ISNUMBER(SEARCH("MALE MEDICAL",K681)), PROPER("MALE MEDICAL"),
ISNUMBER(SEARCH("GRADE 2",K681)), PROPER("GRADE 2"),
ISNUMBER(SEARCH("FEMALE WARD",K681)), PROPER("FEMALE MEDICAL"),
TRUE, "Unmapped: " &amp; K681)</f>
        <v>Grade 1</v>
      </c>
      <c r="M681" t="s">
        <v>394</v>
      </c>
      <c r="O681" t="s">
        <v>2381</v>
      </c>
      <c r="P681" t="str">
        <f t="shared" si="85"/>
        <v>Text Error</v>
      </c>
      <c r="Q681" s="5">
        <v>46026.653078703705</v>
      </c>
      <c r="R681" t="str">
        <f t="shared" si="86"/>
        <v>Valid Date</v>
      </c>
      <c r="S681" t="s">
        <v>2382</v>
      </c>
      <c r="T681" s="5">
        <v>46028.556770833333</v>
      </c>
      <c r="U681">
        <v>1</v>
      </c>
      <c r="V681" t="str">
        <f t="shared" si="87"/>
        <v>OK</v>
      </c>
      <c r="W681" t="s">
        <v>25</v>
      </c>
      <c r="Y681" t="s">
        <v>30</v>
      </c>
    </row>
    <row r="682" spans="1:25" x14ac:dyDescent="0.25">
      <c r="A682" t="s">
        <v>2383</v>
      </c>
      <c r="B682" t="str">
        <f t="shared" si="81"/>
        <v>Catherine Y Joel</v>
      </c>
      <c r="C682">
        <v>84292</v>
      </c>
      <c r="D682" t="str">
        <f t="shared" si="80"/>
        <v>Unique</v>
      </c>
      <c r="E682" t="s">
        <v>454</v>
      </c>
      <c r="F682" s="3">
        <f t="shared" si="82"/>
        <v>3</v>
      </c>
      <c r="G682" t="s">
        <v>32</v>
      </c>
      <c r="H682" t="str">
        <f t="shared" si="83"/>
        <v>Valid</v>
      </c>
      <c r="I682" t="s">
        <v>33</v>
      </c>
      <c r="J682" t="str">
        <f t="shared" si="84"/>
        <v>Kigoma Ujiji Mc</v>
      </c>
      <c r="K682" t="s">
        <v>393</v>
      </c>
      <c r="L682" t="str" cm="1">
        <f t="array" ref="L682">_xlfn.IFS(
ISNUMBER(SEARCH("ICU",K682)), "ICU",
ISNUMBER(SEARCH("NEONATAL",K682)), PROPER("NEONATAL"),
ISNUMBER(SEARCH("LABOUR",K682)), PROPER("LABOUR"),
ISNUMBER(SEARCH("PAEDIATRIC",K682)), PROPER("PAEDIATRIC"),
ISNUMBER(SEARCH("FEMALE SURGICAL",K682)), PROPER("FEMALE SURG, ORTHO &amp; GYN"),
ISNUMBER(SEARCH("PSYCHIATRIST",K682)), PROPER("PSYCHIATRIST"),
ISNUMBER(SEARCH("GRADE 1",K682)), PROPER("GRADE 1"),
ISNUMBER(SEARCH("MALE SURGICAL",K682)), PROPER("MALE SURG &amp; ORTHOPEDIC"),
ISNUMBER(SEARCH("MALE MEDICAL",K682)), PROPER("MALE MEDICAL"),
ISNUMBER(SEARCH("GRADE 2",K682)), PROPER("GRADE 2"),
ISNUMBER(SEARCH("FEMALE WARD",K682)), PROPER("FEMALE MEDICAL"),
TRUE, "Unmapped: " &amp; K682)</f>
        <v>Grade 1</v>
      </c>
      <c r="M682" t="s">
        <v>394</v>
      </c>
      <c r="O682" t="s">
        <v>2384</v>
      </c>
      <c r="P682" t="str">
        <f t="shared" si="85"/>
        <v>Text Error</v>
      </c>
      <c r="Q682" s="5">
        <v>46026.65388888889</v>
      </c>
      <c r="R682" t="str">
        <f t="shared" si="86"/>
        <v>Valid Date</v>
      </c>
      <c r="S682" t="s">
        <v>2385</v>
      </c>
      <c r="T682" s="5">
        <v>46028.557337962964</v>
      </c>
      <c r="U682">
        <v>1</v>
      </c>
      <c r="V682" t="str">
        <f t="shared" si="87"/>
        <v>OK</v>
      </c>
      <c r="W682" t="s">
        <v>25</v>
      </c>
      <c r="Y682" t="s">
        <v>30</v>
      </c>
    </row>
    <row r="683" spans="1:25" x14ac:dyDescent="0.25">
      <c r="A683" t="s">
        <v>2386</v>
      </c>
      <c r="B683" t="str">
        <f t="shared" si="81"/>
        <v>Rosa Laurent Antony</v>
      </c>
      <c r="C683">
        <v>127223</v>
      </c>
      <c r="D683" t="str">
        <f t="shared" si="80"/>
        <v>Unique</v>
      </c>
      <c r="E683" t="s">
        <v>1138</v>
      </c>
      <c r="F683" s="3">
        <f t="shared" si="82"/>
        <v>49</v>
      </c>
      <c r="G683" t="s">
        <v>32</v>
      </c>
      <c r="H683" t="str">
        <f t="shared" si="83"/>
        <v>Valid</v>
      </c>
      <c r="I683" t="s">
        <v>33</v>
      </c>
      <c r="J683" t="str">
        <f t="shared" si="84"/>
        <v>Kigoma Ujiji Mc</v>
      </c>
      <c r="K683" t="s">
        <v>700</v>
      </c>
      <c r="L683" t="str" cm="1">
        <f t="array" ref="L683">_xlfn.IFS(
ISNUMBER(SEARCH("ICU",K683)), "ICU",
ISNUMBER(SEARCH("NEONATAL",K683)), PROPER("NEONATAL"),
ISNUMBER(SEARCH("LABOUR",K683)), PROPER("LABOUR"),
ISNUMBER(SEARCH("PAEDIATRIC",K683)), PROPER("PAEDIATRIC"),
ISNUMBER(SEARCH("FEMALE SURGICAL",K683)), PROPER("FEMALE SURG, ORTHO &amp; GYN"),
ISNUMBER(SEARCH("PSYCHIATRIST",K683)), PROPER("PSYCHIATRIST"),
ISNUMBER(SEARCH("GRADE 1",K683)), PROPER("GRADE 1"),
ISNUMBER(SEARCH("MALE SURGICAL",K683)), PROPER("MALE SURG &amp; ORTHOPEDIC"),
ISNUMBER(SEARCH("MALE MEDICAL",K683)), PROPER("MALE MEDICAL"),
ISNUMBER(SEARCH("GRADE 2",K683)), PROPER("GRADE 2"),
ISNUMBER(SEARCH("FEMALE WARD",K683)), PROPER("FEMALE MEDICAL"),
TRUE, "Unmapped: " &amp; K683)</f>
        <v>Female Medical</v>
      </c>
      <c r="M683" t="s">
        <v>22</v>
      </c>
      <c r="O683" t="s">
        <v>2387</v>
      </c>
      <c r="P683" t="str">
        <f t="shared" si="85"/>
        <v>Text Error</v>
      </c>
      <c r="Q683" s="5">
        <v>46026.81863425926</v>
      </c>
      <c r="R683" t="str">
        <f t="shared" si="86"/>
        <v>Valid Date</v>
      </c>
      <c r="S683" t="s">
        <v>2388</v>
      </c>
      <c r="T683" s="5">
        <v>46028.648310185185</v>
      </c>
      <c r="U683">
        <v>1</v>
      </c>
      <c r="V683" t="str">
        <f t="shared" si="87"/>
        <v>OK</v>
      </c>
      <c r="W683" t="s">
        <v>25</v>
      </c>
      <c r="Y683" t="s">
        <v>30</v>
      </c>
    </row>
    <row r="684" spans="1:25" x14ac:dyDescent="0.25">
      <c r="A684" t="s">
        <v>2389</v>
      </c>
      <c r="B684" t="str">
        <f t="shared" si="81"/>
        <v>Benjamin Wilson Sheho</v>
      </c>
      <c r="C684">
        <v>118082</v>
      </c>
      <c r="D684" t="str">
        <f t="shared" si="80"/>
        <v>Unique</v>
      </c>
      <c r="E684" t="s">
        <v>252</v>
      </c>
      <c r="F684" s="3" t="str">
        <f t="shared" si="82"/>
        <v>10/12</v>
      </c>
      <c r="G684" t="s">
        <v>19</v>
      </c>
      <c r="H684" t="str">
        <f t="shared" si="83"/>
        <v>Valid</v>
      </c>
      <c r="I684" t="s">
        <v>33</v>
      </c>
      <c r="J684" t="str">
        <f t="shared" si="84"/>
        <v>Kigoma Ujiji Mc</v>
      </c>
      <c r="K684" t="s">
        <v>109</v>
      </c>
      <c r="L684" t="str" cm="1">
        <f t="array" ref="L684">_xlfn.IFS(
ISNUMBER(SEARCH("ICU",K684)), "ICU",
ISNUMBER(SEARCH("NEONATAL",K684)), PROPER("NEONATAL"),
ISNUMBER(SEARCH("LABOUR",K684)), PROPER("LABOUR"),
ISNUMBER(SEARCH("PAEDIATRIC",K684)), PROPER("PAEDIATRIC"),
ISNUMBER(SEARCH("FEMALE SURGICAL",K684)), PROPER("FEMALE SURG, ORTHO &amp; GYN"),
ISNUMBER(SEARCH("PSYCHIATRIST",K684)), PROPER("PSYCHIATRIST"),
ISNUMBER(SEARCH("GRADE 1",K684)), PROPER("GRADE 1"),
ISNUMBER(SEARCH("MALE SURGICAL",K684)), PROPER("MALE SURG &amp; ORTHOPEDIC"),
ISNUMBER(SEARCH("MALE MEDICAL",K684)), PROPER("MALE MEDICAL"),
ISNUMBER(SEARCH("GRADE 2",K684)), PROPER("GRADE 2"),
ISNUMBER(SEARCH("FEMALE WARD",K684)), PROPER("FEMALE MEDICAL"),
TRUE, "Unmapped: " &amp; K684)</f>
        <v>Paediatric</v>
      </c>
      <c r="M684" t="s">
        <v>394</v>
      </c>
      <c r="O684" t="s">
        <v>2390</v>
      </c>
      <c r="P684" t="str">
        <f t="shared" si="85"/>
        <v>Text Error</v>
      </c>
      <c r="Q684" s="5">
        <v>46026.908356481479</v>
      </c>
      <c r="R684" t="str">
        <f t="shared" si="86"/>
        <v>Valid Date</v>
      </c>
      <c r="S684" t="s">
        <v>2391</v>
      </c>
      <c r="T684" s="5">
        <v>46028.741724537038</v>
      </c>
      <c r="U684">
        <v>1</v>
      </c>
      <c r="V684" t="str">
        <f t="shared" si="87"/>
        <v>OK</v>
      </c>
      <c r="W684" t="s">
        <v>25</v>
      </c>
      <c r="Y684" t="s">
        <v>30</v>
      </c>
    </row>
    <row r="685" spans="1:25" x14ac:dyDescent="0.25">
      <c r="A685" t="s">
        <v>2392</v>
      </c>
      <c r="B685" t="str">
        <f t="shared" si="81"/>
        <v>Rose Bernad Helman</v>
      </c>
      <c r="C685">
        <v>127253</v>
      </c>
      <c r="D685" t="str">
        <f t="shared" si="80"/>
        <v>Unique</v>
      </c>
      <c r="E685" t="s">
        <v>301</v>
      </c>
      <c r="F685" s="3">
        <f t="shared" si="82"/>
        <v>16</v>
      </c>
      <c r="G685" t="s">
        <v>32</v>
      </c>
      <c r="H685" t="str">
        <f t="shared" si="83"/>
        <v>Valid</v>
      </c>
      <c r="I685" t="s">
        <v>33</v>
      </c>
      <c r="J685" t="str">
        <f t="shared" si="84"/>
        <v>Kigoma Ujiji Mc</v>
      </c>
      <c r="K685" t="s">
        <v>700</v>
      </c>
      <c r="L685" t="str" cm="1">
        <f t="array" ref="L685">_xlfn.IFS(
ISNUMBER(SEARCH("ICU",K685)), "ICU",
ISNUMBER(SEARCH("NEONATAL",K685)), PROPER("NEONATAL"),
ISNUMBER(SEARCH("LABOUR",K685)), PROPER("LABOUR"),
ISNUMBER(SEARCH("PAEDIATRIC",K685)), PROPER("PAEDIATRIC"),
ISNUMBER(SEARCH("FEMALE SURGICAL",K685)), PROPER("FEMALE SURG, ORTHO &amp; GYN"),
ISNUMBER(SEARCH("PSYCHIATRIST",K685)), PROPER("PSYCHIATRIST"),
ISNUMBER(SEARCH("GRADE 1",K685)), PROPER("GRADE 1"),
ISNUMBER(SEARCH("MALE SURGICAL",K685)), PROPER("MALE SURG &amp; ORTHOPEDIC"),
ISNUMBER(SEARCH("MALE MEDICAL",K685)), PROPER("MALE MEDICAL"),
ISNUMBER(SEARCH("GRADE 2",K685)), PROPER("GRADE 2"),
ISNUMBER(SEARCH("FEMALE WARD",K685)), PROPER("FEMALE MEDICAL"),
TRUE, "Unmapped: " &amp; K685)</f>
        <v>Female Medical</v>
      </c>
      <c r="M685" t="s">
        <v>22</v>
      </c>
      <c r="O685" t="s">
        <v>2393</v>
      </c>
      <c r="P685" t="str">
        <f t="shared" si="85"/>
        <v>Text Error</v>
      </c>
      <c r="Q685" s="5">
        <v>46027.320972222224</v>
      </c>
      <c r="R685" t="str">
        <f t="shared" si="86"/>
        <v>Valid Date</v>
      </c>
      <c r="S685" t="s">
        <v>2394</v>
      </c>
      <c r="T685" s="5">
        <v>46028.616875</v>
      </c>
      <c r="U685">
        <v>1</v>
      </c>
      <c r="V685" t="str">
        <f t="shared" si="87"/>
        <v>OK</v>
      </c>
      <c r="W685" t="s">
        <v>25</v>
      </c>
      <c r="Y685" t="s">
        <v>30</v>
      </c>
    </row>
    <row r="686" spans="1:25" x14ac:dyDescent="0.25">
      <c r="A686" t="s">
        <v>2395</v>
      </c>
      <c r="B686" t="str">
        <f t="shared" si="81"/>
        <v>Samweli Nsengiyumva Azori</v>
      </c>
      <c r="C686">
        <v>126736</v>
      </c>
      <c r="D686" t="str">
        <f t="shared" si="80"/>
        <v>Unique</v>
      </c>
      <c r="E686" t="s">
        <v>670</v>
      </c>
      <c r="F686" s="3">
        <f t="shared" si="82"/>
        <v>14</v>
      </c>
      <c r="G686" t="s">
        <v>19</v>
      </c>
      <c r="H686" t="str">
        <f t="shared" si="83"/>
        <v>Valid</v>
      </c>
      <c r="I686" t="s">
        <v>62</v>
      </c>
      <c r="J686" t="str">
        <f t="shared" si="84"/>
        <v>Kigoma Vijijini</v>
      </c>
      <c r="K686" t="s">
        <v>484</v>
      </c>
      <c r="L686" t="str" cm="1">
        <f t="array" ref="L686">_xlfn.IFS(
ISNUMBER(SEARCH("ICU",K686)), "ICU",
ISNUMBER(SEARCH("NEONATAL",K686)), PROPER("NEONATAL"),
ISNUMBER(SEARCH("LABOUR",K686)), PROPER("LABOUR"),
ISNUMBER(SEARCH("PAEDIATRIC",K686)), PROPER("PAEDIATRIC"),
ISNUMBER(SEARCH("FEMALE SURGICAL",K686)), PROPER("FEMALE SURG, ORTHO &amp; GYN"),
ISNUMBER(SEARCH("PSYCHIATRIST",K686)), PROPER("PSYCHIATRIST"),
ISNUMBER(SEARCH("GRADE 1",K686)), PROPER("GRADE 1"),
ISNUMBER(SEARCH("MALE SURGICAL",K686)), PROPER("MALE SURG &amp; ORTHOPEDIC"),
ISNUMBER(SEARCH("MALE MEDICAL",K686)), PROPER("MALE MEDICAL"),
ISNUMBER(SEARCH("GRADE 2",K686)), PROPER("GRADE 2"),
ISNUMBER(SEARCH("FEMALE WARD",K686)), PROPER("FEMALE MEDICAL"),
TRUE, "Unmapped: " &amp; K686)</f>
        <v>Male Medical</v>
      </c>
      <c r="M686" t="s">
        <v>22</v>
      </c>
      <c r="O686" t="s">
        <v>2396</v>
      </c>
      <c r="P686" t="str">
        <f t="shared" si="85"/>
        <v>Text Error</v>
      </c>
      <c r="Q686" s="5">
        <v>46027.371458333335</v>
      </c>
      <c r="R686" t="str">
        <f t="shared" si="86"/>
        <v>Valid Date</v>
      </c>
      <c r="S686" t="s">
        <v>2397</v>
      </c>
      <c r="T686" s="5">
        <v>46028.673715277779</v>
      </c>
      <c r="U686">
        <v>1</v>
      </c>
      <c r="V686" t="str">
        <f t="shared" si="87"/>
        <v>OK</v>
      </c>
      <c r="W686" t="s">
        <v>397</v>
      </c>
      <c r="Y686" t="s">
        <v>30</v>
      </c>
    </row>
    <row r="687" spans="1:25" x14ac:dyDescent="0.25">
      <c r="A687" t="s">
        <v>2399</v>
      </c>
      <c r="B687" t="str">
        <f t="shared" si="81"/>
        <v>Angela Cacubert Ndereka</v>
      </c>
      <c r="C687">
        <v>26525</v>
      </c>
      <c r="D687" t="str">
        <f t="shared" si="80"/>
        <v>Unique</v>
      </c>
      <c r="E687" t="s">
        <v>614</v>
      </c>
      <c r="F687" s="3">
        <f t="shared" si="82"/>
        <v>43</v>
      </c>
      <c r="G687" t="s">
        <v>32</v>
      </c>
      <c r="H687" t="str">
        <f t="shared" si="83"/>
        <v>Valid</v>
      </c>
      <c r="I687" t="s">
        <v>227</v>
      </c>
      <c r="J687" t="str">
        <f t="shared" si="84"/>
        <v>KGG</v>
      </c>
      <c r="K687" t="s">
        <v>123</v>
      </c>
      <c r="L687" t="str" cm="1">
        <f t="array" ref="L687">_xlfn.IFS(
ISNUMBER(SEARCH("ICU",K687)), "ICU",
ISNUMBER(SEARCH("NEONATAL",K687)), PROPER("NEONATAL"),
ISNUMBER(SEARCH("LABOUR",K687)), PROPER("LABOUR"),
ISNUMBER(SEARCH("PAEDIATRIC",K687)), PROPER("PAEDIATRIC"),
ISNUMBER(SEARCH("FEMALE SURGICAL",K687)), PROPER("FEMALE SURG, ORTHO &amp; GYN"),
ISNUMBER(SEARCH("PSYCHIATRIST",K687)), PROPER("PSYCHIATRIST"),
ISNUMBER(SEARCH("GRADE 1",K687)), PROPER("GRADE 1"),
ISNUMBER(SEARCH("MALE SURGICAL",K687)), PROPER("MALE SURG &amp; ORTHOPEDIC"),
ISNUMBER(SEARCH("MALE MEDICAL",K687)), PROPER("MALE MEDICAL"),
ISNUMBER(SEARCH("GRADE 2",K687)), PROPER("GRADE 2"),
ISNUMBER(SEARCH("FEMALE WARD",K687)), PROPER("FEMALE MEDICAL"),
TRUE, "Unmapped: " &amp; K687)</f>
        <v>Female Surg, Ortho &amp; Gyn</v>
      </c>
      <c r="M687" t="s">
        <v>394</v>
      </c>
      <c r="O687" t="s">
        <v>2400</v>
      </c>
      <c r="P687" t="str">
        <f t="shared" si="85"/>
        <v>Text Error</v>
      </c>
      <c r="Q687" s="5">
        <v>46027.464930555558</v>
      </c>
      <c r="R687" t="str">
        <f t="shared" si="86"/>
        <v>Valid Date</v>
      </c>
      <c r="S687" t="s">
        <v>2401</v>
      </c>
      <c r="T687" s="5">
        <v>46028.732303240744</v>
      </c>
      <c r="U687">
        <v>1</v>
      </c>
      <c r="V687" t="str">
        <f t="shared" si="87"/>
        <v>OK</v>
      </c>
      <c r="W687" t="s">
        <v>25</v>
      </c>
      <c r="Y687" t="s">
        <v>30</v>
      </c>
    </row>
    <row r="688" spans="1:25" x14ac:dyDescent="0.25">
      <c r="A688" t="s">
        <v>2402</v>
      </c>
      <c r="B688" t="str">
        <f t="shared" si="81"/>
        <v>Genipher Venance Mbeya</v>
      </c>
      <c r="C688">
        <v>127315</v>
      </c>
      <c r="D688" t="str">
        <f t="shared" si="80"/>
        <v>Unique</v>
      </c>
      <c r="E688" t="s">
        <v>193</v>
      </c>
      <c r="F688" s="3">
        <f t="shared" si="82"/>
        <v>5</v>
      </c>
      <c r="G688" t="s">
        <v>32</v>
      </c>
      <c r="H688" t="str">
        <f t="shared" si="83"/>
        <v>Valid</v>
      </c>
      <c r="I688" t="s">
        <v>33</v>
      </c>
      <c r="J688" t="str">
        <f t="shared" si="84"/>
        <v>Kigoma Ujiji Mc</v>
      </c>
      <c r="K688" t="s">
        <v>393</v>
      </c>
      <c r="L688" t="str" cm="1">
        <f t="array" ref="L688">_xlfn.IFS(
ISNUMBER(SEARCH("ICU",K688)), "ICU",
ISNUMBER(SEARCH("NEONATAL",K688)), PROPER("NEONATAL"),
ISNUMBER(SEARCH("LABOUR",K688)), PROPER("LABOUR"),
ISNUMBER(SEARCH("PAEDIATRIC",K688)), PROPER("PAEDIATRIC"),
ISNUMBER(SEARCH("FEMALE SURGICAL",K688)), PROPER("FEMALE SURG, ORTHO &amp; GYN"),
ISNUMBER(SEARCH("PSYCHIATRIST",K688)), PROPER("PSYCHIATRIST"),
ISNUMBER(SEARCH("GRADE 1",K688)), PROPER("GRADE 1"),
ISNUMBER(SEARCH("MALE SURGICAL",K688)), PROPER("MALE SURG &amp; ORTHOPEDIC"),
ISNUMBER(SEARCH("MALE MEDICAL",K688)), PROPER("MALE MEDICAL"),
ISNUMBER(SEARCH("GRADE 2",K688)), PROPER("GRADE 2"),
ISNUMBER(SEARCH("FEMALE WARD",K688)), PROPER("FEMALE MEDICAL"),
TRUE, "Unmapped: " &amp; K688)</f>
        <v>Grade 1</v>
      </c>
      <c r="M688" t="s">
        <v>394</v>
      </c>
      <c r="O688" t="s">
        <v>2403</v>
      </c>
      <c r="P688" t="str">
        <f t="shared" si="85"/>
        <v>Text Error</v>
      </c>
      <c r="Q688" s="5">
        <v>46027.507025462961</v>
      </c>
      <c r="R688" t="str">
        <f t="shared" si="86"/>
        <v>Valid Date</v>
      </c>
      <c r="S688" t="s">
        <v>2404</v>
      </c>
      <c r="T688" s="5">
        <v>46028.614965277775</v>
      </c>
      <c r="U688">
        <v>1</v>
      </c>
      <c r="V688" t="str">
        <f t="shared" si="87"/>
        <v>OK</v>
      </c>
      <c r="W688" t="s">
        <v>25</v>
      </c>
      <c r="Y688" t="s">
        <v>30</v>
      </c>
    </row>
    <row r="689" spans="1:25" x14ac:dyDescent="0.25">
      <c r="A689" t="s">
        <v>2405</v>
      </c>
      <c r="B689" t="str">
        <f t="shared" si="81"/>
        <v>Adolph T Nyegee</v>
      </c>
      <c r="C689">
        <v>127218</v>
      </c>
      <c r="D689" t="str">
        <f t="shared" si="80"/>
        <v>Unique</v>
      </c>
      <c r="E689" t="s">
        <v>285</v>
      </c>
      <c r="F689" s="3">
        <f t="shared" si="82"/>
        <v>38</v>
      </c>
      <c r="G689" t="s">
        <v>19</v>
      </c>
      <c r="H689" t="str">
        <f t="shared" si="83"/>
        <v>Valid</v>
      </c>
      <c r="I689" t="s">
        <v>33</v>
      </c>
      <c r="J689" t="str">
        <f t="shared" si="84"/>
        <v>Kigoma Ujiji Mc</v>
      </c>
      <c r="K689" t="s">
        <v>685</v>
      </c>
      <c r="L689" t="str" cm="1">
        <f t="array" ref="L689">_xlfn.IFS(
ISNUMBER(SEARCH("ICU",K689)), "ICU",
ISNUMBER(SEARCH("NEONATAL",K689)), PROPER("NEONATAL"),
ISNUMBER(SEARCH("LABOUR",K689)), PROPER("LABOUR"),
ISNUMBER(SEARCH("PAEDIATRIC",K689)), PROPER("PAEDIATRIC"),
ISNUMBER(SEARCH("FEMALE SURGICAL",K689)), PROPER("FEMALE SURG, ORTHO &amp; GYN"),
ISNUMBER(SEARCH("PSYCHIATRIST",K689)), PROPER("PSYCHIATRIST"),
ISNUMBER(SEARCH("GRADE 1",K689)), PROPER("GRADE 1"),
ISNUMBER(SEARCH("MALE SURGICAL",K689)), PROPER("MALE SURG &amp; ORTHOPEDIC"),
ISNUMBER(SEARCH("MALE MEDICAL",K689)), PROPER("MALE MEDICAL"),
ISNUMBER(SEARCH("GRADE 2",K689)), PROPER("GRADE 2"),
ISNUMBER(SEARCH("FEMALE WARD",K689)), PROPER("FEMALE MEDICAL"),
TRUE, "Unmapped: " &amp; K689)</f>
        <v>Grade 2</v>
      </c>
      <c r="M689" t="s">
        <v>394</v>
      </c>
      <c r="O689" t="s">
        <v>2406</v>
      </c>
      <c r="P689" t="str">
        <f t="shared" si="85"/>
        <v>Text Error</v>
      </c>
      <c r="Q689" s="5">
        <v>46027.519409722219</v>
      </c>
      <c r="R689" t="str">
        <f t="shared" si="86"/>
        <v>Valid Date</v>
      </c>
      <c r="S689" t="s">
        <v>2407</v>
      </c>
      <c r="T689" s="5">
        <v>46028.605416666665</v>
      </c>
      <c r="U689">
        <v>1</v>
      </c>
      <c r="V689" t="str">
        <f t="shared" si="87"/>
        <v>OK</v>
      </c>
      <c r="W689" t="s">
        <v>25</v>
      </c>
      <c r="Y689" t="s">
        <v>30</v>
      </c>
    </row>
    <row r="690" spans="1:25" x14ac:dyDescent="0.25">
      <c r="A690" t="s">
        <v>2408</v>
      </c>
      <c r="B690" t="str">
        <f t="shared" si="81"/>
        <v>Fanuel Rabani Chishako</v>
      </c>
      <c r="C690">
        <v>127380</v>
      </c>
      <c r="D690" t="str">
        <f t="shared" si="80"/>
        <v>Unique</v>
      </c>
      <c r="E690" t="s">
        <v>151</v>
      </c>
      <c r="F690" s="3">
        <f t="shared" si="82"/>
        <v>22</v>
      </c>
      <c r="G690" t="s">
        <v>19</v>
      </c>
      <c r="H690" t="str">
        <f t="shared" si="83"/>
        <v>Valid</v>
      </c>
      <c r="I690" t="s">
        <v>62</v>
      </c>
      <c r="J690" t="str">
        <f t="shared" si="84"/>
        <v>Kigoma Vijijini</v>
      </c>
      <c r="K690" t="s">
        <v>428</v>
      </c>
      <c r="L690" t="str" cm="1">
        <f t="array" ref="L690">_xlfn.IFS(
ISNUMBER(SEARCH("ICU",K690)), "ICU",
ISNUMBER(SEARCH("NEONATAL",K690)), PROPER("NEONATAL"),
ISNUMBER(SEARCH("LABOUR",K690)), PROPER("LABOUR"),
ISNUMBER(SEARCH("PAEDIATRIC",K690)), PROPER("PAEDIATRIC"),
ISNUMBER(SEARCH("FEMALE SURGICAL",K690)), PROPER("FEMALE SURG, ORTHO &amp; GYN"),
ISNUMBER(SEARCH("PSYCHIATRIST",K690)), PROPER("PSYCHIATRIST"),
ISNUMBER(SEARCH("GRADE 1",K690)), PROPER("GRADE 1"),
ISNUMBER(SEARCH("MALE SURGICAL",K690)), PROPER("MALE SURG &amp; ORTHOPEDIC"),
ISNUMBER(SEARCH("MALE MEDICAL",K690)), PROPER("MALE MEDICAL"),
ISNUMBER(SEARCH("GRADE 2",K690)), PROPER("GRADE 2"),
ISNUMBER(SEARCH("FEMALE WARD",K690)), PROPER("FEMALE MEDICAL"),
TRUE, "Unmapped: " &amp; K690)</f>
        <v>Male Surg &amp; Orthopedic</v>
      </c>
      <c r="M690" t="s">
        <v>22</v>
      </c>
      <c r="O690" t="s">
        <v>2409</v>
      </c>
      <c r="P690" t="str">
        <f t="shared" si="85"/>
        <v>Text Error</v>
      </c>
      <c r="Q690" s="5">
        <v>46027.71465277778</v>
      </c>
      <c r="R690" t="str">
        <f t="shared" si="86"/>
        <v>Valid Date</v>
      </c>
      <c r="S690" t="s">
        <v>2410</v>
      </c>
      <c r="T690" s="5">
        <v>46029.687071759261</v>
      </c>
      <c r="U690">
        <v>1</v>
      </c>
      <c r="V690" t="str">
        <f t="shared" si="87"/>
        <v>OK</v>
      </c>
      <c r="W690" t="s">
        <v>25</v>
      </c>
      <c r="Y690" t="s">
        <v>30</v>
      </c>
    </row>
    <row r="691" spans="1:25" x14ac:dyDescent="0.25">
      <c r="A691" t="s">
        <v>2411</v>
      </c>
      <c r="B691" t="str">
        <f t="shared" si="81"/>
        <v>Asia Kilmagiye Mitabhalo</v>
      </c>
      <c r="C691">
        <v>97317</v>
      </c>
      <c r="D691" t="str">
        <f t="shared" si="80"/>
        <v>Unique</v>
      </c>
      <c r="E691" t="s">
        <v>1262</v>
      </c>
      <c r="F691" s="3">
        <f t="shared" si="82"/>
        <v>71</v>
      </c>
      <c r="G691" t="s">
        <v>32</v>
      </c>
      <c r="H691" t="str">
        <f t="shared" si="83"/>
        <v>Valid</v>
      </c>
      <c r="I691" t="s">
        <v>62</v>
      </c>
      <c r="J691" t="str">
        <f t="shared" si="84"/>
        <v>Kigoma Vijijini</v>
      </c>
      <c r="K691" t="s">
        <v>123</v>
      </c>
      <c r="L691" t="str" cm="1">
        <f t="array" ref="L691">_xlfn.IFS(
ISNUMBER(SEARCH("ICU",K691)), "ICU",
ISNUMBER(SEARCH("NEONATAL",K691)), PROPER("NEONATAL"),
ISNUMBER(SEARCH("LABOUR",K691)), PROPER("LABOUR"),
ISNUMBER(SEARCH("PAEDIATRIC",K691)), PROPER("PAEDIATRIC"),
ISNUMBER(SEARCH("FEMALE SURGICAL",K691)), PROPER("FEMALE SURG, ORTHO &amp; GYN"),
ISNUMBER(SEARCH("PSYCHIATRIST",K691)), PROPER("PSYCHIATRIST"),
ISNUMBER(SEARCH("GRADE 1",K691)), PROPER("GRADE 1"),
ISNUMBER(SEARCH("MALE SURGICAL",K691)), PROPER("MALE SURG &amp; ORTHOPEDIC"),
ISNUMBER(SEARCH("MALE MEDICAL",K691)), PROPER("MALE MEDICAL"),
ISNUMBER(SEARCH("GRADE 2",K691)), PROPER("GRADE 2"),
ISNUMBER(SEARCH("FEMALE WARD",K691)), PROPER("FEMALE MEDICAL"),
TRUE, "Unmapped: " &amp; K691)</f>
        <v>Female Surg, Ortho &amp; Gyn</v>
      </c>
      <c r="M691" t="s">
        <v>22</v>
      </c>
      <c r="O691" t="s">
        <v>2412</v>
      </c>
      <c r="P691" t="str">
        <f t="shared" si="85"/>
        <v>Text Error</v>
      </c>
      <c r="Q691" s="5">
        <v>46027.73578703704</v>
      </c>
      <c r="R691" t="str">
        <f t="shared" si="86"/>
        <v>Valid Date</v>
      </c>
      <c r="S691" t="s">
        <v>2413</v>
      </c>
      <c r="T691" s="5">
        <v>46029.719155092593</v>
      </c>
      <c r="U691">
        <v>1</v>
      </c>
      <c r="V691" t="str">
        <f t="shared" si="87"/>
        <v>OK</v>
      </c>
      <c r="W691" t="s">
        <v>25</v>
      </c>
      <c r="Y691" t="s">
        <v>30</v>
      </c>
    </row>
    <row r="692" spans="1:25" x14ac:dyDescent="0.25">
      <c r="A692" t="s">
        <v>2414</v>
      </c>
      <c r="B692" t="str">
        <f t="shared" si="81"/>
        <v>Denis V Kahendaguza</v>
      </c>
      <c r="C692">
        <v>127411</v>
      </c>
      <c r="D692" t="str">
        <f t="shared" si="80"/>
        <v>Unique</v>
      </c>
      <c r="E692" t="s">
        <v>392</v>
      </c>
      <c r="F692" s="3">
        <f t="shared" si="82"/>
        <v>51</v>
      </c>
      <c r="G692" t="s">
        <v>19</v>
      </c>
      <c r="H692" t="str">
        <f t="shared" si="83"/>
        <v>Valid</v>
      </c>
      <c r="I692" t="s">
        <v>33</v>
      </c>
      <c r="J692" t="str">
        <f t="shared" si="84"/>
        <v>Kigoma Ujiji Mc</v>
      </c>
      <c r="K692" t="s">
        <v>393</v>
      </c>
      <c r="L692" t="str" cm="1">
        <f t="array" ref="L692">_xlfn.IFS(
ISNUMBER(SEARCH("ICU",K692)), "ICU",
ISNUMBER(SEARCH("NEONATAL",K692)), PROPER("NEONATAL"),
ISNUMBER(SEARCH("LABOUR",K692)), PROPER("LABOUR"),
ISNUMBER(SEARCH("PAEDIATRIC",K692)), PROPER("PAEDIATRIC"),
ISNUMBER(SEARCH("FEMALE SURGICAL",K692)), PROPER("FEMALE SURG, ORTHO &amp; GYN"),
ISNUMBER(SEARCH("PSYCHIATRIST",K692)), PROPER("PSYCHIATRIST"),
ISNUMBER(SEARCH("GRADE 1",K692)), PROPER("GRADE 1"),
ISNUMBER(SEARCH("MALE SURGICAL",K692)), PROPER("MALE SURG &amp; ORTHOPEDIC"),
ISNUMBER(SEARCH("MALE MEDICAL",K692)), PROPER("MALE MEDICAL"),
ISNUMBER(SEARCH("GRADE 2",K692)), PROPER("GRADE 2"),
ISNUMBER(SEARCH("FEMALE WARD",K692)), PROPER("FEMALE MEDICAL"),
TRUE, "Unmapped: " &amp; K692)</f>
        <v>Grade 1</v>
      </c>
      <c r="M692" t="s">
        <v>394</v>
      </c>
      <c r="O692" t="s">
        <v>2415</v>
      </c>
      <c r="P692" t="str">
        <f t="shared" si="85"/>
        <v>Text Error</v>
      </c>
      <c r="Q692" s="5">
        <v>46027.849606481483</v>
      </c>
      <c r="R692" t="str">
        <f t="shared" si="86"/>
        <v>Valid Date</v>
      </c>
      <c r="S692" t="s">
        <v>2416</v>
      </c>
      <c r="T692" s="5">
        <v>46029.724814814814</v>
      </c>
      <c r="U692">
        <v>1</v>
      </c>
      <c r="V692" t="str">
        <f t="shared" si="87"/>
        <v>OK</v>
      </c>
      <c r="W692" t="s">
        <v>25</v>
      </c>
      <c r="Y692" t="s">
        <v>30</v>
      </c>
    </row>
    <row r="693" spans="1:25" x14ac:dyDescent="0.25">
      <c r="A693" t="s">
        <v>2417</v>
      </c>
      <c r="B693" t="str">
        <f t="shared" si="81"/>
        <v>Amida Mohammedi Kapungo</v>
      </c>
      <c r="C693">
        <v>127431</v>
      </c>
      <c r="D693" t="str">
        <f t="shared" si="80"/>
        <v>Unique</v>
      </c>
      <c r="E693" t="s">
        <v>68</v>
      </c>
      <c r="F693" s="3">
        <f t="shared" si="82"/>
        <v>32</v>
      </c>
      <c r="G693" t="s">
        <v>32</v>
      </c>
      <c r="H693" t="str">
        <f t="shared" si="83"/>
        <v>Valid</v>
      </c>
      <c r="I693" t="s">
        <v>33</v>
      </c>
      <c r="J693" t="str">
        <f t="shared" si="84"/>
        <v>Kigoma Ujiji Mc</v>
      </c>
      <c r="K693" t="s">
        <v>40</v>
      </c>
      <c r="L693" t="str" cm="1">
        <f t="array" ref="L693">_xlfn.IFS(
ISNUMBER(SEARCH("ICU",K693)), "ICU",
ISNUMBER(SEARCH("NEONATAL",K693)), PROPER("NEONATAL"),
ISNUMBER(SEARCH("LABOUR",K693)), PROPER("LABOUR"),
ISNUMBER(SEARCH("PAEDIATRIC",K693)), PROPER("PAEDIATRIC"),
ISNUMBER(SEARCH("FEMALE SURGICAL",K693)), PROPER("FEMALE SURG, ORTHO &amp; GYN"),
ISNUMBER(SEARCH("PSYCHIATRIST",K693)), PROPER("PSYCHIATRIST"),
ISNUMBER(SEARCH("GRADE 1",K693)), PROPER("GRADE 1"),
ISNUMBER(SEARCH("MALE SURGICAL",K693)), PROPER("MALE SURG &amp; ORTHOPEDIC"),
ISNUMBER(SEARCH("MALE MEDICAL",K693)), PROPER("MALE MEDICAL"),
ISNUMBER(SEARCH("GRADE 2",K693)), PROPER("GRADE 2"),
ISNUMBER(SEARCH("FEMALE WARD",K693)), PROPER("FEMALE MEDICAL"),
TRUE, "Unmapped: " &amp; K693)</f>
        <v>Labour</v>
      </c>
      <c r="M693" t="s">
        <v>22</v>
      </c>
      <c r="O693" t="s">
        <v>2418</v>
      </c>
      <c r="P693" t="str">
        <f t="shared" si="85"/>
        <v>Text Error</v>
      </c>
      <c r="Q693" s="5">
        <v>46028.016944444447</v>
      </c>
      <c r="R693" t="str">
        <f t="shared" si="86"/>
        <v>Valid Date</v>
      </c>
      <c r="S693" t="s">
        <v>2419</v>
      </c>
      <c r="T693" s="5">
        <v>46029.752638888887</v>
      </c>
      <c r="U693">
        <v>1</v>
      </c>
      <c r="V693" t="str">
        <f t="shared" si="87"/>
        <v>OK</v>
      </c>
      <c r="W693" t="s">
        <v>25</v>
      </c>
      <c r="Y693" t="s">
        <v>30</v>
      </c>
    </row>
    <row r="694" spans="1:25" x14ac:dyDescent="0.25">
      <c r="A694" t="s">
        <v>2420</v>
      </c>
      <c r="B694" t="str">
        <f t="shared" si="81"/>
        <v>Ibrahim Kajuna Ibrahim</v>
      </c>
      <c r="C694">
        <v>127430</v>
      </c>
      <c r="D694" t="str">
        <f t="shared" si="80"/>
        <v>Unique</v>
      </c>
      <c r="E694" t="s">
        <v>142</v>
      </c>
      <c r="F694" s="3">
        <f t="shared" si="82"/>
        <v>20</v>
      </c>
      <c r="G694" t="s">
        <v>19</v>
      </c>
      <c r="H694" t="str">
        <f t="shared" si="83"/>
        <v>Valid</v>
      </c>
      <c r="I694" t="s">
        <v>33</v>
      </c>
      <c r="J694" t="str">
        <f t="shared" si="84"/>
        <v>Kigoma Ujiji Mc</v>
      </c>
      <c r="K694" t="s">
        <v>763</v>
      </c>
      <c r="L694" t="str" cm="1">
        <f t="array" ref="L694">_xlfn.IFS(
ISNUMBER(SEARCH("ICU",K694)), "ICU",
ISNUMBER(SEARCH("NEONATAL",K694)), PROPER("NEONATAL"),
ISNUMBER(SEARCH("LABOUR",K694)), PROPER("LABOUR"),
ISNUMBER(SEARCH("PAEDIATRIC",K694)), PROPER("PAEDIATRIC"),
ISNUMBER(SEARCH("FEMALE SURGICAL",K694)), PROPER("FEMALE SURG, ORTHO &amp; GYN"),
ISNUMBER(SEARCH("PSYCHIATRIST",K694)), PROPER("PSYCHIATRIST"),
ISNUMBER(SEARCH("GRADE 1",K694)), PROPER("GRADE 1"),
ISNUMBER(SEARCH("MALE SURGICAL",K694)), PROPER("MALE SURG &amp; ORTHOPEDIC"),
ISNUMBER(SEARCH("MALE MEDICAL",K694)), PROPER("MALE MEDICAL"),
ISNUMBER(SEARCH("GRADE 2",K694)), PROPER("GRADE 2"),
ISNUMBER(SEARCH("FEMALE WARD",K694)), PROPER("FEMALE MEDICAL"),
TRUE, "Unmapped: " &amp; K694)</f>
        <v>ICU</v>
      </c>
      <c r="M694" t="s">
        <v>22</v>
      </c>
      <c r="O694">
        <v>46029.021724537037</v>
      </c>
      <c r="P694" t="str">
        <f t="shared" si="85"/>
        <v>Valid Date</v>
      </c>
      <c r="Q694">
        <v>46029.021724537</v>
      </c>
      <c r="R694" t="str">
        <f t="shared" si="86"/>
        <v>Valid Date</v>
      </c>
      <c r="S694" t="s">
        <v>2421</v>
      </c>
      <c r="T694" s="5">
        <v>46030.711539351854</v>
      </c>
      <c r="U694">
        <v>1</v>
      </c>
      <c r="V694" t="str">
        <f t="shared" si="87"/>
        <v>OK</v>
      </c>
      <c r="W694" t="s">
        <v>211</v>
      </c>
      <c r="Y694" t="s">
        <v>30</v>
      </c>
    </row>
    <row r="695" spans="1:25" x14ac:dyDescent="0.25">
      <c r="A695" t="s">
        <v>2422</v>
      </c>
      <c r="B695" t="str">
        <f t="shared" si="81"/>
        <v>Dylan David Deusi</v>
      </c>
      <c r="C695">
        <v>106759</v>
      </c>
      <c r="D695" t="str">
        <f t="shared" si="80"/>
        <v>Unique</v>
      </c>
      <c r="E695" t="s">
        <v>454</v>
      </c>
      <c r="F695" s="3">
        <f t="shared" si="82"/>
        <v>3</v>
      </c>
      <c r="G695" t="s">
        <v>19</v>
      </c>
      <c r="H695" t="str">
        <f t="shared" si="83"/>
        <v>Valid</v>
      </c>
      <c r="I695" t="s">
        <v>33</v>
      </c>
      <c r="J695" t="str">
        <f t="shared" si="84"/>
        <v>Kigoma Ujiji Mc</v>
      </c>
      <c r="K695" t="s">
        <v>109</v>
      </c>
      <c r="L695" t="str" cm="1">
        <f t="array" ref="L695">_xlfn.IFS(
ISNUMBER(SEARCH("ICU",K695)), "ICU",
ISNUMBER(SEARCH("NEONATAL",K695)), PROPER("NEONATAL"),
ISNUMBER(SEARCH("LABOUR",K695)), PROPER("LABOUR"),
ISNUMBER(SEARCH("PAEDIATRIC",K695)), PROPER("PAEDIATRIC"),
ISNUMBER(SEARCH("FEMALE SURGICAL",K695)), PROPER("FEMALE SURG, ORTHO &amp; GYN"),
ISNUMBER(SEARCH("PSYCHIATRIST",K695)), PROPER("PSYCHIATRIST"),
ISNUMBER(SEARCH("GRADE 1",K695)), PROPER("GRADE 1"),
ISNUMBER(SEARCH("MALE SURGICAL",K695)), PROPER("MALE SURG &amp; ORTHOPEDIC"),
ISNUMBER(SEARCH("MALE MEDICAL",K695)), PROPER("MALE MEDICAL"),
ISNUMBER(SEARCH("GRADE 2",K695)), PROPER("GRADE 2"),
ISNUMBER(SEARCH("FEMALE WARD",K695)), PROPER("FEMALE MEDICAL"),
TRUE, "Unmapped: " &amp; K695)</f>
        <v>Paediatric</v>
      </c>
      <c r="M695" t="s">
        <v>664</v>
      </c>
      <c r="O695" t="s">
        <v>2423</v>
      </c>
      <c r="P695" t="str">
        <f t="shared" si="85"/>
        <v>Text Error</v>
      </c>
      <c r="Q695" s="5">
        <v>46029.746458333335</v>
      </c>
      <c r="R695" t="str">
        <f t="shared" si="86"/>
        <v>Valid Date</v>
      </c>
      <c r="S695" t="s">
        <v>2424</v>
      </c>
      <c r="T695" s="5">
        <v>46031.653055555558</v>
      </c>
      <c r="U695">
        <v>1</v>
      </c>
      <c r="V695" t="str">
        <f t="shared" si="87"/>
        <v>OK</v>
      </c>
      <c r="W695" t="s">
        <v>25</v>
      </c>
      <c r="Y695" t="s">
        <v>30</v>
      </c>
    </row>
    <row r="696" spans="1:25" x14ac:dyDescent="0.25">
      <c r="A696" t="s">
        <v>2425</v>
      </c>
      <c r="B696" t="str">
        <f t="shared" si="81"/>
        <v>Nuriat Juma Baruani</v>
      </c>
      <c r="C696">
        <v>52167</v>
      </c>
      <c r="D696" t="str">
        <f t="shared" si="80"/>
        <v>Unique</v>
      </c>
      <c r="E696" t="s">
        <v>296</v>
      </c>
      <c r="F696" s="3">
        <f t="shared" si="82"/>
        <v>26</v>
      </c>
      <c r="G696" t="s">
        <v>32</v>
      </c>
      <c r="H696" t="str">
        <f t="shared" si="83"/>
        <v>Valid</v>
      </c>
      <c r="I696" t="s">
        <v>227</v>
      </c>
      <c r="J696" t="str">
        <f t="shared" si="84"/>
        <v>KGG</v>
      </c>
      <c r="K696" t="s">
        <v>40</v>
      </c>
      <c r="L696" t="str" cm="1">
        <f t="array" ref="L696">_xlfn.IFS(
ISNUMBER(SEARCH("ICU",K696)), "ICU",
ISNUMBER(SEARCH("NEONATAL",K696)), PROPER("NEONATAL"),
ISNUMBER(SEARCH("LABOUR",K696)), PROPER("LABOUR"),
ISNUMBER(SEARCH("PAEDIATRIC",K696)), PROPER("PAEDIATRIC"),
ISNUMBER(SEARCH("FEMALE SURGICAL",K696)), PROPER("FEMALE SURG, ORTHO &amp; GYN"),
ISNUMBER(SEARCH("PSYCHIATRIST",K696)), PROPER("PSYCHIATRIST"),
ISNUMBER(SEARCH("GRADE 1",K696)), PROPER("GRADE 1"),
ISNUMBER(SEARCH("MALE SURGICAL",K696)), PROPER("MALE SURG &amp; ORTHOPEDIC"),
ISNUMBER(SEARCH("MALE MEDICAL",K696)), PROPER("MALE MEDICAL"),
ISNUMBER(SEARCH("GRADE 2",K696)), PROPER("GRADE 2"),
ISNUMBER(SEARCH("FEMALE WARD",K696)), PROPER("FEMALE MEDICAL"),
TRUE, "Unmapped: " &amp; K696)</f>
        <v>Labour</v>
      </c>
      <c r="M696" t="s">
        <v>22</v>
      </c>
      <c r="O696" t="s">
        <v>2426</v>
      </c>
      <c r="P696" t="str">
        <f t="shared" si="85"/>
        <v>Text Error</v>
      </c>
      <c r="Q696" s="5">
        <v>46029.827800925923</v>
      </c>
      <c r="R696" t="str">
        <f t="shared" si="86"/>
        <v>Valid Date</v>
      </c>
      <c r="S696" t="s">
        <v>2427</v>
      </c>
      <c r="T696" s="5">
        <v>46031.784247685187</v>
      </c>
      <c r="U696">
        <v>1</v>
      </c>
      <c r="V696" t="str">
        <f t="shared" si="87"/>
        <v>OK</v>
      </c>
      <c r="W696" t="s">
        <v>25</v>
      </c>
      <c r="Y696" t="s">
        <v>30</v>
      </c>
    </row>
    <row r="697" spans="1:25" x14ac:dyDescent="0.25">
      <c r="A697" t="s">
        <v>2428</v>
      </c>
      <c r="B697" t="str">
        <f t="shared" si="81"/>
        <v>Charles N Ipagala</v>
      </c>
      <c r="C697">
        <v>99049</v>
      </c>
      <c r="D697" t="str">
        <f t="shared" si="80"/>
        <v>Unique</v>
      </c>
      <c r="E697" t="s">
        <v>285</v>
      </c>
      <c r="F697" s="3">
        <f t="shared" si="82"/>
        <v>38</v>
      </c>
      <c r="G697" t="s">
        <v>19</v>
      </c>
      <c r="H697" t="str">
        <f t="shared" si="83"/>
        <v>Valid</v>
      </c>
      <c r="I697" t="s">
        <v>33</v>
      </c>
      <c r="J697" t="str">
        <f t="shared" si="84"/>
        <v>Kigoma Ujiji Mc</v>
      </c>
      <c r="K697" t="s">
        <v>393</v>
      </c>
      <c r="L697" t="str" cm="1">
        <f t="array" ref="L697">_xlfn.IFS(
ISNUMBER(SEARCH("ICU",K697)), "ICU",
ISNUMBER(SEARCH("NEONATAL",K697)), PROPER("NEONATAL"),
ISNUMBER(SEARCH("LABOUR",K697)), PROPER("LABOUR"),
ISNUMBER(SEARCH("PAEDIATRIC",K697)), PROPER("PAEDIATRIC"),
ISNUMBER(SEARCH("FEMALE SURGICAL",K697)), PROPER("FEMALE SURG, ORTHO &amp; GYN"),
ISNUMBER(SEARCH("PSYCHIATRIST",K697)), PROPER("PSYCHIATRIST"),
ISNUMBER(SEARCH("GRADE 1",K697)), PROPER("GRADE 1"),
ISNUMBER(SEARCH("MALE SURGICAL",K697)), PROPER("MALE SURG &amp; ORTHOPEDIC"),
ISNUMBER(SEARCH("MALE MEDICAL",K697)), PROPER("MALE MEDICAL"),
ISNUMBER(SEARCH("GRADE 2",K697)), PROPER("GRADE 2"),
ISNUMBER(SEARCH("FEMALE WARD",K697)), PROPER("FEMALE MEDICAL"),
TRUE, "Unmapped: " &amp; K697)</f>
        <v>Grade 1</v>
      </c>
      <c r="M697" t="s">
        <v>394</v>
      </c>
      <c r="O697" t="s">
        <v>2429</v>
      </c>
      <c r="P697" t="str">
        <f t="shared" si="85"/>
        <v>Text Error</v>
      </c>
      <c r="Q697" s="5">
        <v>46029.838576388887</v>
      </c>
      <c r="R697" t="str">
        <f t="shared" si="86"/>
        <v>Valid Date</v>
      </c>
      <c r="S697" t="s">
        <v>2430</v>
      </c>
      <c r="T697" s="5">
        <v>46031.696099537039</v>
      </c>
      <c r="U697">
        <v>1</v>
      </c>
      <c r="V697" t="str">
        <f t="shared" si="87"/>
        <v>OK</v>
      </c>
      <c r="W697" t="s">
        <v>397</v>
      </c>
      <c r="Y697" t="s">
        <v>30</v>
      </c>
    </row>
    <row r="698" spans="1:25" x14ac:dyDescent="0.25">
      <c r="A698" t="s">
        <v>2431</v>
      </c>
      <c r="B698" t="str">
        <f t="shared" si="81"/>
        <v>Piele Juma Juma</v>
      </c>
      <c r="C698">
        <v>127700</v>
      </c>
      <c r="D698" t="str">
        <f t="shared" si="80"/>
        <v>Unique</v>
      </c>
      <c r="E698" t="s">
        <v>869</v>
      </c>
      <c r="F698" s="3">
        <f t="shared" si="82"/>
        <v>73</v>
      </c>
      <c r="G698" t="s">
        <v>19</v>
      </c>
      <c r="H698" t="str">
        <f t="shared" si="83"/>
        <v>Valid</v>
      </c>
      <c r="I698" t="s">
        <v>260</v>
      </c>
      <c r="J698" t="str">
        <f t="shared" si="84"/>
        <v>Kasulu</v>
      </c>
      <c r="K698" t="s">
        <v>484</v>
      </c>
      <c r="L698" t="str" cm="1">
        <f t="array" ref="L698">_xlfn.IFS(
ISNUMBER(SEARCH("ICU",K698)), "ICU",
ISNUMBER(SEARCH("NEONATAL",K698)), PROPER("NEONATAL"),
ISNUMBER(SEARCH("LABOUR",K698)), PROPER("LABOUR"),
ISNUMBER(SEARCH("PAEDIATRIC",K698)), PROPER("PAEDIATRIC"),
ISNUMBER(SEARCH("FEMALE SURGICAL",K698)), PROPER("FEMALE SURG, ORTHO &amp; GYN"),
ISNUMBER(SEARCH("PSYCHIATRIST",K698)), PROPER("PSYCHIATRIST"),
ISNUMBER(SEARCH("GRADE 1",K698)), PROPER("GRADE 1"),
ISNUMBER(SEARCH("MALE SURGICAL",K698)), PROPER("MALE SURG &amp; ORTHOPEDIC"),
ISNUMBER(SEARCH("MALE MEDICAL",K698)), PROPER("MALE MEDICAL"),
ISNUMBER(SEARCH("GRADE 2",K698)), PROPER("GRADE 2"),
ISNUMBER(SEARCH("FEMALE WARD",K698)), PROPER("FEMALE MEDICAL"),
TRUE, "Unmapped: " &amp; K698)</f>
        <v>Male Medical</v>
      </c>
      <c r="M698" t="s">
        <v>216</v>
      </c>
      <c r="O698" t="s">
        <v>2432</v>
      </c>
      <c r="P698" t="str">
        <f t="shared" si="85"/>
        <v>Text Error</v>
      </c>
      <c r="Q698" s="5">
        <v>46030.156493055554</v>
      </c>
      <c r="R698" t="str">
        <f t="shared" si="86"/>
        <v>Valid Date</v>
      </c>
      <c r="S698" t="s">
        <v>2433</v>
      </c>
      <c r="T698" s="5">
        <v>46031.428414351853</v>
      </c>
      <c r="U698">
        <v>1</v>
      </c>
      <c r="V698" t="str">
        <f t="shared" si="87"/>
        <v>OK</v>
      </c>
      <c r="W698" t="s">
        <v>25</v>
      </c>
      <c r="Y698" t="s">
        <v>30</v>
      </c>
    </row>
    <row r="699" spans="1:25" x14ac:dyDescent="0.25">
      <c r="A699" t="s">
        <v>2434</v>
      </c>
      <c r="B699" t="str">
        <f t="shared" si="81"/>
        <v>Chiku A Mwinyi</v>
      </c>
      <c r="C699">
        <v>72301</v>
      </c>
      <c r="D699" t="str">
        <f t="shared" si="80"/>
        <v>Unique</v>
      </c>
      <c r="E699" t="s">
        <v>2435</v>
      </c>
      <c r="F699" s="3">
        <f t="shared" si="82"/>
        <v>74</v>
      </c>
      <c r="G699" t="s">
        <v>32</v>
      </c>
      <c r="H699" t="str">
        <f t="shared" si="83"/>
        <v>Valid</v>
      </c>
      <c r="I699" t="s">
        <v>227</v>
      </c>
      <c r="J699" t="str">
        <f t="shared" si="84"/>
        <v>KGG</v>
      </c>
      <c r="K699" t="s">
        <v>700</v>
      </c>
      <c r="L699" t="str" cm="1">
        <f t="array" ref="L699">_xlfn.IFS(
ISNUMBER(SEARCH("ICU",K699)), "ICU",
ISNUMBER(SEARCH("NEONATAL",K699)), PROPER("NEONATAL"),
ISNUMBER(SEARCH("LABOUR",K699)), PROPER("LABOUR"),
ISNUMBER(SEARCH("PAEDIATRIC",K699)), PROPER("PAEDIATRIC"),
ISNUMBER(SEARCH("FEMALE SURGICAL",K699)), PROPER("FEMALE SURG, ORTHO &amp; GYN"),
ISNUMBER(SEARCH("PSYCHIATRIST",K699)), PROPER("PSYCHIATRIST"),
ISNUMBER(SEARCH("GRADE 1",K699)), PROPER("GRADE 1"),
ISNUMBER(SEARCH("MALE SURGICAL",K699)), PROPER("MALE SURG &amp; ORTHOPEDIC"),
ISNUMBER(SEARCH("MALE MEDICAL",K699)), PROPER("MALE MEDICAL"),
ISNUMBER(SEARCH("GRADE 2",K699)), PROPER("GRADE 2"),
ISNUMBER(SEARCH("FEMALE WARD",K699)), PROPER("FEMALE MEDICAL"),
TRUE, "Unmapped: " &amp; K699)</f>
        <v>Female Medical</v>
      </c>
      <c r="M699" t="s">
        <v>394</v>
      </c>
      <c r="O699" t="s">
        <v>2436</v>
      </c>
      <c r="P699" t="str">
        <f t="shared" si="85"/>
        <v>Text Error</v>
      </c>
      <c r="Q699" s="5">
        <v>46030.346030092594</v>
      </c>
      <c r="R699" t="str">
        <f t="shared" si="86"/>
        <v>Valid Date</v>
      </c>
      <c r="S699" t="s">
        <v>2437</v>
      </c>
      <c r="T699" s="5">
        <v>46031.581145833334</v>
      </c>
      <c r="U699">
        <v>1</v>
      </c>
      <c r="V699" t="str">
        <f t="shared" si="87"/>
        <v>OK</v>
      </c>
      <c r="W699" t="s">
        <v>25</v>
      </c>
      <c r="Y699" t="s">
        <v>30</v>
      </c>
    </row>
    <row r="700" spans="1:25" x14ac:dyDescent="0.25">
      <c r="A700" t="s">
        <v>2438</v>
      </c>
      <c r="B700" t="str">
        <f t="shared" si="81"/>
        <v>Baby Of Rosemary Leonard Lusimbi</v>
      </c>
      <c r="C700">
        <v>127709</v>
      </c>
      <c r="D700" t="str">
        <f t="shared" si="80"/>
        <v>Unique</v>
      </c>
      <c r="E700" t="s">
        <v>622</v>
      </c>
      <c r="F700" s="3" t="str">
        <f t="shared" si="82"/>
        <v>2/12</v>
      </c>
      <c r="G700" t="s">
        <v>19</v>
      </c>
      <c r="H700" t="str">
        <f t="shared" si="83"/>
        <v>Valid</v>
      </c>
      <c r="I700" t="s">
        <v>33</v>
      </c>
      <c r="J700" t="str">
        <f t="shared" si="84"/>
        <v>Kigoma Ujiji Mc</v>
      </c>
      <c r="K700" t="s">
        <v>21</v>
      </c>
      <c r="L700" t="str" cm="1">
        <f t="array" ref="L700">_xlfn.IFS(
ISNUMBER(SEARCH("ICU",K700)), "ICU",
ISNUMBER(SEARCH("NEONATAL",K700)), PROPER("NEONATAL"),
ISNUMBER(SEARCH("LABOUR",K700)), PROPER("LABOUR"),
ISNUMBER(SEARCH("PAEDIATRIC",K700)), PROPER("PAEDIATRIC"),
ISNUMBER(SEARCH("FEMALE SURGICAL",K700)), PROPER("FEMALE SURG, ORTHO &amp; GYN"),
ISNUMBER(SEARCH("PSYCHIATRIST",K700)), PROPER("PSYCHIATRIST"),
ISNUMBER(SEARCH("GRADE 1",K700)), PROPER("GRADE 1"),
ISNUMBER(SEARCH("MALE SURGICAL",K700)), PROPER("MALE SURG &amp; ORTHOPEDIC"),
ISNUMBER(SEARCH("MALE MEDICAL",K700)), PROPER("MALE MEDICAL"),
ISNUMBER(SEARCH("GRADE 2",K700)), PROPER("GRADE 2"),
ISNUMBER(SEARCH("FEMALE WARD",K700)), PROPER("FEMALE MEDICAL"),
TRUE, "Unmapped: " &amp; K700)</f>
        <v>Neonatal</v>
      </c>
      <c r="M700" t="s">
        <v>22</v>
      </c>
      <c r="O700" t="s">
        <v>2439</v>
      </c>
      <c r="P700" t="str">
        <f t="shared" si="85"/>
        <v>Text Error</v>
      </c>
      <c r="Q700" s="5">
        <v>46030.506261574075</v>
      </c>
      <c r="R700" t="str">
        <f t="shared" si="86"/>
        <v>Valid Date</v>
      </c>
      <c r="S700" t="s">
        <v>2440</v>
      </c>
      <c r="T700" s="5">
        <v>46031.658784722225</v>
      </c>
      <c r="U700">
        <v>1</v>
      </c>
      <c r="V700" t="str">
        <f t="shared" si="87"/>
        <v>OK</v>
      </c>
      <c r="W700" t="s">
        <v>25</v>
      </c>
      <c r="Y700" t="s">
        <v>30</v>
      </c>
    </row>
    <row r="701" spans="1:25" x14ac:dyDescent="0.25">
      <c r="A701" t="s">
        <v>2441</v>
      </c>
      <c r="B701" t="str">
        <f t="shared" si="81"/>
        <v>Phanuel M Manwa</v>
      </c>
      <c r="C701">
        <v>127787</v>
      </c>
      <c r="D701" t="str">
        <f t="shared" si="80"/>
        <v>Unique</v>
      </c>
      <c r="E701" t="s">
        <v>1138</v>
      </c>
      <c r="F701" s="3">
        <f t="shared" si="82"/>
        <v>49</v>
      </c>
      <c r="G701" t="s">
        <v>19</v>
      </c>
      <c r="H701" t="str">
        <f t="shared" si="83"/>
        <v>Valid</v>
      </c>
      <c r="I701" t="s">
        <v>130</v>
      </c>
      <c r="J701" t="str">
        <f t="shared" si="84"/>
        <v>Buhigwe</v>
      </c>
      <c r="K701" t="s">
        <v>484</v>
      </c>
      <c r="L701" t="str" cm="1">
        <f t="array" ref="L701">_xlfn.IFS(
ISNUMBER(SEARCH("ICU",K701)), "ICU",
ISNUMBER(SEARCH("NEONATAL",K701)), PROPER("NEONATAL"),
ISNUMBER(SEARCH("LABOUR",K701)), PROPER("LABOUR"),
ISNUMBER(SEARCH("PAEDIATRIC",K701)), PROPER("PAEDIATRIC"),
ISNUMBER(SEARCH("FEMALE SURGICAL",K701)), PROPER("FEMALE SURG, ORTHO &amp; GYN"),
ISNUMBER(SEARCH("PSYCHIATRIST",K701)), PROPER("PSYCHIATRIST"),
ISNUMBER(SEARCH("GRADE 1",K701)), PROPER("GRADE 1"),
ISNUMBER(SEARCH("MALE SURGICAL",K701)), PROPER("MALE SURG &amp; ORTHOPEDIC"),
ISNUMBER(SEARCH("MALE MEDICAL",K701)), PROPER("MALE MEDICAL"),
ISNUMBER(SEARCH("GRADE 2",K701)), PROPER("GRADE 2"),
ISNUMBER(SEARCH("FEMALE WARD",K701)), PROPER("FEMALE MEDICAL"),
TRUE, "Unmapped: " &amp; K701)</f>
        <v>Male Medical</v>
      </c>
      <c r="M701" t="s">
        <v>394</v>
      </c>
      <c r="O701" t="s">
        <v>2442</v>
      </c>
      <c r="P701" t="str">
        <f t="shared" si="85"/>
        <v>Text Error</v>
      </c>
      <c r="Q701" s="5">
        <v>46030.704710648148</v>
      </c>
      <c r="R701" t="str">
        <f t="shared" si="86"/>
        <v>Valid Date</v>
      </c>
      <c r="S701" t="s">
        <v>2443</v>
      </c>
      <c r="T701" s="5">
        <v>46032.476643518516</v>
      </c>
      <c r="U701">
        <v>1</v>
      </c>
      <c r="V701" t="str">
        <f t="shared" si="87"/>
        <v>OK</v>
      </c>
      <c r="W701" t="s">
        <v>25</v>
      </c>
      <c r="Y701" t="s">
        <v>30</v>
      </c>
    </row>
    <row r="702" spans="1:25" x14ac:dyDescent="0.25">
      <c r="A702" t="s">
        <v>2444</v>
      </c>
      <c r="B702" t="str">
        <f t="shared" si="81"/>
        <v>Sebaste Dickison Sereste</v>
      </c>
      <c r="C702">
        <v>127802</v>
      </c>
      <c r="D702" t="str">
        <f t="shared" si="80"/>
        <v>Unique</v>
      </c>
      <c r="E702" t="s">
        <v>670</v>
      </c>
      <c r="F702" s="3">
        <f t="shared" si="82"/>
        <v>14</v>
      </c>
      <c r="G702" t="s">
        <v>19</v>
      </c>
      <c r="H702" t="str">
        <f t="shared" si="83"/>
        <v>Valid</v>
      </c>
      <c r="I702" t="s">
        <v>33</v>
      </c>
      <c r="J702" t="str">
        <f t="shared" si="84"/>
        <v>Kigoma Ujiji Mc</v>
      </c>
      <c r="K702" t="s">
        <v>428</v>
      </c>
      <c r="L702" t="str" cm="1">
        <f t="array" ref="L702">_xlfn.IFS(
ISNUMBER(SEARCH("ICU",K702)), "ICU",
ISNUMBER(SEARCH("NEONATAL",K702)), PROPER("NEONATAL"),
ISNUMBER(SEARCH("LABOUR",K702)), PROPER("LABOUR"),
ISNUMBER(SEARCH("PAEDIATRIC",K702)), PROPER("PAEDIATRIC"),
ISNUMBER(SEARCH("FEMALE SURGICAL",K702)), PROPER("FEMALE SURG, ORTHO &amp; GYN"),
ISNUMBER(SEARCH("PSYCHIATRIST",K702)), PROPER("PSYCHIATRIST"),
ISNUMBER(SEARCH("GRADE 1",K702)), PROPER("GRADE 1"),
ISNUMBER(SEARCH("MALE SURGICAL",K702)), PROPER("MALE SURG &amp; ORTHOPEDIC"),
ISNUMBER(SEARCH("MALE MEDICAL",K702)), PROPER("MALE MEDICAL"),
ISNUMBER(SEARCH("GRADE 2",K702)), PROPER("GRADE 2"),
ISNUMBER(SEARCH("FEMALE WARD",K702)), PROPER("FEMALE MEDICAL"),
TRUE, "Unmapped: " &amp; K702)</f>
        <v>Male Surg &amp; Orthopedic</v>
      </c>
      <c r="M702" t="s">
        <v>22</v>
      </c>
      <c r="O702" t="s">
        <v>2445</v>
      </c>
      <c r="P702" t="str">
        <f t="shared" si="85"/>
        <v>Text Error</v>
      </c>
      <c r="Q702" s="5">
        <v>46031.005011574074</v>
      </c>
      <c r="R702" t="str">
        <f t="shared" si="86"/>
        <v>Valid Date</v>
      </c>
      <c r="S702" t="s">
        <v>2446</v>
      </c>
      <c r="T702" s="5">
        <v>46032.705555555556</v>
      </c>
      <c r="U702">
        <v>1</v>
      </c>
      <c r="V702" t="str">
        <f t="shared" si="87"/>
        <v>OK</v>
      </c>
      <c r="W702" t="s">
        <v>112</v>
      </c>
      <c r="Y702" t="s">
        <v>30</v>
      </c>
    </row>
    <row r="703" spans="1:25" x14ac:dyDescent="0.25">
      <c r="A703" t="s">
        <v>2359</v>
      </c>
      <c r="B703" t="str">
        <f t="shared" si="81"/>
        <v>Brown Matwili Matinde</v>
      </c>
      <c r="C703">
        <v>127137</v>
      </c>
      <c r="D703" t="str">
        <f t="shared" si="80"/>
        <v>Duplicate</v>
      </c>
      <c r="E703" t="s">
        <v>622</v>
      </c>
      <c r="F703" s="3" t="str">
        <f t="shared" si="82"/>
        <v>2/12</v>
      </c>
      <c r="G703" t="s">
        <v>19</v>
      </c>
      <c r="H703" t="str">
        <f t="shared" si="83"/>
        <v>Valid</v>
      </c>
      <c r="I703" t="s">
        <v>33</v>
      </c>
      <c r="J703" t="str">
        <f t="shared" si="84"/>
        <v>Kigoma Ujiji Mc</v>
      </c>
      <c r="K703" t="s">
        <v>21</v>
      </c>
      <c r="L703" t="str" cm="1">
        <f t="array" ref="L703">_xlfn.IFS(
ISNUMBER(SEARCH("ICU",K703)), "ICU",
ISNUMBER(SEARCH("NEONATAL",K703)), PROPER("NEONATAL"),
ISNUMBER(SEARCH("LABOUR",K703)), PROPER("LABOUR"),
ISNUMBER(SEARCH("PAEDIATRIC",K703)), PROPER("PAEDIATRIC"),
ISNUMBER(SEARCH("FEMALE SURGICAL",K703)), PROPER("FEMALE SURG, ORTHO &amp; GYN"),
ISNUMBER(SEARCH("PSYCHIATRIST",K703)), PROPER("PSYCHIATRIST"),
ISNUMBER(SEARCH("GRADE 1",K703)), PROPER("GRADE 1"),
ISNUMBER(SEARCH("MALE SURGICAL",K703)), PROPER("MALE SURG &amp; ORTHOPEDIC"),
ISNUMBER(SEARCH("MALE MEDICAL",K703)), PROPER("MALE MEDICAL"),
ISNUMBER(SEARCH("GRADE 2",K703)), PROPER("GRADE 2"),
ISNUMBER(SEARCH("FEMALE WARD",K703)), PROPER("FEMALE MEDICAL"),
TRUE, "Unmapped: " &amp; K703)</f>
        <v>Neonatal</v>
      </c>
      <c r="M703" t="s">
        <v>22</v>
      </c>
      <c r="O703" t="s">
        <v>2447</v>
      </c>
      <c r="P703" t="str">
        <f t="shared" si="85"/>
        <v>Text Error</v>
      </c>
      <c r="Q703" s="5">
        <v>46031.553969907407</v>
      </c>
      <c r="R703" t="str">
        <f t="shared" si="86"/>
        <v>Valid Date</v>
      </c>
      <c r="S703" t="s">
        <v>2448</v>
      </c>
      <c r="T703" s="5">
        <v>46033.543576388889</v>
      </c>
      <c r="U703">
        <v>1</v>
      </c>
      <c r="V703" t="str">
        <f t="shared" si="87"/>
        <v>OK</v>
      </c>
      <c r="W703" t="s">
        <v>25</v>
      </c>
      <c r="Y703" t="s">
        <v>30</v>
      </c>
    </row>
    <row r="704" spans="1:25" x14ac:dyDescent="0.25">
      <c r="A704" t="s">
        <v>2449</v>
      </c>
      <c r="B704" t="str">
        <f t="shared" si="81"/>
        <v>Jakobo Matheo Michael</v>
      </c>
      <c r="C704">
        <v>127853</v>
      </c>
      <c r="D704" t="str">
        <f t="shared" si="80"/>
        <v>Unique</v>
      </c>
      <c r="E704" t="s">
        <v>221</v>
      </c>
      <c r="F704" s="3" t="str">
        <f t="shared" si="82"/>
        <v>9/12</v>
      </c>
      <c r="G704" t="s">
        <v>19</v>
      </c>
      <c r="H704" t="str">
        <f t="shared" si="83"/>
        <v>Valid</v>
      </c>
      <c r="I704" t="s">
        <v>62</v>
      </c>
      <c r="J704" t="str">
        <f t="shared" si="84"/>
        <v>Kigoma Vijijini</v>
      </c>
      <c r="K704" t="s">
        <v>393</v>
      </c>
      <c r="L704" t="str" cm="1">
        <f t="array" ref="L704">_xlfn.IFS(
ISNUMBER(SEARCH("ICU",K704)), "ICU",
ISNUMBER(SEARCH("NEONATAL",K704)), PROPER("NEONATAL"),
ISNUMBER(SEARCH("LABOUR",K704)), PROPER("LABOUR"),
ISNUMBER(SEARCH("PAEDIATRIC",K704)), PROPER("PAEDIATRIC"),
ISNUMBER(SEARCH("FEMALE SURGICAL",K704)), PROPER("FEMALE SURG, ORTHO &amp; GYN"),
ISNUMBER(SEARCH("PSYCHIATRIST",K704)), PROPER("PSYCHIATRIST"),
ISNUMBER(SEARCH("GRADE 1",K704)), PROPER("GRADE 1"),
ISNUMBER(SEARCH("MALE SURGICAL",K704)), PROPER("MALE SURG &amp; ORTHOPEDIC"),
ISNUMBER(SEARCH("MALE MEDICAL",K704)), PROPER("MALE MEDICAL"),
ISNUMBER(SEARCH("GRADE 2",K704)), PROPER("GRADE 2"),
ISNUMBER(SEARCH("FEMALE WARD",K704)), PROPER("FEMALE MEDICAL"),
TRUE, "Unmapped: " &amp; K704)</f>
        <v>Grade 1</v>
      </c>
      <c r="M704" t="s">
        <v>22</v>
      </c>
      <c r="O704" t="s">
        <v>2450</v>
      </c>
      <c r="P704" t="str">
        <f t="shared" si="85"/>
        <v>Text Error</v>
      </c>
      <c r="Q704" s="5">
        <v>46031.578310185185</v>
      </c>
      <c r="R704" t="str">
        <f t="shared" si="86"/>
        <v>Valid Date</v>
      </c>
      <c r="S704" t="s">
        <v>2451</v>
      </c>
      <c r="T704" s="5">
        <v>46032.70449074074</v>
      </c>
      <c r="U704">
        <v>1</v>
      </c>
      <c r="V704" t="str">
        <f t="shared" si="87"/>
        <v>OK</v>
      </c>
      <c r="W704" t="s">
        <v>25</v>
      </c>
      <c r="Y704" t="s">
        <v>30</v>
      </c>
    </row>
    <row r="705" spans="1:25" x14ac:dyDescent="0.25">
      <c r="A705" t="s">
        <v>2452</v>
      </c>
      <c r="B705" t="str">
        <f t="shared" si="81"/>
        <v>Lujaina Maliki Abasi</v>
      </c>
      <c r="C705">
        <v>127988</v>
      </c>
      <c r="D705" t="str">
        <f t="shared" si="80"/>
        <v>Unique</v>
      </c>
      <c r="E705" t="s">
        <v>454</v>
      </c>
      <c r="F705" s="3">
        <f t="shared" si="82"/>
        <v>3</v>
      </c>
      <c r="G705" t="s">
        <v>32</v>
      </c>
      <c r="H705" t="str">
        <f t="shared" si="83"/>
        <v>Valid</v>
      </c>
      <c r="I705" t="s">
        <v>62</v>
      </c>
      <c r="J705" t="str">
        <f t="shared" si="84"/>
        <v>Kigoma Vijijini</v>
      </c>
      <c r="K705" t="s">
        <v>109</v>
      </c>
      <c r="L705" t="str" cm="1">
        <f t="array" ref="L705">_xlfn.IFS(
ISNUMBER(SEARCH("ICU",K705)), "ICU",
ISNUMBER(SEARCH("NEONATAL",K705)), PROPER("NEONATAL"),
ISNUMBER(SEARCH("LABOUR",K705)), PROPER("LABOUR"),
ISNUMBER(SEARCH("PAEDIATRIC",K705)), PROPER("PAEDIATRIC"),
ISNUMBER(SEARCH("FEMALE SURGICAL",K705)), PROPER("FEMALE SURG, ORTHO &amp; GYN"),
ISNUMBER(SEARCH("PSYCHIATRIST",K705)), PROPER("PSYCHIATRIST"),
ISNUMBER(SEARCH("GRADE 1",K705)), PROPER("GRADE 1"),
ISNUMBER(SEARCH("MALE SURGICAL",K705)), PROPER("MALE SURG &amp; ORTHOPEDIC"),
ISNUMBER(SEARCH("MALE MEDICAL",K705)), PROPER("MALE MEDICAL"),
ISNUMBER(SEARCH("GRADE 2",K705)), PROPER("GRADE 2"),
ISNUMBER(SEARCH("FEMALE WARD",K705)), PROPER("FEMALE MEDICAL"),
TRUE, "Unmapped: " &amp; K705)</f>
        <v>Paediatric</v>
      </c>
      <c r="M705" t="s">
        <v>22</v>
      </c>
      <c r="O705" t="s">
        <v>2453</v>
      </c>
      <c r="P705" t="str">
        <f t="shared" si="85"/>
        <v>Text Error</v>
      </c>
      <c r="Q705" s="5">
        <v>46032.624513888892</v>
      </c>
      <c r="R705" t="str">
        <f t="shared" si="86"/>
        <v>Valid Date</v>
      </c>
      <c r="S705" t="s">
        <v>2454</v>
      </c>
      <c r="T705" s="5">
        <v>46033.817962962959</v>
      </c>
      <c r="U705">
        <v>1</v>
      </c>
      <c r="V705" t="str">
        <f t="shared" si="87"/>
        <v>OK</v>
      </c>
      <c r="W705" t="s">
        <v>112</v>
      </c>
      <c r="Y705" t="s">
        <v>30</v>
      </c>
    </row>
    <row r="706" spans="1:25" x14ac:dyDescent="0.25">
      <c r="A706" t="s">
        <v>2455</v>
      </c>
      <c r="B706" t="str">
        <f t="shared" si="81"/>
        <v>Said Musa Mwanampemba</v>
      </c>
      <c r="C706">
        <v>101182</v>
      </c>
      <c r="D706" t="str">
        <f t="shared" ref="D706:D769" si="88">IF(COUNTIF($C$2:$C$905,C706)&gt;1,"Duplicate","Unique")</f>
        <v>Unique</v>
      </c>
      <c r="E706" t="s">
        <v>1556</v>
      </c>
      <c r="F706" s="3">
        <f t="shared" si="82"/>
        <v>67</v>
      </c>
      <c r="G706" t="s">
        <v>19</v>
      </c>
      <c r="H706" t="str">
        <f t="shared" si="83"/>
        <v>Valid</v>
      </c>
      <c r="I706" t="s">
        <v>33</v>
      </c>
      <c r="J706" t="str">
        <f t="shared" si="84"/>
        <v>Kigoma Ujiji Mc</v>
      </c>
      <c r="K706" t="s">
        <v>685</v>
      </c>
      <c r="L706" t="str" cm="1">
        <f t="array" ref="L706">_xlfn.IFS(
ISNUMBER(SEARCH("ICU",K706)), "ICU",
ISNUMBER(SEARCH("NEONATAL",K706)), PROPER("NEONATAL"),
ISNUMBER(SEARCH("LABOUR",K706)), PROPER("LABOUR"),
ISNUMBER(SEARCH("PAEDIATRIC",K706)), PROPER("PAEDIATRIC"),
ISNUMBER(SEARCH("FEMALE SURGICAL",K706)), PROPER("FEMALE SURG, ORTHO &amp; GYN"),
ISNUMBER(SEARCH("PSYCHIATRIST",K706)), PROPER("PSYCHIATRIST"),
ISNUMBER(SEARCH("GRADE 1",K706)), PROPER("GRADE 1"),
ISNUMBER(SEARCH("MALE SURGICAL",K706)), PROPER("MALE SURG &amp; ORTHOPEDIC"),
ISNUMBER(SEARCH("MALE MEDICAL",K706)), PROPER("MALE MEDICAL"),
ISNUMBER(SEARCH("GRADE 2",K706)), PROPER("GRADE 2"),
ISNUMBER(SEARCH("FEMALE WARD",K706)), PROPER("FEMALE MEDICAL"),
TRUE, "Unmapped: " &amp; K706)</f>
        <v>Grade 2</v>
      </c>
      <c r="M706" t="s">
        <v>394</v>
      </c>
      <c r="O706" t="s">
        <v>2456</v>
      </c>
      <c r="P706" t="str">
        <f t="shared" si="85"/>
        <v>Text Error</v>
      </c>
      <c r="Q706" s="5">
        <v>46032.704525462963</v>
      </c>
      <c r="R706" t="str">
        <f t="shared" si="86"/>
        <v>Valid Date</v>
      </c>
      <c r="S706" t="s">
        <v>2457</v>
      </c>
      <c r="T706" s="5">
        <v>46034.55164351852</v>
      </c>
      <c r="U706">
        <v>1</v>
      </c>
      <c r="V706" t="str">
        <f t="shared" si="87"/>
        <v>OK</v>
      </c>
      <c r="W706" t="s">
        <v>25</v>
      </c>
      <c r="Y706" t="s">
        <v>30</v>
      </c>
    </row>
    <row r="707" spans="1:25" x14ac:dyDescent="0.25">
      <c r="A707" t="s">
        <v>2458</v>
      </c>
      <c r="B707" t="str">
        <f t="shared" ref="B707:B770" si="89">IF(LEN(TRIM(A707))-LEN(SUBSTITUTE(TRIM(A707)," ",""))&gt;=1,TRIM(A707),"⚠ Only 1 name: "&amp;TRIM(A707))</f>
        <v>Kezia Keka Kagoma</v>
      </c>
      <c r="C707">
        <v>126434</v>
      </c>
      <c r="D707" t="str">
        <f t="shared" si="88"/>
        <v>Unique</v>
      </c>
      <c r="E707" t="s">
        <v>441</v>
      </c>
      <c r="F707" s="3">
        <f t="shared" ref="F707:F770" si="90">IF(ISNUMBER(SEARCH("month",E707)), LEFT(E707,FIND(" ",E707)-1)&amp;"/12", VALUE(LEFT(E707,FIND(" ",E707)-1)))</f>
        <v>60</v>
      </c>
      <c r="G707" t="s">
        <v>32</v>
      </c>
      <c r="H707" t="str">
        <f t="shared" ref="H707:H770" si="91">IF(OR(TRIM(G707)="Male", TRIM(G707)="Female"), "Valid", "Inconsistent")</f>
        <v>Valid</v>
      </c>
      <c r="I707" t="s">
        <v>33</v>
      </c>
      <c r="J707" t="str">
        <f t="shared" ref="J707:J770" si="92">SUBSTITUTE(SUBSTITUTE(TRIM(CLEAN(I707)),"Manisipaa ya kigoma ujiji","Kigoma Ujiji Mc"),"Buhingwe","Buhigwe")</f>
        <v>Kigoma Ujiji Mc</v>
      </c>
      <c r="K707" t="s">
        <v>700</v>
      </c>
      <c r="L707" t="str" cm="1">
        <f t="array" ref="L707">_xlfn.IFS(
ISNUMBER(SEARCH("ICU",K707)), "ICU",
ISNUMBER(SEARCH("NEONATAL",K707)), PROPER("NEONATAL"),
ISNUMBER(SEARCH("LABOUR",K707)), PROPER("LABOUR"),
ISNUMBER(SEARCH("PAEDIATRIC",K707)), PROPER("PAEDIATRIC"),
ISNUMBER(SEARCH("FEMALE SURGICAL",K707)), PROPER("FEMALE SURG, ORTHO &amp; GYN"),
ISNUMBER(SEARCH("PSYCHIATRIST",K707)), PROPER("PSYCHIATRIST"),
ISNUMBER(SEARCH("GRADE 1",K707)), PROPER("GRADE 1"),
ISNUMBER(SEARCH("MALE SURGICAL",K707)), PROPER("MALE SURG &amp; ORTHOPEDIC"),
ISNUMBER(SEARCH("MALE MEDICAL",K707)), PROPER("MALE MEDICAL"),
ISNUMBER(SEARCH("GRADE 2",K707)), PROPER("GRADE 2"),
ISNUMBER(SEARCH("FEMALE WARD",K707)), PROPER("FEMALE MEDICAL"),
TRUE, "Unmapped: " &amp; K707)</f>
        <v>Female Medical</v>
      </c>
      <c r="M707" t="s">
        <v>22</v>
      </c>
      <c r="O707" t="s">
        <v>2459</v>
      </c>
      <c r="P707" t="str">
        <f t="shared" ref="P707:P770" si="93">IF(ISNUMBER(O707), "Valid Date", "Text Error")</f>
        <v>Text Error</v>
      </c>
      <c r="Q707" s="5">
        <v>46033.201770833337</v>
      </c>
      <c r="R707" t="str">
        <f t="shared" ref="R707:R770" si="94">IF(ISNUMBER(Q707), "Valid Date", "Text Error")</f>
        <v>Valid Date</v>
      </c>
      <c r="S707" t="s">
        <v>2460</v>
      </c>
      <c r="T707" s="5">
        <v>46034.520266203705</v>
      </c>
      <c r="U707">
        <v>1</v>
      </c>
      <c r="V707" t="str">
        <f t="shared" ref="V707:V770" si="95">IF(NOT(ISNUMBER(U707)), "Text Error", IF(U707&lt;0, "Negative", "OK"))</f>
        <v>OK</v>
      </c>
      <c r="W707" t="s">
        <v>25</v>
      </c>
      <c r="Y707" t="s">
        <v>30</v>
      </c>
    </row>
    <row r="708" spans="1:25" x14ac:dyDescent="0.25">
      <c r="A708" t="s">
        <v>2461</v>
      </c>
      <c r="B708" t="str">
        <f t="shared" si="89"/>
        <v>Baraka Festo John</v>
      </c>
      <c r="C708">
        <v>128049</v>
      </c>
      <c r="D708" t="str">
        <f t="shared" si="88"/>
        <v>Unique</v>
      </c>
      <c r="E708" t="s">
        <v>108</v>
      </c>
      <c r="F708" s="3">
        <f t="shared" si="90"/>
        <v>2</v>
      </c>
      <c r="G708" t="s">
        <v>19</v>
      </c>
      <c r="H708" t="str">
        <f t="shared" si="91"/>
        <v>Valid</v>
      </c>
      <c r="I708" t="s">
        <v>33</v>
      </c>
      <c r="J708" t="str">
        <f t="shared" si="92"/>
        <v>Kigoma Ujiji Mc</v>
      </c>
      <c r="K708" t="s">
        <v>109</v>
      </c>
      <c r="L708" t="str" cm="1">
        <f t="array" ref="L708">_xlfn.IFS(
ISNUMBER(SEARCH("ICU",K708)), "ICU",
ISNUMBER(SEARCH("NEONATAL",K708)), PROPER("NEONATAL"),
ISNUMBER(SEARCH("LABOUR",K708)), PROPER("LABOUR"),
ISNUMBER(SEARCH("PAEDIATRIC",K708)), PROPER("PAEDIATRIC"),
ISNUMBER(SEARCH("FEMALE SURGICAL",K708)), PROPER("FEMALE SURG, ORTHO &amp; GYN"),
ISNUMBER(SEARCH("PSYCHIATRIST",K708)), PROPER("PSYCHIATRIST"),
ISNUMBER(SEARCH("GRADE 1",K708)), PROPER("GRADE 1"),
ISNUMBER(SEARCH("MALE SURGICAL",K708)), PROPER("MALE SURG &amp; ORTHOPEDIC"),
ISNUMBER(SEARCH("MALE MEDICAL",K708)), PROPER("MALE MEDICAL"),
ISNUMBER(SEARCH("GRADE 2",K708)), PROPER("GRADE 2"),
ISNUMBER(SEARCH("FEMALE WARD",K708)), PROPER("FEMALE MEDICAL"),
TRUE, "Unmapped: " &amp; K708)</f>
        <v>Paediatric</v>
      </c>
      <c r="M708" t="s">
        <v>22</v>
      </c>
      <c r="O708" t="s">
        <v>2462</v>
      </c>
      <c r="P708" t="str">
        <f t="shared" si="93"/>
        <v>Text Error</v>
      </c>
      <c r="Q708" s="5">
        <v>46033.782430555555</v>
      </c>
      <c r="R708" t="str">
        <f t="shared" si="94"/>
        <v>Valid Date</v>
      </c>
      <c r="S708" t="s">
        <v>2463</v>
      </c>
      <c r="T708" s="5">
        <v>46035.767627314817</v>
      </c>
      <c r="U708">
        <v>1</v>
      </c>
      <c r="V708" t="str">
        <f t="shared" si="95"/>
        <v>OK</v>
      </c>
      <c r="W708" t="s">
        <v>25</v>
      </c>
      <c r="Y708" t="s">
        <v>30</v>
      </c>
    </row>
    <row r="709" spans="1:25" x14ac:dyDescent="0.25">
      <c r="A709" t="s">
        <v>2464</v>
      </c>
      <c r="B709" t="str">
        <f t="shared" si="89"/>
        <v>Mariam Sungura Rashid</v>
      </c>
      <c r="C709">
        <v>65942</v>
      </c>
      <c r="D709" t="str">
        <f t="shared" si="88"/>
        <v>Unique</v>
      </c>
      <c r="E709" t="s">
        <v>296</v>
      </c>
      <c r="F709" s="3">
        <f t="shared" si="90"/>
        <v>26</v>
      </c>
      <c r="G709" t="s">
        <v>32</v>
      </c>
      <c r="H709" t="str">
        <f t="shared" si="91"/>
        <v>Valid</v>
      </c>
      <c r="I709" t="s">
        <v>227</v>
      </c>
      <c r="J709" t="str">
        <f t="shared" si="92"/>
        <v>KGG</v>
      </c>
      <c r="K709" t="s">
        <v>123</v>
      </c>
      <c r="L709" t="str" cm="1">
        <f t="array" ref="L709">_xlfn.IFS(
ISNUMBER(SEARCH("ICU",K709)), "ICU",
ISNUMBER(SEARCH("NEONATAL",K709)), PROPER("NEONATAL"),
ISNUMBER(SEARCH("LABOUR",K709)), PROPER("LABOUR"),
ISNUMBER(SEARCH("PAEDIATRIC",K709)), PROPER("PAEDIATRIC"),
ISNUMBER(SEARCH("FEMALE SURGICAL",K709)), PROPER("FEMALE SURG, ORTHO &amp; GYN"),
ISNUMBER(SEARCH("PSYCHIATRIST",K709)), PROPER("PSYCHIATRIST"),
ISNUMBER(SEARCH("GRADE 1",K709)), PROPER("GRADE 1"),
ISNUMBER(SEARCH("MALE SURGICAL",K709)), PROPER("MALE SURG &amp; ORTHOPEDIC"),
ISNUMBER(SEARCH("MALE MEDICAL",K709)), PROPER("MALE MEDICAL"),
ISNUMBER(SEARCH("GRADE 2",K709)), PROPER("GRADE 2"),
ISNUMBER(SEARCH("FEMALE WARD",K709)), PROPER("FEMALE MEDICAL"),
TRUE, "Unmapped: " &amp; K709)</f>
        <v>Female Surg, Ortho &amp; Gyn</v>
      </c>
      <c r="M709" t="s">
        <v>22</v>
      </c>
      <c r="O709" t="s">
        <v>2465</v>
      </c>
      <c r="P709" t="str">
        <f t="shared" si="93"/>
        <v>Text Error</v>
      </c>
      <c r="Q709" s="5">
        <v>46033.850104166668</v>
      </c>
      <c r="R709" t="str">
        <f t="shared" si="94"/>
        <v>Valid Date</v>
      </c>
      <c r="S709" t="s">
        <v>2466</v>
      </c>
      <c r="T709" s="5">
        <v>46035.667210648149</v>
      </c>
      <c r="U709">
        <v>1</v>
      </c>
      <c r="V709" t="str">
        <f t="shared" si="95"/>
        <v>OK</v>
      </c>
      <c r="W709" t="s">
        <v>25</v>
      </c>
      <c r="Y709" t="s">
        <v>30</v>
      </c>
    </row>
    <row r="710" spans="1:25" x14ac:dyDescent="0.25">
      <c r="A710" t="s">
        <v>2467</v>
      </c>
      <c r="B710" t="str">
        <f t="shared" si="89"/>
        <v>Tatu Hassan Rajabu</v>
      </c>
      <c r="C710">
        <v>128051</v>
      </c>
      <c r="D710" t="str">
        <f t="shared" si="88"/>
        <v>Unique</v>
      </c>
      <c r="E710" t="s">
        <v>1556</v>
      </c>
      <c r="F710" s="3">
        <f t="shared" si="90"/>
        <v>67</v>
      </c>
      <c r="G710" t="s">
        <v>32</v>
      </c>
      <c r="H710" t="str">
        <f t="shared" si="91"/>
        <v>Valid</v>
      </c>
      <c r="I710" t="s">
        <v>33</v>
      </c>
      <c r="J710" t="str">
        <f t="shared" si="92"/>
        <v>Kigoma Ujiji Mc</v>
      </c>
      <c r="K710" t="s">
        <v>700</v>
      </c>
      <c r="L710" t="str" cm="1">
        <f t="array" ref="L710">_xlfn.IFS(
ISNUMBER(SEARCH("ICU",K710)), "ICU",
ISNUMBER(SEARCH("NEONATAL",K710)), PROPER("NEONATAL"),
ISNUMBER(SEARCH("LABOUR",K710)), PROPER("LABOUR"),
ISNUMBER(SEARCH("PAEDIATRIC",K710)), PROPER("PAEDIATRIC"),
ISNUMBER(SEARCH("FEMALE SURGICAL",K710)), PROPER("FEMALE SURG, ORTHO &amp; GYN"),
ISNUMBER(SEARCH("PSYCHIATRIST",K710)), PROPER("PSYCHIATRIST"),
ISNUMBER(SEARCH("GRADE 1",K710)), PROPER("GRADE 1"),
ISNUMBER(SEARCH("MALE SURGICAL",K710)), PROPER("MALE SURG &amp; ORTHOPEDIC"),
ISNUMBER(SEARCH("MALE MEDICAL",K710)), PROPER("MALE MEDICAL"),
ISNUMBER(SEARCH("GRADE 2",K710)), PROPER("GRADE 2"),
ISNUMBER(SEARCH("FEMALE WARD",K710)), PROPER("FEMALE MEDICAL"),
TRUE, "Unmapped: " &amp; K710)</f>
        <v>Female Medical</v>
      </c>
      <c r="M710" t="s">
        <v>22</v>
      </c>
      <c r="O710" t="s">
        <v>2468</v>
      </c>
      <c r="P710" t="str">
        <f t="shared" si="93"/>
        <v>Text Error</v>
      </c>
      <c r="Q710" s="5">
        <v>46033.867685185185</v>
      </c>
      <c r="R710" t="str">
        <f t="shared" si="94"/>
        <v>Valid Date</v>
      </c>
      <c r="S710" t="s">
        <v>2469</v>
      </c>
      <c r="T710" s="5">
        <v>46035.549930555557</v>
      </c>
      <c r="U710">
        <v>1</v>
      </c>
      <c r="V710" t="str">
        <f t="shared" si="95"/>
        <v>OK</v>
      </c>
      <c r="W710" t="s">
        <v>25</v>
      </c>
      <c r="Y710" t="s">
        <v>30</v>
      </c>
    </row>
    <row r="711" spans="1:25" x14ac:dyDescent="0.25">
      <c r="A711" t="s">
        <v>2470</v>
      </c>
      <c r="B711" t="str">
        <f t="shared" si="89"/>
        <v>Halima Ismail Hassani</v>
      </c>
      <c r="C711">
        <v>128062</v>
      </c>
      <c r="D711" t="str">
        <f t="shared" si="88"/>
        <v>Unique</v>
      </c>
      <c r="E711" t="s">
        <v>54</v>
      </c>
      <c r="F711" s="3">
        <f t="shared" si="90"/>
        <v>21</v>
      </c>
      <c r="G711" t="s">
        <v>32</v>
      </c>
      <c r="H711" t="str">
        <f t="shared" si="91"/>
        <v>Valid</v>
      </c>
      <c r="I711" t="s">
        <v>33</v>
      </c>
      <c r="J711" t="str">
        <f t="shared" si="92"/>
        <v>Kigoma Ujiji Mc</v>
      </c>
      <c r="K711" t="s">
        <v>123</v>
      </c>
      <c r="L711" t="str" cm="1">
        <f t="array" ref="L711">_xlfn.IFS(
ISNUMBER(SEARCH("ICU",K711)), "ICU",
ISNUMBER(SEARCH("NEONATAL",K711)), PROPER("NEONATAL"),
ISNUMBER(SEARCH("LABOUR",K711)), PROPER("LABOUR"),
ISNUMBER(SEARCH("PAEDIATRIC",K711)), PROPER("PAEDIATRIC"),
ISNUMBER(SEARCH("FEMALE SURGICAL",K711)), PROPER("FEMALE SURG, ORTHO &amp; GYN"),
ISNUMBER(SEARCH("PSYCHIATRIST",K711)), PROPER("PSYCHIATRIST"),
ISNUMBER(SEARCH("GRADE 1",K711)), PROPER("GRADE 1"),
ISNUMBER(SEARCH("MALE SURGICAL",K711)), PROPER("MALE SURG &amp; ORTHOPEDIC"),
ISNUMBER(SEARCH("MALE MEDICAL",K711)), PROPER("MALE MEDICAL"),
ISNUMBER(SEARCH("GRADE 2",K711)), PROPER("GRADE 2"),
ISNUMBER(SEARCH("FEMALE WARD",K711)), PROPER("FEMALE MEDICAL"),
TRUE, "Unmapped: " &amp; K711)</f>
        <v>Female Surg, Ortho &amp; Gyn</v>
      </c>
      <c r="M711" t="s">
        <v>22</v>
      </c>
      <c r="O711" t="s">
        <v>2471</v>
      </c>
      <c r="P711" t="str">
        <f t="shared" si="93"/>
        <v>Text Error</v>
      </c>
      <c r="Q711" s="5">
        <v>46034.289386574077</v>
      </c>
      <c r="R711" t="str">
        <f t="shared" si="94"/>
        <v>Valid Date</v>
      </c>
      <c r="S711" t="s">
        <v>2472</v>
      </c>
      <c r="T711" s="5">
        <v>46035.605844907404</v>
      </c>
      <c r="U711">
        <v>1</v>
      </c>
      <c r="V711" t="str">
        <f t="shared" si="95"/>
        <v>OK</v>
      </c>
      <c r="W711" t="s">
        <v>25</v>
      </c>
      <c r="Y711" t="s">
        <v>30</v>
      </c>
    </row>
    <row r="712" spans="1:25" x14ac:dyDescent="0.25">
      <c r="A712" t="s">
        <v>2473</v>
      </c>
      <c r="B712" t="str">
        <f t="shared" si="89"/>
        <v>Storina Samweli Yaredi</v>
      </c>
      <c r="C712">
        <v>128072</v>
      </c>
      <c r="D712" t="str">
        <f t="shared" si="88"/>
        <v>Unique</v>
      </c>
      <c r="E712" t="s">
        <v>147</v>
      </c>
      <c r="F712" s="3">
        <f t="shared" si="90"/>
        <v>30</v>
      </c>
      <c r="G712" t="s">
        <v>32</v>
      </c>
      <c r="H712" t="str">
        <f t="shared" si="91"/>
        <v>Valid</v>
      </c>
      <c r="I712" t="s">
        <v>130</v>
      </c>
      <c r="J712" t="str">
        <f t="shared" si="92"/>
        <v>Buhigwe</v>
      </c>
      <c r="K712" t="s">
        <v>40</v>
      </c>
      <c r="L712" t="str" cm="1">
        <f t="array" ref="L712">_xlfn.IFS(
ISNUMBER(SEARCH("ICU",K712)), "ICU",
ISNUMBER(SEARCH("NEONATAL",K712)), PROPER("NEONATAL"),
ISNUMBER(SEARCH("LABOUR",K712)), PROPER("LABOUR"),
ISNUMBER(SEARCH("PAEDIATRIC",K712)), PROPER("PAEDIATRIC"),
ISNUMBER(SEARCH("FEMALE SURGICAL",K712)), PROPER("FEMALE SURG, ORTHO &amp; GYN"),
ISNUMBER(SEARCH("PSYCHIATRIST",K712)), PROPER("PSYCHIATRIST"),
ISNUMBER(SEARCH("GRADE 1",K712)), PROPER("GRADE 1"),
ISNUMBER(SEARCH("MALE SURGICAL",K712)), PROPER("MALE SURG &amp; ORTHOPEDIC"),
ISNUMBER(SEARCH("MALE MEDICAL",K712)), PROPER("MALE MEDICAL"),
ISNUMBER(SEARCH("GRADE 2",K712)), PROPER("GRADE 2"),
ISNUMBER(SEARCH("FEMALE WARD",K712)), PROPER("FEMALE MEDICAL"),
TRUE, "Unmapped: " &amp; K712)</f>
        <v>Labour</v>
      </c>
      <c r="M712" t="s">
        <v>22</v>
      </c>
      <c r="O712" t="s">
        <v>2474</v>
      </c>
      <c r="P712" t="str">
        <f t="shared" si="93"/>
        <v>Text Error</v>
      </c>
      <c r="Q712" s="5">
        <v>46034.406446759262</v>
      </c>
      <c r="R712" t="str">
        <f t="shared" si="94"/>
        <v>Valid Date</v>
      </c>
      <c r="S712" t="s">
        <v>2475</v>
      </c>
      <c r="T712" s="5">
        <v>46035.732037037036</v>
      </c>
      <c r="U712">
        <v>1</v>
      </c>
      <c r="V712" t="str">
        <f t="shared" si="95"/>
        <v>OK</v>
      </c>
      <c r="W712" t="s">
        <v>25</v>
      </c>
      <c r="Y712" t="s">
        <v>30</v>
      </c>
    </row>
    <row r="713" spans="1:25" x14ac:dyDescent="0.25">
      <c r="A713" t="s">
        <v>2476</v>
      </c>
      <c r="B713" t="str">
        <f t="shared" si="89"/>
        <v>Rebeka Moshi Omary</v>
      </c>
      <c r="C713">
        <v>128065</v>
      </c>
      <c r="D713" t="str">
        <f t="shared" si="88"/>
        <v>Unique</v>
      </c>
      <c r="E713" t="s">
        <v>215</v>
      </c>
      <c r="F713" s="3">
        <f t="shared" si="90"/>
        <v>25</v>
      </c>
      <c r="G713" t="s">
        <v>32</v>
      </c>
      <c r="H713" t="str">
        <f t="shared" si="91"/>
        <v>Valid</v>
      </c>
      <c r="I713" t="s">
        <v>62</v>
      </c>
      <c r="J713" t="str">
        <f t="shared" si="92"/>
        <v>Kigoma Vijijini</v>
      </c>
      <c r="K713" t="s">
        <v>40</v>
      </c>
      <c r="L713" t="str" cm="1">
        <f t="array" ref="L713">_xlfn.IFS(
ISNUMBER(SEARCH("ICU",K713)), "ICU",
ISNUMBER(SEARCH("NEONATAL",K713)), PROPER("NEONATAL"),
ISNUMBER(SEARCH("LABOUR",K713)), PROPER("LABOUR"),
ISNUMBER(SEARCH("PAEDIATRIC",K713)), PROPER("PAEDIATRIC"),
ISNUMBER(SEARCH("FEMALE SURGICAL",K713)), PROPER("FEMALE SURG, ORTHO &amp; GYN"),
ISNUMBER(SEARCH("PSYCHIATRIST",K713)), PROPER("PSYCHIATRIST"),
ISNUMBER(SEARCH("GRADE 1",K713)), PROPER("GRADE 1"),
ISNUMBER(SEARCH("MALE SURGICAL",K713)), PROPER("MALE SURG &amp; ORTHOPEDIC"),
ISNUMBER(SEARCH("MALE MEDICAL",K713)), PROPER("MALE MEDICAL"),
ISNUMBER(SEARCH("GRADE 2",K713)), PROPER("GRADE 2"),
ISNUMBER(SEARCH("FEMALE WARD",K713)), PROPER("FEMALE MEDICAL"),
TRUE, "Unmapped: " &amp; K713)</f>
        <v>Labour</v>
      </c>
      <c r="M713" t="s">
        <v>22</v>
      </c>
      <c r="O713" t="s">
        <v>2477</v>
      </c>
      <c r="P713" t="str">
        <f t="shared" si="93"/>
        <v>Text Error</v>
      </c>
      <c r="Q713" s="5">
        <v>46034.456250000003</v>
      </c>
      <c r="R713" t="str">
        <f t="shared" si="94"/>
        <v>Valid Date</v>
      </c>
      <c r="S713" t="s">
        <v>2478</v>
      </c>
      <c r="T713" s="5">
        <v>46035.733391203707</v>
      </c>
      <c r="U713">
        <v>1</v>
      </c>
      <c r="V713" t="str">
        <f t="shared" si="95"/>
        <v>OK</v>
      </c>
      <c r="W713" t="s">
        <v>25</v>
      </c>
      <c r="Y713" t="s">
        <v>30</v>
      </c>
    </row>
    <row r="714" spans="1:25" x14ac:dyDescent="0.25">
      <c r="A714" t="s">
        <v>2479</v>
      </c>
      <c r="B714" t="str">
        <f t="shared" si="89"/>
        <v>Dafroza Kivike Betod</v>
      </c>
      <c r="C714">
        <v>51853</v>
      </c>
      <c r="D714" t="str">
        <f t="shared" si="88"/>
        <v>Unique</v>
      </c>
      <c r="E714" t="s">
        <v>68</v>
      </c>
      <c r="F714" s="3">
        <f t="shared" si="90"/>
        <v>32</v>
      </c>
      <c r="G714" t="s">
        <v>32</v>
      </c>
      <c r="H714" t="str">
        <f t="shared" si="91"/>
        <v>Valid</v>
      </c>
      <c r="I714" t="s">
        <v>227</v>
      </c>
      <c r="J714" t="str">
        <f t="shared" si="92"/>
        <v>KGG</v>
      </c>
      <c r="K714" t="s">
        <v>40</v>
      </c>
      <c r="L714" t="str" cm="1">
        <f t="array" ref="L714">_xlfn.IFS(
ISNUMBER(SEARCH("ICU",K714)), "ICU",
ISNUMBER(SEARCH("NEONATAL",K714)), PROPER("NEONATAL"),
ISNUMBER(SEARCH("LABOUR",K714)), PROPER("LABOUR"),
ISNUMBER(SEARCH("PAEDIATRIC",K714)), PROPER("PAEDIATRIC"),
ISNUMBER(SEARCH("FEMALE SURGICAL",K714)), PROPER("FEMALE SURG, ORTHO &amp; GYN"),
ISNUMBER(SEARCH("PSYCHIATRIST",K714)), PROPER("PSYCHIATRIST"),
ISNUMBER(SEARCH("GRADE 1",K714)), PROPER("GRADE 1"),
ISNUMBER(SEARCH("MALE SURGICAL",K714)), PROPER("MALE SURG &amp; ORTHOPEDIC"),
ISNUMBER(SEARCH("MALE MEDICAL",K714)), PROPER("MALE MEDICAL"),
ISNUMBER(SEARCH("GRADE 2",K714)), PROPER("GRADE 2"),
ISNUMBER(SEARCH("FEMALE WARD",K714)), PROPER("FEMALE MEDICAL"),
TRUE, "Unmapped: " &amp; K714)</f>
        <v>Labour</v>
      </c>
      <c r="M714" t="s">
        <v>22</v>
      </c>
      <c r="O714" t="s">
        <v>2480</v>
      </c>
      <c r="P714" t="str">
        <f t="shared" si="93"/>
        <v>Text Error</v>
      </c>
      <c r="Q714" s="5">
        <v>46034.472407407404</v>
      </c>
      <c r="R714" t="str">
        <f t="shared" si="94"/>
        <v>Valid Date</v>
      </c>
      <c r="S714" t="s">
        <v>2481</v>
      </c>
      <c r="T714" s="5">
        <v>46035.764872685184</v>
      </c>
      <c r="U714">
        <v>1</v>
      </c>
      <c r="V714" t="str">
        <f t="shared" si="95"/>
        <v>OK</v>
      </c>
      <c r="W714" t="s">
        <v>25</v>
      </c>
      <c r="Y714" t="s">
        <v>30</v>
      </c>
    </row>
    <row r="715" spans="1:25" x14ac:dyDescent="0.25">
      <c r="A715" t="s">
        <v>2482</v>
      </c>
      <c r="B715" t="str">
        <f t="shared" si="89"/>
        <v>Asia Kassim Magiro</v>
      </c>
      <c r="C715">
        <v>128112</v>
      </c>
      <c r="D715" t="str">
        <f t="shared" si="88"/>
        <v>Unique</v>
      </c>
      <c r="E715" t="s">
        <v>201</v>
      </c>
      <c r="F715" s="3">
        <f t="shared" si="90"/>
        <v>44</v>
      </c>
      <c r="G715" t="s">
        <v>32</v>
      </c>
      <c r="H715" t="str">
        <f t="shared" si="91"/>
        <v>Valid</v>
      </c>
      <c r="I715" t="s">
        <v>33</v>
      </c>
      <c r="J715" t="str">
        <f t="shared" si="92"/>
        <v>Kigoma Ujiji Mc</v>
      </c>
      <c r="K715" t="s">
        <v>40</v>
      </c>
      <c r="L715" t="str" cm="1">
        <f t="array" ref="L715">_xlfn.IFS(
ISNUMBER(SEARCH("ICU",K715)), "ICU",
ISNUMBER(SEARCH("NEONATAL",K715)), PROPER("NEONATAL"),
ISNUMBER(SEARCH("LABOUR",K715)), PROPER("LABOUR"),
ISNUMBER(SEARCH("PAEDIATRIC",K715)), PROPER("PAEDIATRIC"),
ISNUMBER(SEARCH("FEMALE SURGICAL",K715)), PROPER("FEMALE SURG, ORTHO &amp; GYN"),
ISNUMBER(SEARCH("PSYCHIATRIST",K715)), PROPER("PSYCHIATRIST"),
ISNUMBER(SEARCH("GRADE 1",K715)), PROPER("GRADE 1"),
ISNUMBER(SEARCH("MALE SURGICAL",K715)), PROPER("MALE SURG &amp; ORTHOPEDIC"),
ISNUMBER(SEARCH("MALE MEDICAL",K715)), PROPER("MALE MEDICAL"),
ISNUMBER(SEARCH("GRADE 2",K715)), PROPER("GRADE 2"),
ISNUMBER(SEARCH("FEMALE WARD",K715)), PROPER("FEMALE MEDICAL"),
TRUE, "Unmapped: " &amp; K715)</f>
        <v>Labour</v>
      </c>
      <c r="M715" t="s">
        <v>22</v>
      </c>
      <c r="O715" t="s">
        <v>2483</v>
      </c>
      <c r="P715" t="str">
        <f t="shared" si="93"/>
        <v>Text Error</v>
      </c>
      <c r="Q715" s="5">
        <v>46034.551145833335</v>
      </c>
      <c r="R715" t="str">
        <f t="shared" si="94"/>
        <v>Valid Date</v>
      </c>
      <c r="S715" t="s">
        <v>2484</v>
      </c>
      <c r="T715" s="5">
        <v>46035.759236111109</v>
      </c>
      <c r="U715">
        <v>1</v>
      </c>
      <c r="V715" t="str">
        <f t="shared" si="95"/>
        <v>OK</v>
      </c>
      <c r="W715" t="s">
        <v>25</v>
      </c>
      <c r="Y715" t="s">
        <v>30</v>
      </c>
    </row>
    <row r="716" spans="1:25" x14ac:dyDescent="0.25">
      <c r="A716" t="s">
        <v>2485</v>
      </c>
      <c r="B716" t="str">
        <f t="shared" si="89"/>
        <v>Meritha M Mgaya</v>
      </c>
      <c r="C716">
        <v>75793</v>
      </c>
      <c r="D716" t="str">
        <f t="shared" si="88"/>
        <v>Unique</v>
      </c>
      <c r="E716" t="s">
        <v>193</v>
      </c>
      <c r="F716" s="3">
        <f t="shared" si="90"/>
        <v>5</v>
      </c>
      <c r="G716" t="s">
        <v>32</v>
      </c>
      <c r="H716" t="str">
        <f t="shared" si="91"/>
        <v>Valid</v>
      </c>
      <c r="I716" t="s">
        <v>227</v>
      </c>
      <c r="J716" t="str">
        <f t="shared" si="92"/>
        <v>KGG</v>
      </c>
      <c r="K716" t="s">
        <v>109</v>
      </c>
      <c r="L716" t="str" cm="1">
        <f t="array" ref="L716">_xlfn.IFS(
ISNUMBER(SEARCH("ICU",K716)), "ICU",
ISNUMBER(SEARCH("NEONATAL",K716)), PROPER("NEONATAL"),
ISNUMBER(SEARCH("LABOUR",K716)), PROPER("LABOUR"),
ISNUMBER(SEARCH("PAEDIATRIC",K716)), PROPER("PAEDIATRIC"),
ISNUMBER(SEARCH("FEMALE SURGICAL",K716)), PROPER("FEMALE SURG, ORTHO &amp; GYN"),
ISNUMBER(SEARCH("PSYCHIATRIST",K716)), PROPER("PSYCHIATRIST"),
ISNUMBER(SEARCH("GRADE 1",K716)), PROPER("GRADE 1"),
ISNUMBER(SEARCH("MALE SURGICAL",K716)), PROPER("MALE SURG &amp; ORTHOPEDIC"),
ISNUMBER(SEARCH("MALE MEDICAL",K716)), PROPER("MALE MEDICAL"),
ISNUMBER(SEARCH("GRADE 2",K716)), PROPER("GRADE 2"),
ISNUMBER(SEARCH("FEMALE WARD",K716)), PROPER("FEMALE MEDICAL"),
TRUE, "Unmapped: " &amp; K716)</f>
        <v>Paediatric</v>
      </c>
      <c r="M716" t="s">
        <v>394</v>
      </c>
      <c r="O716" t="s">
        <v>2486</v>
      </c>
      <c r="P716" t="str">
        <f t="shared" si="93"/>
        <v>Text Error</v>
      </c>
      <c r="Q716" s="5">
        <v>46034.589537037034</v>
      </c>
      <c r="R716" t="str">
        <f t="shared" si="94"/>
        <v>Valid Date</v>
      </c>
      <c r="S716" t="s">
        <v>2487</v>
      </c>
      <c r="T716" s="5">
        <v>46036.528773148151</v>
      </c>
      <c r="U716">
        <v>1</v>
      </c>
      <c r="V716" t="str">
        <f t="shared" si="95"/>
        <v>OK</v>
      </c>
      <c r="W716" t="s">
        <v>25</v>
      </c>
      <c r="Y716" t="s">
        <v>30</v>
      </c>
    </row>
    <row r="717" spans="1:25" x14ac:dyDescent="0.25">
      <c r="A717" t="s">
        <v>1770</v>
      </c>
      <c r="B717" t="str">
        <f t="shared" si="89"/>
        <v>Angelina Mashamba Edward</v>
      </c>
      <c r="C717">
        <v>3209</v>
      </c>
      <c r="D717" t="str">
        <f t="shared" si="88"/>
        <v>Duplicate</v>
      </c>
      <c r="E717" t="s">
        <v>68</v>
      </c>
      <c r="F717" s="3">
        <f t="shared" si="90"/>
        <v>32</v>
      </c>
      <c r="G717" t="s">
        <v>32</v>
      </c>
      <c r="H717" t="str">
        <f t="shared" si="91"/>
        <v>Valid</v>
      </c>
      <c r="I717" t="s">
        <v>754</v>
      </c>
      <c r="J717" t="str">
        <f t="shared" si="92"/>
        <v>KG</v>
      </c>
      <c r="K717" t="s">
        <v>40</v>
      </c>
      <c r="L717" t="str" cm="1">
        <f t="array" ref="L717">_xlfn.IFS(
ISNUMBER(SEARCH("ICU",K717)), "ICU",
ISNUMBER(SEARCH("NEONATAL",K717)), PROPER("NEONATAL"),
ISNUMBER(SEARCH("LABOUR",K717)), PROPER("LABOUR"),
ISNUMBER(SEARCH("PAEDIATRIC",K717)), PROPER("PAEDIATRIC"),
ISNUMBER(SEARCH("FEMALE SURGICAL",K717)), PROPER("FEMALE SURG, ORTHO &amp; GYN"),
ISNUMBER(SEARCH("PSYCHIATRIST",K717)), PROPER("PSYCHIATRIST"),
ISNUMBER(SEARCH("GRADE 1",K717)), PROPER("GRADE 1"),
ISNUMBER(SEARCH("MALE SURGICAL",K717)), PROPER("MALE SURG &amp; ORTHOPEDIC"),
ISNUMBER(SEARCH("MALE MEDICAL",K717)), PROPER("MALE MEDICAL"),
ISNUMBER(SEARCH("GRADE 2",K717)), PROPER("GRADE 2"),
ISNUMBER(SEARCH("FEMALE WARD",K717)), PROPER("FEMALE MEDICAL"),
TRUE, "Unmapped: " &amp; K717)</f>
        <v>Labour</v>
      </c>
      <c r="M717" t="s">
        <v>394</v>
      </c>
      <c r="O717" t="s">
        <v>2488</v>
      </c>
      <c r="P717" t="str">
        <f t="shared" si="93"/>
        <v>Text Error</v>
      </c>
      <c r="Q717" s="5">
        <v>46034.60696759259</v>
      </c>
      <c r="R717" t="str">
        <f t="shared" si="94"/>
        <v>Valid Date</v>
      </c>
      <c r="S717" t="s">
        <v>2489</v>
      </c>
      <c r="T717" s="5">
        <v>46036.451018518521</v>
      </c>
      <c r="U717">
        <v>1</v>
      </c>
      <c r="V717" t="str">
        <f t="shared" si="95"/>
        <v>OK</v>
      </c>
      <c r="W717" t="s">
        <v>25</v>
      </c>
      <c r="Y717" t="s">
        <v>30</v>
      </c>
    </row>
    <row r="718" spans="1:25" x14ac:dyDescent="0.25">
      <c r="A718" t="s">
        <v>2490</v>
      </c>
      <c r="B718" t="str">
        <f t="shared" si="89"/>
        <v>Zuwena Gidion Nungu</v>
      </c>
      <c r="C718">
        <v>34442</v>
      </c>
      <c r="D718" t="str">
        <f t="shared" si="88"/>
        <v>Unique</v>
      </c>
      <c r="E718" t="s">
        <v>39</v>
      </c>
      <c r="F718" s="3">
        <f t="shared" si="90"/>
        <v>33</v>
      </c>
      <c r="G718" t="s">
        <v>32</v>
      </c>
      <c r="H718" t="str">
        <f t="shared" si="91"/>
        <v>Valid</v>
      </c>
      <c r="I718" t="s">
        <v>227</v>
      </c>
      <c r="J718" t="str">
        <f t="shared" si="92"/>
        <v>KGG</v>
      </c>
      <c r="K718" t="s">
        <v>40</v>
      </c>
      <c r="L718" t="str" cm="1">
        <f t="array" ref="L718">_xlfn.IFS(
ISNUMBER(SEARCH("ICU",K718)), "ICU",
ISNUMBER(SEARCH("NEONATAL",K718)), PROPER("NEONATAL"),
ISNUMBER(SEARCH("LABOUR",K718)), PROPER("LABOUR"),
ISNUMBER(SEARCH("PAEDIATRIC",K718)), PROPER("PAEDIATRIC"),
ISNUMBER(SEARCH("FEMALE SURGICAL",K718)), PROPER("FEMALE SURG, ORTHO &amp; GYN"),
ISNUMBER(SEARCH("PSYCHIATRIST",K718)), PROPER("PSYCHIATRIST"),
ISNUMBER(SEARCH("GRADE 1",K718)), PROPER("GRADE 1"),
ISNUMBER(SEARCH("MALE SURGICAL",K718)), PROPER("MALE SURG &amp; ORTHOPEDIC"),
ISNUMBER(SEARCH("MALE MEDICAL",K718)), PROPER("MALE MEDICAL"),
ISNUMBER(SEARCH("GRADE 2",K718)), PROPER("GRADE 2"),
ISNUMBER(SEARCH("FEMALE WARD",K718)), PROPER("FEMALE MEDICAL"),
TRUE, "Unmapped: " &amp; K718)</f>
        <v>Labour</v>
      </c>
      <c r="M718" t="s">
        <v>394</v>
      </c>
      <c r="O718" t="s">
        <v>2491</v>
      </c>
      <c r="P718" t="str">
        <f t="shared" si="93"/>
        <v>Text Error</v>
      </c>
      <c r="Q718" s="5">
        <v>46034.642326388886</v>
      </c>
      <c r="R718" t="str">
        <f t="shared" si="94"/>
        <v>Valid Date</v>
      </c>
      <c r="S718" t="s">
        <v>2492</v>
      </c>
      <c r="T718" s="5">
        <v>46036.426423611112</v>
      </c>
      <c r="U718">
        <v>1</v>
      </c>
      <c r="V718" t="str">
        <f t="shared" si="95"/>
        <v>OK</v>
      </c>
      <c r="W718" t="s">
        <v>25</v>
      </c>
      <c r="Y718" t="s">
        <v>30</v>
      </c>
    </row>
    <row r="719" spans="1:25" x14ac:dyDescent="0.25">
      <c r="A719" t="s">
        <v>2493</v>
      </c>
      <c r="B719" t="str">
        <f t="shared" si="89"/>
        <v>Anatoria Leonard Ndamgoba</v>
      </c>
      <c r="C719">
        <v>128173</v>
      </c>
      <c r="D719" t="str">
        <f t="shared" si="88"/>
        <v>Unique</v>
      </c>
      <c r="E719" t="s">
        <v>296</v>
      </c>
      <c r="F719" s="3">
        <f t="shared" si="90"/>
        <v>26</v>
      </c>
      <c r="G719" t="s">
        <v>32</v>
      </c>
      <c r="H719" t="str">
        <f t="shared" si="91"/>
        <v>Valid</v>
      </c>
      <c r="I719" t="s">
        <v>33</v>
      </c>
      <c r="J719" t="str">
        <f t="shared" si="92"/>
        <v>Kigoma Ujiji Mc</v>
      </c>
      <c r="K719" t="s">
        <v>40</v>
      </c>
      <c r="L719" t="str" cm="1">
        <f t="array" ref="L719">_xlfn.IFS(
ISNUMBER(SEARCH("ICU",K719)), "ICU",
ISNUMBER(SEARCH("NEONATAL",K719)), PROPER("NEONATAL"),
ISNUMBER(SEARCH("LABOUR",K719)), PROPER("LABOUR"),
ISNUMBER(SEARCH("PAEDIATRIC",K719)), PROPER("PAEDIATRIC"),
ISNUMBER(SEARCH("FEMALE SURGICAL",K719)), PROPER("FEMALE SURG, ORTHO &amp; GYN"),
ISNUMBER(SEARCH("PSYCHIATRIST",K719)), PROPER("PSYCHIATRIST"),
ISNUMBER(SEARCH("GRADE 1",K719)), PROPER("GRADE 1"),
ISNUMBER(SEARCH("MALE SURGICAL",K719)), PROPER("MALE SURG &amp; ORTHOPEDIC"),
ISNUMBER(SEARCH("MALE MEDICAL",K719)), PROPER("MALE MEDICAL"),
ISNUMBER(SEARCH("GRADE 2",K719)), PROPER("GRADE 2"),
ISNUMBER(SEARCH("FEMALE WARD",K719)), PROPER("FEMALE MEDICAL"),
TRUE, "Unmapped: " &amp; K719)</f>
        <v>Labour</v>
      </c>
      <c r="M719" t="s">
        <v>22</v>
      </c>
      <c r="O719" t="s">
        <v>2494</v>
      </c>
      <c r="P719" t="str">
        <f t="shared" si="93"/>
        <v>Text Error</v>
      </c>
      <c r="Q719" s="5">
        <v>46034.951898148145</v>
      </c>
      <c r="R719" t="str">
        <f t="shared" si="94"/>
        <v>Valid Date</v>
      </c>
      <c r="S719" t="s">
        <v>2495</v>
      </c>
      <c r="T719" s="5">
        <v>46036.488275462965</v>
      </c>
      <c r="U719">
        <v>1</v>
      </c>
      <c r="V719" t="str">
        <f t="shared" si="95"/>
        <v>OK</v>
      </c>
      <c r="W719" t="s">
        <v>25</v>
      </c>
      <c r="Y719" t="s">
        <v>30</v>
      </c>
    </row>
    <row r="720" spans="1:25" x14ac:dyDescent="0.25">
      <c r="A720" t="s">
        <v>1998</v>
      </c>
      <c r="B720" t="str">
        <f t="shared" si="89"/>
        <v>Siwema Madua Ally</v>
      </c>
      <c r="C720">
        <v>127706</v>
      </c>
      <c r="D720" t="str">
        <f t="shared" si="88"/>
        <v>Duplicate</v>
      </c>
      <c r="E720" t="s">
        <v>74</v>
      </c>
      <c r="F720" s="3">
        <f t="shared" si="90"/>
        <v>35</v>
      </c>
      <c r="G720" t="s">
        <v>32</v>
      </c>
      <c r="H720" t="str">
        <f t="shared" si="91"/>
        <v>Valid</v>
      </c>
      <c r="I720" t="s">
        <v>33</v>
      </c>
      <c r="J720" t="str">
        <f t="shared" si="92"/>
        <v>Kigoma Ujiji Mc</v>
      </c>
      <c r="K720" t="s">
        <v>123</v>
      </c>
      <c r="L720" t="str" cm="1">
        <f t="array" ref="L720">_xlfn.IFS(
ISNUMBER(SEARCH("ICU",K720)), "ICU",
ISNUMBER(SEARCH("NEONATAL",K720)), PROPER("NEONATAL"),
ISNUMBER(SEARCH("LABOUR",K720)), PROPER("LABOUR"),
ISNUMBER(SEARCH("PAEDIATRIC",K720)), PROPER("PAEDIATRIC"),
ISNUMBER(SEARCH("FEMALE SURGICAL",K720)), PROPER("FEMALE SURG, ORTHO &amp; GYN"),
ISNUMBER(SEARCH("PSYCHIATRIST",K720)), PROPER("PSYCHIATRIST"),
ISNUMBER(SEARCH("GRADE 1",K720)), PROPER("GRADE 1"),
ISNUMBER(SEARCH("MALE SURGICAL",K720)), PROPER("MALE SURG &amp; ORTHOPEDIC"),
ISNUMBER(SEARCH("MALE MEDICAL",K720)), PROPER("MALE MEDICAL"),
ISNUMBER(SEARCH("GRADE 2",K720)), PROPER("GRADE 2"),
ISNUMBER(SEARCH("FEMALE WARD",K720)), PROPER("FEMALE MEDICAL"),
TRUE, "Unmapped: " &amp; K720)</f>
        <v>Female Surg, Ortho &amp; Gyn</v>
      </c>
      <c r="M720" t="s">
        <v>22</v>
      </c>
      <c r="O720" t="s">
        <v>2496</v>
      </c>
      <c r="P720" t="str">
        <f t="shared" si="93"/>
        <v>Text Error</v>
      </c>
      <c r="Q720" s="5">
        <v>46034.95412037037</v>
      </c>
      <c r="R720" t="str">
        <f t="shared" si="94"/>
        <v>Valid Date</v>
      </c>
      <c r="S720" t="s">
        <v>2497</v>
      </c>
      <c r="T720" s="5">
        <v>46036.523877314816</v>
      </c>
      <c r="U720">
        <v>1</v>
      </c>
      <c r="V720" t="str">
        <f t="shared" si="95"/>
        <v>OK</v>
      </c>
      <c r="W720" t="s">
        <v>25</v>
      </c>
      <c r="Y720" t="s">
        <v>30</v>
      </c>
    </row>
    <row r="721" spans="1:25" x14ac:dyDescent="0.25">
      <c r="A721" t="s">
        <v>2498</v>
      </c>
      <c r="B721" t="str">
        <f t="shared" si="89"/>
        <v>Bahati Hamisi Chongella</v>
      </c>
      <c r="C721">
        <v>123624</v>
      </c>
      <c r="D721" t="str">
        <f t="shared" si="88"/>
        <v>Unique</v>
      </c>
      <c r="E721" t="s">
        <v>188</v>
      </c>
      <c r="F721" s="3">
        <f t="shared" si="90"/>
        <v>28</v>
      </c>
      <c r="G721" t="s">
        <v>32</v>
      </c>
      <c r="H721" t="str">
        <f t="shared" si="91"/>
        <v>Valid</v>
      </c>
      <c r="I721" t="s">
        <v>33</v>
      </c>
      <c r="J721" t="str">
        <f t="shared" si="92"/>
        <v>Kigoma Ujiji Mc</v>
      </c>
      <c r="K721" t="s">
        <v>123</v>
      </c>
      <c r="L721" t="str" cm="1">
        <f t="array" ref="L721">_xlfn.IFS(
ISNUMBER(SEARCH("ICU",K721)), "ICU",
ISNUMBER(SEARCH("NEONATAL",K721)), PROPER("NEONATAL"),
ISNUMBER(SEARCH("LABOUR",K721)), PROPER("LABOUR"),
ISNUMBER(SEARCH("PAEDIATRIC",K721)), PROPER("PAEDIATRIC"),
ISNUMBER(SEARCH("FEMALE SURGICAL",K721)), PROPER("FEMALE SURG, ORTHO &amp; GYN"),
ISNUMBER(SEARCH("PSYCHIATRIST",K721)), PROPER("PSYCHIATRIST"),
ISNUMBER(SEARCH("GRADE 1",K721)), PROPER("GRADE 1"),
ISNUMBER(SEARCH("MALE SURGICAL",K721)), PROPER("MALE SURG &amp; ORTHOPEDIC"),
ISNUMBER(SEARCH("MALE MEDICAL",K721)), PROPER("MALE MEDICAL"),
ISNUMBER(SEARCH("GRADE 2",K721)), PROPER("GRADE 2"),
ISNUMBER(SEARCH("FEMALE WARD",K721)), PROPER("FEMALE MEDICAL"),
TRUE, "Unmapped: " &amp; K721)</f>
        <v>Female Surg, Ortho &amp; Gyn</v>
      </c>
      <c r="M721" t="s">
        <v>394</v>
      </c>
      <c r="O721" t="s">
        <v>2499</v>
      </c>
      <c r="P721" t="str">
        <f t="shared" si="93"/>
        <v>Text Error</v>
      </c>
      <c r="Q721" s="5">
        <v>46035.446319444447</v>
      </c>
      <c r="R721" t="str">
        <f t="shared" si="94"/>
        <v>Valid Date</v>
      </c>
      <c r="S721" t="s">
        <v>2500</v>
      </c>
      <c r="T721" s="5">
        <v>46036.522291666668</v>
      </c>
      <c r="U721">
        <v>1</v>
      </c>
      <c r="V721" t="str">
        <f t="shared" si="95"/>
        <v>OK</v>
      </c>
      <c r="W721" t="s">
        <v>25</v>
      </c>
      <c r="Y721" t="s">
        <v>30</v>
      </c>
    </row>
    <row r="722" spans="1:25" x14ac:dyDescent="0.25">
      <c r="A722" t="s">
        <v>2501</v>
      </c>
      <c r="B722" t="str">
        <f t="shared" si="89"/>
        <v>Anyesi John Ernest</v>
      </c>
      <c r="C722">
        <v>128199</v>
      </c>
      <c r="D722" t="str">
        <f t="shared" si="88"/>
        <v>Unique</v>
      </c>
      <c r="E722" t="s">
        <v>215</v>
      </c>
      <c r="F722" s="3">
        <f t="shared" si="90"/>
        <v>25</v>
      </c>
      <c r="G722" t="s">
        <v>32</v>
      </c>
      <c r="H722" t="str">
        <f t="shared" si="91"/>
        <v>Valid</v>
      </c>
      <c r="I722" t="s">
        <v>33</v>
      </c>
      <c r="J722" t="str">
        <f t="shared" si="92"/>
        <v>Kigoma Ujiji Mc</v>
      </c>
      <c r="K722" t="s">
        <v>123</v>
      </c>
      <c r="L722" t="str" cm="1">
        <f t="array" ref="L722">_xlfn.IFS(
ISNUMBER(SEARCH("ICU",K722)), "ICU",
ISNUMBER(SEARCH("NEONATAL",K722)), PROPER("NEONATAL"),
ISNUMBER(SEARCH("LABOUR",K722)), PROPER("LABOUR"),
ISNUMBER(SEARCH("PAEDIATRIC",K722)), PROPER("PAEDIATRIC"),
ISNUMBER(SEARCH("FEMALE SURGICAL",K722)), PROPER("FEMALE SURG, ORTHO &amp; GYN"),
ISNUMBER(SEARCH("PSYCHIATRIST",K722)), PROPER("PSYCHIATRIST"),
ISNUMBER(SEARCH("GRADE 1",K722)), PROPER("GRADE 1"),
ISNUMBER(SEARCH("MALE SURGICAL",K722)), PROPER("MALE SURG &amp; ORTHOPEDIC"),
ISNUMBER(SEARCH("MALE MEDICAL",K722)), PROPER("MALE MEDICAL"),
ISNUMBER(SEARCH("GRADE 2",K722)), PROPER("GRADE 2"),
ISNUMBER(SEARCH("FEMALE WARD",K722)), PROPER("FEMALE MEDICAL"),
TRUE, "Unmapped: " &amp; K722)</f>
        <v>Female Surg, Ortho &amp; Gyn</v>
      </c>
      <c r="M722" t="s">
        <v>22</v>
      </c>
      <c r="O722" t="s">
        <v>2502</v>
      </c>
      <c r="P722" t="str">
        <f t="shared" si="93"/>
        <v>Text Error</v>
      </c>
      <c r="Q722" s="5">
        <v>46035.692812499998</v>
      </c>
      <c r="R722" t="str">
        <f t="shared" si="94"/>
        <v>Valid Date</v>
      </c>
      <c r="S722" t="s">
        <v>2503</v>
      </c>
      <c r="T722" s="5">
        <v>46037.55840277778</v>
      </c>
      <c r="U722">
        <v>1</v>
      </c>
      <c r="V722" t="str">
        <f t="shared" si="95"/>
        <v>OK</v>
      </c>
      <c r="W722" t="s">
        <v>25</v>
      </c>
      <c r="Y722" t="s">
        <v>30</v>
      </c>
    </row>
    <row r="723" spans="1:25" x14ac:dyDescent="0.25">
      <c r="A723" t="s">
        <v>2504</v>
      </c>
      <c r="B723" t="str">
        <f t="shared" si="89"/>
        <v>Shida Ramadhani Mkoko</v>
      </c>
      <c r="C723">
        <v>128285</v>
      </c>
      <c r="D723" t="str">
        <f t="shared" si="88"/>
        <v>Unique</v>
      </c>
      <c r="E723" t="s">
        <v>541</v>
      </c>
      <c r="F723" s="3">
        <f t="shared" si="90"/>
        <v>42</v>
      </c>
      <c r="G723" t="s">
        <v>32</v>
      </c>
      <c r="H723" t="str">
        <f t="shared" si="91"/>
        <v>Valid</v>
      </c>
      <c r="I723" t="s">
        <v>20</v>
      </c>
      <c r="J723" t="str">
        <f t="shared" si="92"/>
        <v>Uvinza</v>
      </c>
      <c r="K723" t="s">
        <v>700</v>
      </c>
      <c r="L723" t="str" cm="1">
        <f t="array" ref="L723">_xlfn.IFS(
ISNUMBER(SEARCH("ICU",K723)), "ICU",
ISNUMBER(SEARCH("NEONATAL",K723)), PROPER("NEONATAL"),
ISNUMBER(SEARCH("LABOUR",K723)), PROPER("LABOUR"),
ISNUMBER(SEARCH("PAEDIATRIC",K723)), PROPER("PAEDIATRIC"),
ISNUMBER(SEARCH("FEMALE SURGICAL",K723)), PROPER("FEMALE SURG, ORTHO &amp; GYN"),
ISNUMBER(SEARCH("PSYCHIATRIST",K723)), PROPER("PSYCHIATRIST"),
ISNUMBER(SEARCH("GRADE 1",K723)), PROPER("GRADE 1"),
ISNUMBER(SEARCH("MALE SURGICAL",K723)), PROPER("MALE SURG &amp; ORTHOPEDIC"),
ISNUMBER(SEARCH("MALE MEDICAL",K723)), PROPER("MALE MEDICAL"),
ISNUMBER(SEARCH("GRADE 2",K723)), PROPER("GRADE 2"),
ISNUMBER(SEARCH("FEMALE WARD",K723)), PROPER("FEMALE MEDICAL"),
TRUE, "Unmapped: " &amp; K723)</f>
        <v>Female Medical</v>
      </c>
      <c r="M723" t="s">
        <v>22</v>
      </c>
      <c r="O723" t="s">
        <v>2505</v>
      </c>
      <c r="P723" t="str">
        <f t="shared" si="93"/>
        <v>Text Error</v>
      </c>
      <c r="Q723" s="5">
        <v>46035.87972222222</v>
      </c>
      <c r="R723" t="str">
        <f t="shared" si="94"/>
        <v>Valid Date</v>
      </c>
      <c r="S723" t="s">
        <v>2506</v>
      </c>
      <c r="T723" s="5">
        <v>46037.635914351849</v>
      </c>
      <c r="U723">
        <v>1</v>
      </c>
      <c r="V723" t="str">
        <f t="shared" si="95"/>
        <v>OK</v>
      </c>
      <c r="W723" t="s">
        <v>25</v>
      </c>
      <c r="Y723" t="s">
        <v>30</v>
      </c>
    </row>
    <row r="724" spans="1:25" x14ac:dyDescent="0.25">
      <c r="A724" t="s">
        <v>2507</v>
      </c>
      <c r="B724" t="str">
        <f t="shared" si="89"/>
        <v>Novastis Sango Mathias</v>
      </c>
      <c r="C724">
        <v>128315</v>
      </c>
      <c r="D724" t="str">
        <f t="shared" si="88"/>
        <v>Unique</v>
      </c>
      <c r="E724" t="s">
        <v>577</v>
      </c>
      <c r="F724" s="3">
        <f t="shared" si="90"/>
        <v>47</v>
      </c>
      <c r="G724" t="s">
        <v>19</v>
      </c>
      <c r="H724" t="str">
        <f t="shared" si="91"/>
        <v>Valid</v>
      </c>
      <c r="I724" t="s">
        <v>33</v>
      </c>
      <c r="J724" t="str">
        <f t="shared" si="92"/>
        <v>Kigoma Ujiji Mc</v>
      </c>
      <c r="K724" t="s">
        <v>484</v>
      </c>
      <c r="L724" t="str" cm="1">
        <f t="array" ref="L724">_xlfn.IFS(
ISNUMBER(SEARCH("ICU",K724)), "ICU",
ISNUMBER(SEARCH("NEONATAL",K724)), PROPER("NEONATAL"),
ISNUMBER(SEARCH("LABOUR",K724)), PROPER("LABOUR"),
ISNUMBER(SEARCH("PAEDIATRIC",K724)), PROPER("PAEDIATRIC"),
ISNUMBER(SEARCH("FEMALE SURGICAL",K724)), PROPER("FEMALE SURG, ORTHO &amp; GYN"),
ISNUMBER(SEARCH("PSYCHIATRIST",K724)), PROPER("PSYCHIATRIST"),
ISNUMBER(SEARCH("GRADE 1",K724)), PROPER("GRADE 1"),
ISNUMBER(SEARCH("MALE SURGICAL",K724)), PROPER("MALE SURG &amp; ORTHOPEDIC"),
ISNUMBER(SEARCH("MALE MEDICAL",K724)), PROPER("MALE MEDICAL"),
ISNUMBER(SEARCH("GRADE 2",K724)), PROPER("GRADE 2"),
ISNUMBER(SEARCH("FEMALE WARD",K724)), PROPER("FEMALE MEDICAL"),
TRUE, "Unmapped: " &amp; K724)</f>
        <v>Male Medical</v>
      </c>
      <c r="M724" t="s">
        <v>22</v>
      </c>
      <c r="O724" t="s">
        <v>2508</v>
      </c>
      <c r="P724" t="str">
        <f t="shared" si="93"/>
        <v>Text Error</v>
      </c>
      <c r="Q724" s="5">
        <v>46035.966122685182</v>
      </c>
      <c r="R724" t="str">
        <f t="shared" si="94"/>
        <v>Valid Date</v>
      </c>
      <c r="S724" t="s">
        <v>2509</v>
      </c>
      <c r="T724" s="5">
        <v>46037.742511574077</v>
      </c>
      <c r="U724">
        <v>1</v>
      </c>
      <c r="V724" t="str">
        <f t="shared" si="95"/>
        <v>OK</v>
      </c>
      <c r="W724" t="s">
        <v>397</v>
      </c>
      <c r="Y724" t="s">
        <v>30</v>
      </c>
    </row>
    <row r="725" spans="1:25" x14ac:dyDescent="0.25">
      <c r="A725" t="s">
        <v>2510</v>
      </c>
      <c r="B725" t="str">
        <f t="shared" si="89"/>
        <v>Jackson Sologo Domo</v>
      </c>
      <c r="C725">
        <v>105335</v>
      </c>
      <c r="D725" t="str">
        <f t="shared" si="88"/>
        <v>Unique</v>
      </c>
      <c r="E725" t="s">
        <v>296</v>
      </c>
      <c r="F725" s="3">
        <f t="shared" si="90"/>
        <v>26</v>
      </c>
      <c r="G725" t="s">
        <v>19</v>
      </c>
      <c r="H725" t="str">
        <f t="shared" si="91"/>
        <v>Valid</v>
      </c>
      <c r="I725" t="s">
        <v>260</v>
      </c>
      <c r="J725" t="str">
        <f t="shared" si="92"/>
        <v>Kasulu</v>
      </c>
      <c r="K725" t="s">
        <v>428</v>
      </c>
      <c r="L725" t="str" cm="1">
        <f t="array" ref="L725">_xlfn.IFS(
ISNUMBER(SEARCH("ICU",K725)), "ICU",
ISNUMBER(SEARCH("NEONATAL",K725)), PROPER("NEONATAL"),
ISNUMBER(SEARCH("LABOUR",K725)), PROPER("LABOUR"),
ISNUMBER(SEARCH("PAEDIATRIC",K725)), PROPER("PAEDIATRIC"),
ISNUMBER(SEARCH("FEMALE SURGICAL",K725)), PROPER("FEMALE SURG, ORTHO &amp; GYN"),
ISNUMBER(SEARCH("PSYCHIATRIST",K725)), PROPER("PSYCHIATRIST"),
ISNUMBER(SEARCH("GRADE 1",K725)), PROPER("GRADE 1"),
ISNUMBER(SEARCH("MALE SURGICAL",K725)), PROPER("MALE SURG &amp; ORTHOPEDIC"),
ISNUMBER(SEARCH("MALE MEDICAL",K725)), PROPER("MALE MEDICAL"),
ISNUMBER(SEARCH("GRADE 2",K725)), PROPER("GRADE 2"),
ISNUMBER(SEARCH("FEMALE WARD",K725)), PROPER("FEMALE MEDICAL"),
TRUE, "Unmapped: " &amp; K725)</f>
        <v>Male Surg &amp; Orthopedic</v>
      </c>
      <c r="M725" t="s">
        <v>22</v>
      </c>
      <c r="O725" t="s">
        <v>2511</v>
      </c>
      <c r="P725" t="str">
        <f t="shared" si="93"/>
        <v>Text Error</v>
      </c>
      <c r="Q725" s="5">
        <v>46036.032997685186</v>
      </c>
      <c r="R725" t="str">
        <f t="shared" si="94"/>
        <v>Valid Date</v>
      </c>
      <c r="S725" t="s">
        <v>2512</v>
      </c>
      <c r="T725" s="5">
        <v>46037.593657407408</v>
      </c>
      <c r="U725">
        <v>1</v>
      </c>
      <c r="V725" t="str">
        <f t="shared" si="95"/>
        <v>OK</v>
      </c>
      <c r="W725" t="s">
        <v>112</v>
      </c>
      <c r="Y725" t="s">
        <v>30</v>
      </c>
    </row>
    <row r="726" spans="1:25" x14ac:dyDescent="0.25">
      <c r="A726" t="s">
        <v>2513</v>
      </c>
      <c r="B726" t="str">
        <f t="shared" si="89"/>
        <v>Zainabu Makiga Hamimu</v>
      </c>
      <c r="C726">
        <v>128230</v>
      </c>
      <c r="D726" t="str">
        <f t="shared" si="88"/>
        <v>Unique</v>
      </c>
      <c r="E726" t="s">
        <v>147</v>
      </c>
      <c r="F726" s="3">
        <f t="shared" si="90"/>
        <v>30</v>
      </c>
      <c r="G726" t="s">
        <v>32</v>
      </c>
      <c r="H726" t="str">
        <f t="shared" si="91"/>
        <v>Valid</v>
      </c>
      <c r="I726" t="s">
        <v>62</v>
      </c>
      <c r="J726" t="str">
        <f t="shared" si="92"/>
        <v>Kigoma Vijijini</v>
      </c>
      <c r="K726" t="s">
        <v>123</v>
      </c>
      <c r="L726" t="str" cm="1">
        <f t="array" ref="L726">_xlfn.IFS(
ISNUMBER(SEARCH("ICU",K726)), "ICU",
ISNUMBER(SEARCH("NEONATAL",K726)), PROPER("NEONATAL"),
ISNUMBER(SEARCH("LABOUR",K726)), PROPER("LABOUR"),
ISNUMBER(SEARCH("PAEDIATRIC",K726)), PROPER("PAEDIATRIC"),
ISNUMBER(SEARCH("FEMALE SURGICAL",K726)), PROPER("FEMALE SURG, ORTHO &amp; GYN"),
ISNUMBER(SEARCH("PSYCHIATRIST",K726)), PROPER("PSYCHIATRIST"),
ISNUMBER(SEARCH("GRADE 1",K726)), PROPER("GRADE 1"),
ISNUMBER(SEARCH("MALE SURGICAL",K726)), PROPER("MALE SURG &amp; ORTHOPEDIC"),
ISNUMBER(SEARCH("MALE MEDICAL",K726)), PROPER("MALE MEDICAL"),
ISNUMBER(SEARCH("GRADE 2",K726)), PROPER("GRADE 2"),
ISNUMBER(SEARCH("FEMALE WARD",K726)), PROPER("FEMALE MEDICAL"),
TRUE, "Unmapped: " &amp; K726)</f>
        <v>Female Surg, Ortho &amp; Gyn</v>
      </c>
      <c r="M726" t="s">
        <v>22</v>
      </c>
      <c r="O726" t="s">
        <v>2514</v>
      </c>
      <c r="P726" t="str">
        <f t="shared" si="93"/>
        <v>Text Error</v>
      </c>
      <c r="Q726" s="5">
        <v>46036.587638888886</v>
      </c>
      <c r="R726" t="str">
        <f t="shared" si="94"/>
        <v>Valid Date</v>
      </c>
      <c r="S726" t="s">
        <v>2515</v>
      </c>
      <c r="T726" s="5">
        <v>46038.489907407406</v>
      </c>
      <c r="U726">
        <v>1</v>
      </c>
      <c r="V726" t="str">
        <f t="shared" si="95"/>
        <v>OK</v>
      </c>
      <c r="W726" t="s">
        <v>25</v>
      </c>
      <c r="Y726" t="s">
        <v>30</v>
      </c>
    </row>
    <row r="727" spans="1:25" x14ac:dyDescent="0.25">
      <c r="A727" t="s">
        <v>2516</v>
      </c>
      <c r="B727" t="str">
        <f t="shared" si="89"/>
        <v>Saidi Ntilubaye Bilaho</v>
      </c>
      <c r="C727">
        <v>12875</v>
      </c>
      <c r="D727" t="str">
        <f t="shared" si="88"/>
        <v>Unique</v>
      </c>
      <c r="E727" t="s">
        <v>2517</v>
      </c>
      <c r="F727" s="3">
        <f t="shared" si="90"/>
        <v>89</v>
      </c>
      <c r="G727" t="s">
        <v>19</v>
      </c>
      <c r="H727" t="str">
        <f t="shared" si="91"/>
        <v>Valid</v>
      </c>
      <c r="I727" t="s">
        <v>20</v>
      </c>
      <c r="J727" t="str">
        <f t="shared" si="92"/>
        <v>Uvinza</v>
      </c>
      <c r="K727" t="s">
        <v>484</v>
      </c>
      <c r="L727" t="str" cm="1">
        <f t="array" ref="L727">_xlfn.IFS(
ISNUMBER(SEARCH("ICU",K727)), "ICU",
ISNUMBER(SEARCH("NEONATAL",K727)), PROPER("NEONATAL"),
ISNUMBER(SEARCH("LABOUR",K727)), PROPER("LABOUR"),
ISNUMBER(SEARCH("PAEDIATRIC",K727)), PROPER("PAEDIATRIC"),
ISNUMBER(SEARCH("FEMALE SURGICAL",K727)), PROPER("FEMALE SURG, ORTHO &amp; GYN"),
ISNUMBER(SEARCH("PSYCHIATRIST",K727)), PROPER("PSYCHIATRIST"),
ISNUMBER(SEARCH("GRADE 1",K727)), PROPER("GRADE 1"),
ISNUMBER(SEARCH("MALE SURGICAL",K727)), PROPER("MALE SURG &amp; ORTHOPEDIC"),
ISNUMBER(SEARCH("MALE MEDICAL",K727)), PROPER("MALE MEDICAL"),
ISNUMBER(SEARCH("GRADE 2",K727)), PROPER("GRADE 2"),
ISNUMBER(SEARCH("FEMALE WARD",K727)), PROPER("FEMALE MEDICAL"),
TRUE, "Unmapped: " &amp; K727)</f>
        <v>Male Medical</v>
      </c>
      <c r="M727" t="s">
        <v>394</v>
      </c>
      <c r="O727" t="s">
        <v>2518</v>
      </c>
      <c r="P727" t="str">
        <f t="shared" si="93"/>
        <v>Text Error</v>
      </c>
      <c r="Q727" s="5">
        <v>46036.698344907411</v>
      </c>
      <c r="R727" t="str">
        <f t="shared" si="94"/>
        <v>Valid Date</v>
      </c>
      <c r="S727" t="s">
        <v>2519</v>
      </c>
      <c r="T727" s="5">
        <v>46038.636192129627</v>
      </c>
      <c r="U727">
        <v>1</v>
      </c>
      <c r="V727" t="str">
        <f t="shared" si="95"/>
        <v>OK</v>
      </c>
      <c r="W727" t="s">
        <v>25</v>
      </c>
      <c r="Y727" t="s">
        <v>30</v>
      </c>
    </row>
    <row r="728" spans="1:25" x14ac:dyDescent="0.25">
      <c r="A728" t="s">
        <v>2520</v>
      </c>
      <c r="B728" t="str">
        <f t="shared" si="89"/>
        <v>Neema Said Ramadhan</v>
      </c>
      <c r="C728">
        <v>128467</v>
      </c>
      <c r="D728" t="str">
        <f t="shared" si="88"/>
        <v>Unique</v>
      </c>
      <c r="E728" t="s">
        <v>142</v>
      </c>
      <c r="F728" s="3">
        <f t="shared" si="90"/>
        <v>20</v>
      </c>
      <c r="G728" t="s">
        <v>32</v>
      </c>
      <c r="H728" t="str">
        <f t="shared" si="91"/>
        <v>Valid</v>
      </c>
      <c r="I728" t="s">
        <v>33</v>
      </c>
      <c r="J728" t="str">
        <f t="shared" si="92"/>
        <v>Kigoma Ujiji Mc</v>
      </c>
      <c r="K728" t="s">
        <v>40</v>
      </c>
      <c r="L728" t="str" cm="1">
        <f t="array" ref="L728">_xlfn.IFS(
ISNUMBER(SEARCH("ICU",K728)), "ICU",
ISNUMBER(SEARCH("NEONATAL",K728)), PROPER("NEONATAL"),
ISNUMBER(SEARCH("LABOUR",K728)), PROPER("LABOUR"),
ISNUMBER(SEARCH("PAEDIATRIC",K728)), PROPER("PAEDIATRIC"),
ISNUMBER(SEARCH("FEMALE SURGICAL",K728)), PROPER("FEMALE SURG, ORTHO &amp; GYN"),
ISNUMBER(SEARCH("PSYCHIATRIST",K728)), PROPER("PSYCHIATRIST"),
ISNUMBER(SEARCH("GRADE 1",K728)), PROPER("GRADE 1"),
ISNUMBER(SEARCH("MALE SURGICAL",K728)), PROPER("MALE SURG &amp; ORTHOPEDIC"),
ISNUMBER(SEARCH("MALE MEDICAL",K728)), PROPER("MALE MEDICAL"),
ISNUMBER(SEARCH("GRADE 2",K728)), PROPER("GRADE 2"),
ISNUMBER(SEARCH("FEMALE WARD",K728)), PROPER("FEMALE MEDICAL"),
TRUE, "Unmapped: " &amp; K728)</f>
        <v>Labour</v>
      </c>
      <c r="M728" t="s">
        <v>22</v>
      </c>
      <c r="O728" t="s">
        <v>2521</v>
      </c>
      <c r="P728" t="str">
        <f t="shared" si="93"/>
        <v>Text Error</v>
      </c>
      <c r="Q728" s="5">
        <v>46036.911793981482</v>
      </c>
      <c r="R728" t="str">
        <f t="shared" si="94"/>
        <v>Valid Date</v>
      </c>
      <c r="S728" t="s">
        <v>2522</v>
      </c>
      <c r="T728" s="5">
        <v>46038.705868055556</v>
      </c>
      <c r="U728">
        <v>1</v>
      </c>
      <c r="V728" t="str">
        <f t="shared" si="95"/>
        <v>OK</v>
      </c>
      <c r="W728" t="s">
        <v>25</v>
      </c>
      <c r="Y728" t="s">
        <v>30</v>
      </c>
    </row>
    <row r="729" spans="1:25" x14ac:dyDescent="0.25">
      <c r="A729" t="s">
        <v>2523</v>
      </c>
      <c r="B729" t="str">
        <f t="shared" si="89"/>
        <v>Masasila Lufogola Malando</v>
      </c>
      <c r="C729">
        <v>128466</v>
      </c>
      <c r="D729" t="str">
        <f t="shared" si="88"/>
        <v>Unique</v>
      </c>
      <c r="E729" t="s">
        <v>596</v>
      </c>
      <c r="F729" s="3">
        <f t="shared" si="90"/>
        <v>78</v>
      </c>
      <c r="G729" t="s">
        <v>19</v>
      </c>
      <c r="H729" t="str">
        <f t="shared" si="91"/>
        <v>Valid</v>
      </c>
      <c r="I729" t="s">
        <v>20</v>
      </c>
      <c r="J729" t="str">
        <f t="shared" si="92"/>
        <v>Uvinza</v>
      </c>
      <c r="K729" t="s">
        <v>484</v>
      </c>
      <c r="L729" t="str" cm="1">
        <f t="array" ref="L729">_xlfn.IFS(
ISNUMBER(SEARCH("ICU",K729)), "ICU",
ISNUMBER(SEARCH("NEONATAL",K729)), PROPER("NEONATAL"),
ISNUMBER(SEARCH("LABOUR",K729)), PROPER("LABOUR"),
ISNUMBER(SEARCH("PAEDIATRIC",K729)), PROPER("PAEDIATRIC"),
ISNUMBER(SEARCH("FEMALE SURGICAL",K729)), PROPER("FEMALE SURG, ORTHO &amp; GYN"),
ISNUMBER(SEARCH("PSYCHIATRIST",K729)), PROPER("PSYCHIATRIST"),
ISNUMBER(SEARCH("GRADE 1",K729)), PROPER("GRADE 1"),
ISNUMBER(SEARCH("MALE SURGICAL",K729)), PROPER("MALE SURG &amp; ORTHOPEDIC"),
ISNUMBER(SEARCH("MALE MEDICAL",K729)), PROPER("MALE MEDICAL"),
ISNUMBER(SEARCH("GRADE 2",K729)), PROPER("GRADE 2"),
ISNUMBER(SEARCH("FEMALE WARD",K729)), PROPER("FEMALE MEDICAL"),
TRUE, "Unmapped: " &amp; K729)</f>
        <v>Male Medical</v>
      </c>
      <c r="M729" t="s">
        <v>22</v>
      </c>
      <c r="O729" t="s">
        <v>2524</v>
      </c>
      <c r="P729" t="str">
        <f t="shared" si="93"/>
        <v>Text Error</v>
      </c>
      <c r="Q729" s="5">
        <v>46037.034236111111</v>
      </c>
      <c r="R729" t="str">
        <f t="shared" si="94"/>
        <v>Valid Date</v>
      </c>
      <c r="S729" t="s">
        <v>2525</v>
      </c>
      <c r="T729" s="5">
        <v>46038.576666666668</v>
      </c>
      <c r="U729">
        <v>1</v>
      </c>
      <c r="V729" t="str">
        <f t="shared" si="95"/>
        <v>OK</v>
      </c>
      <c r="W729" t="s">
        <v>112</v>
      </c>
      <c r="Y729" t="s">
        <v>30</v>
      </c>
    </row>
    <row r="730" spans="1:25" x14ac:dyDescent="0.25">
      <c r="A730" t="s">
        <v>2526</v>
      </c>
      <c r="B730" t="str">
        <f t="shared" si="89"/>
        <v>Baby Ofedisa Dominiko Mkuyu</v>
      </c>
      <c r="C730">
        <v>128474</v>
      </c>
      <c r="D730" t="str">
        <f t="shared" si="88"/>
        <v>Unique</v>
      </c>
      <c r="E730" t="s">
        <v>622</v>
      </c>
      <c r="F730" s="3" t="str">
        <f t="shared" si="90"/>
        <v>2/12</v>
      </c>
      <c r="G730" t="s">
        <v>19</v>
      </c>
      <c r="H730" t="str">
        <f t="shared" si="91"/>
        <v>Valid</v>
      </c>
      <c r="I730" t="s">
        <v>33</v>
      </c>
      <c r="J730" t="str">
        <f t="shared" si="92"/>
        <v>Kigoma Ujiji Mc</v>
      </c>
      <c r="K730" t="s">
        <v>21</v>
      </c>
      <c r="L730" t="str" cm="1">
        <f t="array" ref="L730">_xlfn.IFS(
ISNUMBER(SEARCH("ICU",K730)), "ICU",
ISNUMBER(SEARCH("NEONATAL",K730)), PROPER("NEONATAL"),
ISNUMBER(SEARCH("LABOUR",K730)), PROPER("LABOUR"),
ISNUMBER(SEARCH("PAEDIATRIC",K730)), PROPER("PAEDIATRIC"),
ISNUMBER(SEARCH("FEMALE SURGICAL",K730)), PROPER("FEMALE SURG, ORTHO &amp; GYN"),
ISNUMBER(SEARCH("PSYCHIATRIST",K730)), PROPER("PSYCHIATRIST"),
ISNUMBER(SEARCH("GRADE 1",K730)), PROPER("GRADE 1"),
ISNUMBER(SEARCH("MALE SURGICAL",K730)), PROPER("MALE SURG &amp; ORTHOPEDIC"),
ISNUMBER(SEARCH("MALE MEDICAL",K730)), PROPER("MALE MEDICAL"),
ISNUMBER(SEARCH("GRADE 2",K730)), PROPER("GRADE 2"),
ISNUMBER(SEARCH("FEMALE WARD",K730)), PROPER("FEMALE MEDICAL"),
TRUE, "Unmapped: " &amp; K730)</f>
        <v>Neonatal</v>
      </c>
      <c r="M730" t="s">
        <v>22</v>
      </c>
      <c r="O730" t="s">
        <v>2527</v>
      </c>
      <c r="P730" t="str">
        <f t="shared" si="93"/>
        <v>Text Error</v>
      </c>
      <c r="Q730" s="5">
        <v>46037.138842592591</v>
      </c>
      <c r="R730" t="str">
        <f t="shared" si="94"/>
        <v>Valid Date</v>
      </c>
      <c r="S730" t="s">
        <v>2528</v>
      </c>
      <c r="T730" s="5">
        <v>46038.708310185182</v>
      </c>
      <c r="U730">
        <v>1</v>
      </c>
      <c r="V730" t="str">
        <f t="shared" si="95"/>
        <v>OK</v>
      </c>
      <c r="W730" t="s">
        <v>25</v>
      </c>
      <c r="Y730" t="s">
        <v>30</v>
      </c>
    </row>
    <row r="731" spans="1:25" x14ac:dyDescent="0.25">
      <c r="A731" t="s">
        <v>2529</v>
      </c>
      <c r="B731" t="str">
        <f t="shared" si="89"/>
        <v>Chakuku Mashaka Chakuku</v>
      </c>
      <c r="C731">
        <v>128475</v>
      </c>
      <c r="D731" t="str">
        <f t="shared" si="88"/>
        <v>Unique</v>
      </c>
      <c r="E731" t="s">
        <v>142</v>
      </c>
      <c r="F731" s="3">
        <f t="shared" si="90"/>
        <v>20</v>
      </c>
      <c r="G731" t="s">
        <v>19</v>
      </c>
      <c r="H731" t="str">
        <f t="shared" si="91"/>
        <v>Valid</v>
      </c>
      <c r="I731" t="s">
        <v>33</v>
      </c>
      <c r="J731" t="str">
        <f t="shared" si="92"/>
        <v>Kigoma Ujiji Mc</v>
      </c>
      <c r="K731" t="s">
        <v>428</v>
      </c>
      <c r="L731" t="str" cm="1">
        <f t="array" ref="L731">_xlfn.IFS(
ISNUMBER(SEARCH("ICU",K731)), "ICU",
ISNUMBER(SEARCH("NEONATAL",K731)), PROPER("NEONATAL"),
ISNUMBER(SEARCH("LABOUR",K731)), PROPER("LABOUR"),
ISNUMBER(SEARCH("PAEDIATRIC",K731)), PROPER("PAEDIATRIC"),
ISNUMBER(SEARCH("FEMALE SURGICAL",K731)), PROPER("FEMALE SURG, ORTHO &amp; GYN"),
ISNUMBER(SEARCH("PSYCHIATRIST",K731)), PROPER("PSYCHIATRIST"),
ISNUMBER(SEARCH("GRADE 1",K731)), PROPER("GRADE 1"),
ISNUMBER(SEARCH("MALE SURGICAL",K731)), PROPER("MALE SURG &amp; ORTHOPEDIC"),
ISNUMBER(SEARCH("MALE MEDICAL",K731)), PROPER("MALE MEDICAL"),
ISNUMBER(SEARCH("GRADE 2",K731)), PROPER("GRADE 2"),
ISNUMBER(SEARCH("FEMALE WARD",K731)), PROPER("FEMALE MEDICAL"),
TRUE, "Unmapped: " &amp; K731)</f>
        <v>Male Surg &amp; Orthopedic</v>
      </c>
      <c r="M731" t="s">
        <v>22</v>
      </c>
      <c r="O731" t="s">
        <v>2530</v>
      </c>
      <c r="P731" t="str">
        <f t="shared" si="93"/>
        <v>Text Error</v>
      </c>
      <c r="Q731" s="5">
        <v>46037.428217592591</v>
      </c>
      <c r="R731" t="str">
        <f t="shared" si="94"/>
        <v>Valid Date</v>
      </c>
      <c r="S731" t="s">
        <v>2531</v>
      </c>
      <c r="T731" s="5">
        <v>46039.422106481485</v>
      </c>
      <c r="U731">
        <v>1</v>
      </c>
      <c r="V731" t="str">
        <f t="shared" si="95"/>
        <v>OK</v>
      </c>
      <c r="W731" t="s">
        <v>112</v>
      </c>
      <c r="Y731" t="s">
        <v>30</v>
      </c>
    </row>
    <row r="732" spans="1:25" x14ac:dyDescent="0.25">
      <c r="A732" t="s">
        <v>2532</v>
      </c>
      <c r="B732" t="str">
        <f t="shared" si="89"/>
        <v>Shamira Omary Salumu</v>
      </c>
      <c r="C732">
        <v>128542</v>
      </c>
      <c r="D732" t="str">
        <f t="shared" si="88"/>
        <v>Unique</v>
      </c>
      <c r="E732" t="s">
        <v>122</v>
      </c>
      <c r="F732" s="3">
        <f t="shared" si="90"/>
        <v>40</v>
      </c>
      <c r="G732" t="s">
        <v>32</v>
      </c>
      <c r="H732" t="str">
        <f t="shared" si="91"/>
        <v>Valid</v>
      </c>
      <c r="I732" t="s">
        <v>33</v>
      </c>
      <c r="J732" t="str">
        <f t="shared" si="92"/>
        <v>Kigoma Ujiji Mc</v>
      </c>
      <c r="K732" t="s">
        <v>40</v>
      </c>
      <c r="L732" t="str" cm="1">
        <f t="array" ref="L732">_xlfn.IFS(
ISNUMBER(SEARCH("ICU",K732)), "ICU",
ISNUMBER(SEARCH("NEONATAL",K732)), PROPER("NEONATAL"),
ISNUMBER(SEARCH("LABOUR",K732)), PROPER("LABOUR"),
ISNUMBER(SEARCH("PAEDIATRIC",K732)), PROPER("PAEDIATRIC"),
ISNUMBER(SEARCH("FEMALE SURGICAL",K732)), PROPER("FEMALE SURG, ORTHO &amp; GYN"),
ISNUMBER(SEARCH("PSYCHIATRIST",K732)), PROPER("PSYCHIATRIST"),
ISNUMBER(SEARCH("GRADE 1",K732)), PROPER("GRADE 1"),
ISNUMBER(SEARCH("MALE SURGICAL",K732)), PROPER("MALE SURG &amp; ORTHOPEDIC"),
ISNUMBER(SEARCH("MALE MEDICAL",K732)), PROPER("MALE MEDICAL"),
ISNUMBER(SEARCH("GRADE 2",K732)), PROPER("GRADE 2"),
ISNUMBER(SEARCH("FEMALE WARD",K732)), PROPER("FEMALE MEDICAL"),
TRUE, "Unmapped: " &amp; K732)</f>
        <v>Labour</v>
      </c>
      <c r="M732" t="s">
        <v>22</v>
      </c>
      <c r="O732" t="s">
        <v>2533</v>
      </c>
      <c r="P732" t="str">
        <f t="shared" si="93"/>
        <v>Text Error</v>
      </c>
      <c r="Q732" s="5">
        <v>46037.667893518519</v>
      </c>
      <c r="R732" t="str">
        <f t="shared" si="94"/>
        <v>Valid Date</v>
      </c>
      <c r="S732" t="s">
        <v>2534</v>
      </c>
      <c r="T732" s="5">
        <v>46038.748495370368</v>
      </c>
      <c r="U732">
        <v>1</v>
      </c>
      <c r="V732" t="str">
        <f t="shared" si="95"/>
        <v>OK</v>
      </c>
      <c r="W732" t="s">
        <v>25</v>
      </c>
      <c r="Y732" t="s">
        <v>30</v>
      </c>
    </row>
    <row r="733" spans="1:25" x14ac:dyDescent="0.25">
      <c r="A733" t="s">
        <v>2535</v>
      </c>
      <c r="B733" t="str">
        <f t="shared" si="89"/>
        <v>Bernadetha Kiyaba John</v>
      </c>
      <c r="C733">
        <v>128571</v>
      </c>
      <c r="D733" t="str">
        <f t="shared" si="88"/>
        <v>Unique</v>
      </c>
      <c r="E733" t="s">
        <v>554</v>
      </c>
      <c r="F733" s="3">
        <f t="shared" si="90"/>
        <v>56</v>
      </c>
      <c r="G733" t="s">
        <v>32</v>
      </c>
      <c r="H733" t="str">
        <f t="shared" si="91"/>
        <v>Valid</v>
      </c>
      <c r="I733" t="s">
        <v>33</v>
      </c>
      <c r="J733" t="str">
        <f t="shared" si="92"/>
        <v>Kigoma Ujiji Mc</v>
      </c>
      <c r="K733" t="s">
        <v>700</v>
      </c>
      <c r="L733" t="str" cm="1">
        <f t="array" ref="L733">_xlfn.IFS(
ISNUMBER(SEARCH("ICU",K733)), "ICU",
ISNUMBER(SEARCH("NEONATAL",K733)), PROPER("NEONATAL"),
ISNUMBER(SEARCH("LABOUR",K733)), PROPER("LABOUR"),
ISNUMBER(SEARCH("PAEDIATRIC",K733)), PROPER("PAEDIATRIC"),
ISNUMBER(SEARCH("FEMALE SURGICAL",K733)), PROPER("FEMALE SURG, ORTHO &amp; GYN"),
ISNUMBER(SEARCH("PSYCHIATRIST",K733)), PROPER("PSYCHIATRIST"),
ISNUMBER(SEARCH("GRADE 1",K733)), PROPER("GRADE 1"),
ISNUMBER(SEARCH("MALE SURGICAL",K733)), PROPER("MALE SURG &amp; ORTHOPEDIC"),
ISNUMBER(SEARCH("MALE MEDICAL",K733)), PROPER("MALE MEDICAL"),
ISNUMBER(SEARCH("GRADE 2",K733)), PROPER("GRADE 2"),
ISNUMBER(SEARCH("FEMALE WARD",K733)), PROPER("FEMALE MEDICAL"),
TRUE, "Unmapped: " &amp; K733)</f>
        <v>Female Medical</v>
      </c>
      <c r="M733" t="s">
        <v>22</v>
      </c>
      <c r="O733" t="s">
        <v>2536</v>
      </c>
      <c r="P733" t="str">
        <f t="shared" si="93"/>
        <v>Text Error</v>
      </c>
      <c r="Q733" s="5">
        <v>46038.150011574071</v>
      </c>
      <c r="R733" t="str">
        <f t="shared" si="94"/>
        <v>Valid Date</v>
      </c>
      <c r="S733" t="s">
        <v>2537</v>
      </c>
      <c r="T733" s="5">
        <v>46039.530173611114</v>
      </c>
      <c r="U733">
        <v>1</v>
      </c>
      <c r="V733" t="str">
        <f t="shared" si="95"/>
        <v>OK</v>
      </c>
      <c r="W733" t="s">
        <v>25</v>
      </c>
      <c r="Y733" t="s">
        <v>30</v>
      </c>
    </row>
    <row r="734" spans="1:25" x14ac:dyDescent="0.25">
      <c r="A734" t="s">
        <v>2538</v>
      </c>
      <c r="B734" t="str">
        <f t="shared" si="89"/>
        <v>Anastazia Mwigulu Joseph</v>
      </c>
      <c r="C734">
        <v>128567</v>
      </c>
      <c r="D734" t="str">
        <f t="shared" si="88"/>
        <v>Unique</v>
      </c>
      <c r="E734" t="s">
        <v>622</v>
      </c>
      <c r="F734" s="3" t="str">
        <f t="shared" si="90"/>
        <v>2/12</v>
      </c>
      <c r="G734" t="s">
        <v>32</v>
      </c>
      <c r="H734" t="str">
        <f t="shared" si="91"/>
        <v>Valid</v>
      </c>
      <c r="I734" t="s">
        <v>20</v>
      </c>
      <c r="J734" t="str">
        <f t="shared" si="92"/>
        <v>Uvinza</v>
      </c>
      <c r="K734" t="s">
        <v>21</v>
      </c>
      <c r="L734" t="str" cm="1">
        <f t="array" ref="L734">_xlfn.IFS(
ISNUMBER(SEARCH("ICU",K734)), "ICU",
ISNUMBER(SEARCH("NEONATAL",K734)), PROPER("NEONATAL"),
ISNUMBER(SEARCH("LABOUR",K734)), PROPER("LABOUR"),
ISNUMBER(SEARCH("PAEDIATRIC",K734)), PROPER("PAEDIATRIC"),
ISNUMBER(SEARCH("FEMALE SURGICAL",K734)), PROPER("FEMALE SURG, ORTHO &amp; GYN"),
ISNUMBER(SEARCH("PSYCHIATRIST",K734)), PROPER("PSYCHIATRIST"),
ISNUMBER(SEARCH("GRADE 1",K734)), PROPER("GRADE 1"),
ISNUMBER(SEARCH("MALE SURGICAL",K734)), PROPER("MALE SURG &amp; ORTHOPEDIC"),
ISNUMBER(SEARCH("MALE MEDICAL",K734)), PROPER("MALE MEDICAL"),
ISNUMBER(SEARCH("GRADE 2",K734)), PROPER("GRADE 2"),
ISNUMBER(SEARCH("FEMALE WARD",K734)), PROPER("FEMALE MEDICAL"),
TRUE, "Unmapped: " &amp; K734)</f>
        <v>Neonatal</v>
      </c>
      <c r="M734" t="s">
        <v>22</v>
      </c>
      <c r="O734" t="s">
        <v>2539</v>
      </c>
      <c r="P734" t="str">
        <f t="shared" si="93"/>
        <v>Text Error</v>
      </c>
      <c r="Q734" s="5">
        <v>46038.311076388891</v>
      </c>
      <c r="R734" t="str">
        <f t="shared" si="94"/>
        <v>Valid Date</v>
      </c>
      <c r="S734" t="s">
        <v>2540</v>
      </c>
      <c r="T734" s="5">
        <v>46039.52679398148</v>
      </c>
      <c r="U734">
        <v>1</v>
      </c>
      <c r="V734" t="str">
        <f t="shared" si="95"/>
        <v>OK</v>
      </c>
      <c r="W734" t="s">
        <v>25</v>
      </c>
      <c r="Y734" t="s">
        <v>30</v>
      </c>
    </row>
    <row r="735" spans="1:25" x14ac:dyDescent="0.25">
      <c r="A735" t="s">
        <v>2541</v>
      </c>
      <c r="B735" t="str">
        <f t="shared" si="89"/>
        <v>Saudat Moshi Shabani</v>
      </c>
      <c r="C735">
        <v>110383</v>
      </c>
      <c r="D735" t="str">
        <f t="shared" si="88"/>
        <v>Unique</v>
      </c>
      <c r="E735" t="s">
        <v>108</v>
      </c>
      <c r="F735" s="3">
        <f t="shared" si="90"/>
        <v>2</v>
      </c>
      <c r="G735" t="s">
        <v>32</v>
      </c>
      <c r="H735" t="str">
        <f t="shared" si="91"/>
        <v>Valid</v>
      </c>
      <c r="I735" t="s">
        <v>33</v>
      </c>
      <c r="J735" t="str">
        <f t="shared" si="92"/>
        <v>Kigoma Ujiji Mc</v>
      </c>
      <c r="K735" t="s">
        <v>109</v>
      </c>
      <c r="L735" t="str" cm="1">
        <f t="array" ref="L735">_xlfn.IFS(
ISNUMBER(SEARCH("ICU",K735)), "ICU",
ISNUMBER(SEARCH("NEONATAL",K735)), PROPER("NEONATAL"),
ISNUMBER(SEARCH("LABOUR",K735)), PROPER("LABOUR"),
ISNUMBER(SEARCH("PAEDIATRIC",K735)), PROPER("PAEDIATRIC"),
ISNUMBER(SEARCH("FEMALE SURGICAL",K735)), PROPER("FEMALE SURG, ORTHO &amp; GYN"),
ISNUMBER(SEARCH("PSYCHIATRIST",K735)), PROPER("PSYCHIATRIST"),
ISNUMBER(SEARCH("GRADE 1",K735)), PROPER("GRADE 1"),
ISNUMBER(SEARCH("MALE SURGICAL",K735)), PROPER("MALE SURG &amp; ORTHOPEDIC"),
ISNUMBER(SEARCH("MALE MEDICAL",K735)), PROPER("MALE MEDICAL"),
ISNUMBER(SEARCH("GRADE 2",K735)), PROPER("GRADE 2"),
ISNUMBER(SEARCH("FEMALE WARD",K735)), PROPER("FEMALE MEDICAL"),
TRUE, "Unmapped: " &amp; K735)</f>
        <v>Paediatric</v>
      </c>
      <c r="M735" t="s">
        <v>22</v>
      </c>
      <c r="O735" t="s">
        <v>2542</v>
      </c>
      <c r="P735" t="str">
        <f t="shared" si="93"/>
        <v>Text Error</v>
      </c>
      <c r="Q735" s="5">
        <v>46038.422662037039</v>
      </c>
      <c r="R735" t="str">
        <f t="shared" si="94"/>
        <v>Valid Date</v>
      </c>
      <c r="S735" t="s">
        <v>2543</v>
      </c>
      <c r="T735" s="5">
        <v>46039.737349537034</v>
      </c>
      <c r="U735">
        <v>1</v>
      </c>
      <c r="V735" t="str">
        <f t="shared" si="95"/>
        <v>OK</v>
      </c>
      <c r="W735" t="s">
        <v>25</v>
      </c>
      <c r="Y735" t="s">
        <v>30</v>
      </c>
    </row>
    <row r="736" spans="1:25" x14ac:dyDescent="0.25">
      <c r="A736" t="s">
        <v>2544</v>
      </c>
      <c r="B736" t="str">
        <f t="shared" si="89"/>
        <v>Kassimu N Rumogela</v>
      </c>
      <c r="C736">
        <v>58646</v>
      </c>
      <c r="D736" t="str">
        <f t="shared" si="88"/>
        <v>Unique</v>
      </c>
      <c r="E736" t="s">
        <v>1855</v>
      </c>
      <c r="F736" s="3">
        <f t="shared" si="90"/>
        <v>82</v>
      </c>
      <c r="G736" t="s">
        <v>19</v>
      </c>
      <c r="H736" t="str">
        <f t="shared" si="91"/>
        <v>Valid</v>
      </c>
      <c r="I736" t="s">
        <v>227</v>
      </c>
      <c r="J736" t="str">
        <f t="shared" si="92"/>
        <v>KGG</v>
      </c>
      <c r="K736" t="s">
        <v>685</v>
      </c>
      <c r="L736" t="str" cm="1">
        <f t="array" ref="L736">_xlfn.IFS(
ISNUMBER(SEARCH("ICU",K736)), "ICU",
ISNUMBER(SEARCH("NEONATAL",K736)), PROPER("NEONATAL"),
ISNUMBER(SEARCH("LABOUR",K736)), PROPER("LABOUR"),
ISNUMBER(SEARCH("PAEDIATRIC",K736)), PROPER("PAEDIATRIC"),
ISNUMBER(SEARCH("FEMALE SURGICAL",K736)), PROPER("FEMALE SURG, ORTHO &amp; GYN"),
ISNUMBER(SEARCH("PSYCHIATRIST",K736)), PROPER("PSYCHIATRIST"),
ISNUMBER(SEARCH("GRADE 1",K736)), PROPER("GRADE 1"),
ISNUMBER(SEARCH("MALE SURGICAL",K736)), PROPER("MALE SURG &amp; ORTHOPEDIC"),
ISNUMBER(SEARCH("MALE MEDICAL",K736)), PROPER("MALE MEDICAL"),
ISNUMBER(SEARCH("GRADE 2",K736)), PROPER("GRADE 2"),
ISNUMBER(SEARCH("FEMALE WARD",K736)), PROPER("FEMALE MEDICAL"),
TRUE, "Unmapped: " &amp; K736)</f>
        <v>Grade 2</v>
      </c>
      <c r="M736" t="s">
        <v>394</v>
      </c>
      <c r="O736" t="s">
        <v>2545</v>
      </c>
      <c r="P736" t="str">
        <f t="shared" si="93"/>
        <v>Text Error</v>
      </c>
      <c r="Q736" s="5">
        <v>46038.424375000002</v>
      </c>
      <c r="R736" t="str">
        <f t="shared" si="94"/>
        <v>Valid Date</v>
      </c>
      <c r="S736" t="s">
        <v>2546</v>
      </c>
      <c r="T736" s="5">
        <v>46039.672291666669</v>
      </c>
      <c r="U736">
        <v>1</v>
      </c>
      <c r="V736" t="str">
        <f t="shared" si="95"/>
        <v>OK</v>
      </c>
      <c r="W736" t="s">
        <v>25</v>
      </c>
      <c r="Y736" t="s">
        <v>30</v>
      </c>
    </row>
    <row r="737" spans="1:25" x14ac:dyDescent="0.25">
      <c r="A737" t="s">
        <v>1861</v>
      </c>
      <c r="B737" t="str">
        <f t="shared" si="89"/>
        <v>Ismail Moshi Ramadhan</v>
      </c>
      <c r="C737">
        <v>86347</v>
      </c>
      <c r="D737" t="str">
        <f t="shared" si="88"/>
        <v>Duplicate</v>
      </c>
      <c r="E737" t="s">
        <v>454</v>
      </c>
      <c r="F737" s="3">
        <f t="shared" si="90"/>
        <v>3</v>
      </c>
      <c r="G737" t="s">
        <v>19</v>
      </c>
      <c r="H737" t="str">
        <f t="shared" si="91"/>
        <v>Valid</v>
      </c>
      <c r="I737" t="s">
        <v>33</v>
      </c>
      <c r="J737" t="str">
        <f t="shared" si="92"/>
        <v>Kigoma Ujiji Mc</v>
      </c>
      <c r="K737" t="s">
        <v>109</v>
      </c>
      <c r="L737" t="str" cm="1">
        <f t="array" ref="L737">_xlfn.IFS(
ISNUMBER(SEARCH("ICU",K737)), "ICU",
ISNUMBER(SEARCH("NEONATAL",K737)), PROPER("NEONATAL"),
ISNUMBER(SEARCH("LABOUR",K737)), PROPER("LABOUR"),
ISNUMBER(SEARCH("PAEDIATRIC",K737)), PROPER("PAEDIATRIC"),
ISNUMBER(SEARCH("FEMALE SURGICAL",K737)), PROPER("FEMALE SURG, ORTHO &amp; GYN"),
ISNUMBER(SEARCH("PSYCHIATRIST",K737)), PROPER("PSYCHIATRIST"),
ISNUMBER(SEARCH("GRADE 1",K737)), PROPER("GRADE 1"),
ISNUMBER(SEARCH("MALE SURGICAL",K737)), PROPER("MALE SURG &amp; ORTHOPEDIC"),
ISNUMBER(SEARCH("MALE MEDICAL",K737)), PROPER("MALE MEDICAL"),
ISNUMBER(SEARCH("GRADE 2",K737)), PROPER("GRADE 2"),
ISNUMBER(SEARCH("FEMALE WARD",K737)), PROPER("FEMALE MEDICAL"),
TRUE, "Unmapped: " &amp; K737)</f>
        <v>Paediatric</v>
      </c>
      <c r="M737" t="s">
        <v>22</v>
      </c>
      <c r="O737" t="s">
        <v>2547</v>
      </c>
      <c r="P737" t="str">
        <f t="shared" si="93"/>
        <v>Text Error</v>
      </c>
      <c r="Q737" s="5">
        <v>46038.534490740742</v>
      </c>
      <c r="R737" t="str">
        <f t="shared" si="94"/>
        <v>Valid Date</v>
      </c>
      <c r="S737" t="s">
        <v>2548</v>
      </c>
      <c r="T737" s="5">
        <v>46039.598611111112</v>
      </c>
      <c r="U737">
        <v>1</v>
      </c>
      <c r="V737" t="str">
        <f t="shared" si="95"/>
        <v>OK</v>
      </c>
      <c r="W737" t="s">
        <v>25</v>
      </c>
      <c r="Y737" t="s">
        <v>30</v>
      </c>
    </row>
    <row r="738" spans="1:25" x14ac:dyDescent="0.25">
      <c r="A738" t="s">
        <v>2549</v>
      </c>
      <c r="B738" t="str">
        <f t="shared" si="89"/>
        <v>Riziki R Mahara</v>
      </c>
      <c r="C738">
        <v>95439</v>
      </c>
      <c r="D738" t="str">
        <f t="shared" si="88"/>
        <v>Unique</v>
      </c>
      <c r="E738" t="s">
        <v>823</v>
      </c>
      <c r="F738" s="3">
        <f t="shared" si="90"/>
        <v>69</v>
      </c>
      <c r="G738" t="s">
        <v>19</v>
      </c>
      <c r="H738" t="str">
        <f t="shared" si="91"/>
        <v>Valid</v>
      </c>
      <c r="I738" t="s">
        <v>33</v>
      </c>
      <c r="J738" t="str">
        <f t="shared" si="92"/>
        <v>Kigoma Ujiji Mc</v>
      </c>
      <c r="K738" t="s">
        <v>393</v>
      </c>
      <c r="L738" t="str" cm="1">
        <f t="array" ref="L738">_xlfn.IFS(
ISNUMBER(SEARCH("ICU",K738)), "ICU",
ISNUMBER(SEARCH("NEONATAL",K738)), PROPER("NEONATAL"),
ISNUMBER(SEARCH("LABOUR",K738)), PROPER("LABOUR"),
ISNUMBER(SEARCH("PAEDIATRIC",K738)), PROPER("PAEDIATRIC"),
ISNUMBER(SEARCH("FEMALE SURGICAL",K738)), PROPER("FEMALE SURG, ORTHO &amp; GYN"),
ISNUMBER(SEARCH("PSYCHIATRIST",K738)), PROPER("PSYCHIATRIST"),
ISNUMBER(SEARCH("GRADE 1",K738)), PROPER("GRADE 1"),
ISNUMBER(SEARCH("MALE SURGICAL",K738)), PROPER("MALE SURG &amp; ORTHOPEDIC"),
ISNUMBER(SEARCH("MALE MEDICAL",K738)), PROPER("MALE MEDICAL"),
ISNUMBER(SEARCH("GRADE 2",K738)), PROPER("GRADE 2"),
ISNUMBER(SEARCH("FEMALE WARD",K738)), PROPER("FEMALE MEDICAL"),
TRUE, "Unmapped: " &amp; K738)</f>
        <v>Grade 1</v>
      </c>
      <c r="M738" t="s">
        <v>394</v>
      </c>
      <c r="O738" t="s">
        <v>2550</v>
      </c>
      <c r="P738" t="str">
        <f t="shared" si="93"/>
        <v>Text Error</v>
      </c>
      <c r="Q738" s="5">
        <v>46038.766203703701</v>
      </c>
      <c r="R738" t="str">
        <f t="shared" si="94"/>
        <v>Valid Date</v>
      </c>
      <c r="S738" t="s">
        <v>2551</v>
      </c>
      <c r="T738" s="5">
        <v>46040.694710648146</v>
      </c>
      <c r="U738">
        <v>1</v>
      </c>
      <c r="V738" t="str">
        <f t="shared" si="95"/>
        <v>OK</v>
      </c>
      <c r="W738" t="s">
        <v>25</v>
      </c>
      <c r="Y738" t="s">
        <v>30</v>
      </c>
    </row>
    <row r="739" spans="1:25" x14ac:dyDescent="0.25">
      <c r="A739" t="s">
        <v>2552</v>
      </c>
      <c r="B739" t="str">
        <f t="shared" si="89"/>
        <v>Baby Of Anastazia Kassian Nyanzale</v>
      </c>
      <c r="C739">
        <v>128704</v>
      </c>
      <c r="D739" t="str">
        <f t="shared" si="88"/>
        <v>Unique</v>
      </c>
      <c r="E739" t="s">
        <v>622</v>
      </c>
      <c r="F739" s="3" t="str">
        <f t="shared" si="90"/>
        <v>2/12</v>
      </c>
      <c r="G739" t="s">
        <v>32</v>
      </c>
      <c r="H739" t="str">
        <f t="shared" si="91"/>
        <v>Valid</v>
      </c>
      <c r="I739" t="s">
        <v>62</v>
      </c>
      <c r="J739" t="str">
        <f t="shared" si="92"/>
        <v>Kigoma Vijijini</v>
      </c>
      <c r="K739" t="s">
        <v>21</v>
      </c>
      <c r="L739" t="str" cm="1">
        <f t="array" ref="L739">_xlfn.IFS(
ISNUMBER(SEARCH("ICU",K739)), "ICU",
ISNUMBER(SEARCH("NEONATAL",K739)), PROPER("NEONATAL"),
ISNUMBER(SEARCH("LABOUR",K739)), PROPER("LABOUR"),
ISNUMBER(SEARCH("PAEDIATRIC",K739)), PROPER("PAEDIATRIC"),
ISNUMBER(SEARCH("FEMALE SURGICAL",K739)), PROPER("FEMALE SURG, ORTHO &amp; GYN"),
ISNUMBER(SEARCH("PSYCHIATRIST",K739)), PROPER("PSYCHIATRIST"),
ISNUMBER(SEARCH("GRADE 1",K739)), PROPER("GRADE 1"),
ISNUMBER(SEARCH("MALE SURGICAL",K739)), PROPER("MALE SURG &amp; ORTHOPEDIC"),
ISNUMBER(SEARCH("MALE MEDICAL",K739)), PROPER("MALE MEDICAL"),
ISNUMBER(SEARCH("GRADE 2",K739)), PROPER("GRADE 2"),
ISNUMBER(SEARCH("FEMALE WARD",K739)), PROPER("FEMALE MEDICAL"),
TRUE, "Unmapped: " &amp; K739)</f>
        <v>Neonatal</v>
      </c>
      <c r="M739" t="s">
        <v>22</v>
      </c>
      <c r="O739" t="s">
        <v>2553</v>
      </c>
      <c r="P739" t="str">
        <f t="shared" si="93"/>
        <v>Text Error</v>
      </c>
      <c r="Q739" s="5">
        <v>46039.589328703703</v>
      </c>
      <c r="R739" t="str">
        <f t="shared" si="94"/>
        <v>Valid Date</v>
      </c>
      <c r="S739" t="s">
        <v>2554</v>
      </c>
      <c r="T739" s="5">
        <v>46041.505208333336</v>
      </c>
      <c r="U739">
        <v>1</v>
      </c>
      <c r="V739" t="str">
        <f t="shared" si="95"/>
        <v>OK</v>
      </c>
      <c r="W739" t="s">
        <v>211</v>
      </c>
      <c r="Y739" t="s">
        <v>30</v>
      </c>
    </row>
    <row r="740" spans="1:25" x14ac:dyDescent="0.25">
      <c r="A740" t="s">
        <v>2555</v>
      </c>
      <c r="B740" t="str">
        <f t="shared" si="89"/>
        <v>Baby Of Mwanne Salum Mwami</v>
      </c>
      <c r="C740">
        <v>128727</v>
      </c>
      <c r="D740" t="str">
        <f t="shared" si="88"/>
        <v>Unique</v>
      </c>
      <c r="E740" t="s">
        <v>622</v>
      </c>
      <c r="F740" s="3" t="str">
        <f t="shared" si="90"/>
        <v>2/12</v>
      </c>
      <c r="G740" t="s">
        <v>19</v>
      </c>
      <c r="H740" t="str">
        <f t="shared" si="91"/>
        <v>Valid</v>
      </c>
      <c r="I740" t="s">
        <v>33</v>
      </c>
      <c r="J740" t="str">
        <f t="shared" si="92"/>
        <v>Kigoma Ujiji Mc</v>
      </c>
      <c r="K740" t="s">
        <v>21</v>
      </c>
      <c r="L740" t="str" cm="1">
        <f t="array" ref="L740">_xlfn.IFS(
ISNUMBER(SEARCH("ICU",K740)), "ICU",
ISNUMBER(SEARCH("NEONATAL",K740)), PROPER("NEONATAL"),
ISNUMBER(SEARCH("LABOUR",K740)), PROPER("LABOUR"),
ISNUMBER(SEARCH("PAEDIATRIC",K740)), PROPER("PAEDIATRIC"),
ISNUMBER(SEARCH("FEMALE SURGICAL",K740)), PROPER("FEMALE SURG, ORTHO &amp; GYN"),
ISNUMBER(SEARCH("PSYCHIATRIST",K740)), PROPER("PSYCHIATRIST"),
ISNUMBER(SEARCH("GRADE 1",K740)), PROPER("GRADE 1"),
ISNUMBER(SEARCH("MALE SURGICAL",K740)), PROPER("MALE SURG &amp; ORTHOPEDIC"),
ISNUMBER(SEARCH("MALE MEDICAL",K740)), PROPER("MALE MEDICAL"),
ISNUMBER(SEARCH("GRADE 2",K740)), PROPER("GRADE 2"),
ISNUMBER(SEARCH("FEMALE WARD",K740)), PROPER("FEMALE MEDICAL"),
TRUE, "Unmapped: " &amp; K740)</f>
        <v>Neonatal</v>
      </c>
      <c r="M740" t="s">
        <v>22</v>
      </c>
      <c r="O740" t="s">
        <v>2556</v>
      </c>
      <c r="P740" t="str">
        <f t="shared" si="93"/>
        <v>Text Error</v>
      </c>
      <c r="Q740" s="5">
        <v>46039.653194444443</v>
      </c>
      <c r="R740" t="str">
        <f t="shared" si="94"/>
        <v>Valid Date</v>
      </c>
      <c r="S740" t="s">
        <v>2557</v>
      </c>
      <c r="T740" s="5">
        <v>46040.661562499998</v>
      </c>
      <c r="U740">
        <v>1</v>
      </c>
      <c r="V740" t="str">
        <f t="shared" si="95"/>
        <v>OK</v>
      </c>
      <c r="W740" t="s">
        <v>211</v>
      </c>
      <c r="Y740" t="s">
        <v>30</v>
      </c>
    </row>
    <row r="741" spans="1:25" x14ac:dyDescent="0.25">
      <c r="A741" t="s">
        <v>2558</v>
      </c>
      <c r="B741" t="str">
        <f t="shared" si="89"/>
        <v>Husna Husein Omary</v>
      </c>
      <c r="C741">
        <v>128729</v>
      </c>
      <c r="D741" t="str">
        <f t="shared" si="88"/>
        <v>Unique</v>
      </c>
      <c r="E741" t="s">
        <v>215</v>
      </c>
      <c r="F741" s="3">
        <f t="shared" si="90"/>
        <v>25</v>
      </c>
      <c r="G741" t="s">
        <v>32</v>
      </c>
      <c r="H741" t="str">
        <f t="shared" si="91"/>
        <v>Valid</v>
      </c>
      <c r="I741" t="s">
        <v>33</v>
      </c>
      <c r="J741" t="str">
        <f t="shared" si="92"/>
        <v>Kigoma Ujiji Mc</v>
      </c>
      <c r="K741" t="s">
        <v>40</v>
      </c>
      <c r="L741" t="str" cm="1">
        <f t="array" ref="L741">_xlfn.IFS(
ISNUMBER(SEARCH("ICU",K741)), "ICU",
ISNUMBER(SEARCH("NEONATAL",K741)), PROPER("NEONATAL"),
ISNUMBER(SEARCH("LABOUR",K741)), PROPER("LABOUR"),
ISNUMBER(SEARCH("PAEDIATRIC",K741)), PROPER("PAEDIATRIC"),
ISNUMBER(SEARCH("FEMALE SURGICAL",K741)), PROPER("FEMALE SURG, ORTHO &amp; GYN"),
ISNUMBER(SEARCH("PSYCHIATRIST",K741)), PROPER("PSYCHIATRIST"),
ISNUMBER(SEARCH("GRADE 1",K741)), PROPER("GRADE 1"),
ISNUMBER(SEARCH("MALE SURGICAL",K741)), PROPER("MALE SURG &amp; ORTHOPEDIC"),
ISNUMBER(SEARCH("MALE MEDICAL",K741)), PROPER("MALE MEDICAL"),
ISNUMBER(SEARCH("GRADE 2",K741)), PROPER("GRADE 2"),
ISNUMBER(SEARCH("FEMALE WARD",K741)), PROPER("FEMALE MEDICAL"),
TRUE, "Unmapped: " &amp; K741)</f>
        <v>Labour</v>
      </c>
      <c r="M741" t="s">
        <v>22</v>
      </c>
      <c r="O741" t="s">
        <v>2559</v>
      </c>
      <c r="P741" t="str">
        <f t="shared" si="93"/>
        <v>Text Error</v>
      </c>
      <c r="Q741" s="5">
        <v>46039.704328703701</v>
      </c>
      <c r="R741" t="str">
        <f t="shared" si="94"/>
        <v>Valid Date</v>
      </c>
      <c r="S741" t="s">
        <v>2560</v>
      </c>
      <c r="T741" s="5">
        <v>46041.675104166665</v>
      </c>
      <c r="U741">
        <v>1</v>
      </c>
      <c r="V741" t="str">
        <f t="shared" si="95"/>
        <v>OK</v>
      </c>
      <c r="W741" t="s">
        <v>25</v>
      </c>
      <c r="Y741" t="s">
        <v>30</v>
      </c>
    </row>
    <row r="742" spans="1:25" x14ac:dyDescent="0.25">
      <c r="A742" t="s">
        <v>2561</v>
      </c>
      <c r="B742" t="str">
        <f t="shared" si="89"/>
        <v>Baby Of Aisha Mohamed Athumani</v>
      </c>
      <c r="C742">
        <v>128730</v>
      </c>
      <c r="D742" t="str">
        <f t="shared" si="88"/>
        <v>Unique</v>
      </c>
      <c r="E742" t="s">
        <v>622</v>
      </c>
      <c r="F742" s="3" t="str">
        <f t="shared" si="90"/>
        <v>2/12</v>
      </c>
      <c r="G742" t="s">
        <v>19</v>
      </c>
      <c r="H742" t="str">
        <f t="shared" si="91"/>
        <v>Valid</v>
      </c>
      <c r="I742" t="s">
        <v>33</v>
      </c>
      <c r="J742" t="str">
        <f t="shared" si="92"/>
        <v>Kigoma Ujiji Mc</v>
      </c>
      <c r="K742" t="s">
        <v>21</v>
      </c>
      <c r="L742" t="str" cm="1">
        <f t="array" ref="L742">_xlfn.IFS(
ISNUMBER(SEARCH("ICU",K742)), "ICU",
ISNUMBER(SEARCH("NEONATAL",K742)), PROPER("NEONATAL"),
ISNUMBER(SEARCH("LABOUR",K742)), PROPER("LABOUR"),
ISNUMBER(SEARCH("PAEDIATRIC",K742)), PROPER("PAEDIATRIC"),
ISNUMBER(SEARCH("FEMALE SURGICAL",K742)), PROPER("FEMALE SURG, ORTHO &amp; GYN"),
ISNUMBER(SEARCH("PSYCHIATRIST",K742)), PROPER("PSYCHIATRIST"),
ISNUMBER(SEARCH("GRADE 1",K742)), PROPER("GRADE 1"),
ISNUMBER(SEARCH("MALE SURGICAL",K742)), PROPER("MALE SURG &amp; ORTHOPEDIC"),
ISNUMBER(SEARCH("MALE MEDICAL",K742)), PROPER("MALE MEDICAL"),
ISNUMBER(SEARCH("GRADE 2",K742)), PROPER("GRADE 2"),
ISNUMBER(SEARCH("FEMALE WARD",K742)), PROPER("FEMALE MEDICAL"),
TRUE, "Unmapped: " &amp; K742)</f>
        <v>Neonatal</v>
      </c>
      <c r="M742" t="s">
        <v>22</v>
      </c>
      <c r="O742" t="s">
        <v>2562</v>
      </c>
      <c r="P742" t="str">
        <f t="shared" si="93"/>
        <v>Text Error</v>
      </c>
      <c r="Q742" s="5">
        <v>46039.750439814816</v>
      </c>
      <c r="R742" t="str">
        <f t="shared" si="94"/>
        <v>Valid Date</v>
      </c>
      <c r="S742" t="s">
        <v>2563</v>
      </c>
      <c r="T742" s="5">
        <v>46041.417442129627</v>
      </c>
      <c r="U742">
        <v>1</v>
      </c>
      <c r="V742" t="str">
        <f t="shared" si="95"/>
        <v>OK</v>
      </c>
      <c r="W742" t="s">
        <v>211</v>
      </c>
      <c r="Y742" t="s">
        <v>30</v>
      </c>
    </row>
    <row r="743" spans="1:25" x14ac:dyDescent="0.25">
      <c r="A743" t="s">
        <v>2564</v>
      </c>
      <c r="B743" t="str">
        <f t="shared" si="89"/>
        <v>Zena Juma Adilema</v>
      </c>
      <c r="C743">
        <v>128014</v>
      </c>
      <c r="D743" t="str">
        <f t="shared" si="88"/>
        <v>Unique</v>
      </c>
      <c r="E743" t="s">
        <v>296</v>
      </c>
      <c r="F743" s="3">
        <f t="shared" si="90"/>
        <v>26</v>
      </c>
      <c r="G743" t="s">
        <v>32</v>
      </c>
      <c r="H743" t="str">
        <f t="shared" si="91"/>
        <v>Valid</v>
      </c>
      <c r="I743" t="s">
        <v>33</v>
      </c>
      <c r="J743" t="str">
        <f t="shared" si="92"/>
        <v>Kigoma Ujiji Mc</v>
      </c>
      <c r="K743" t="s">
        <v>123</v>
      </c>
      <c r="L743" t="str" cm="1">
        <f t="array" ref="L743">_xlfn.IFS(
ISNUMBER(SEARCH("ICU",K743)), "ICU",
ISNUMBER(SEARCH("NEONATAL",K743)), PROPER("NEONATAL"),
ISNUMBER(SEARCH("LABOUR",K743)), PROPER("LABOUR"),
ISNUMBER(SEARCH("PAEDIATRIC",K743)), PROPER("PAEDIATRIC"),
ISNUMBER(SEARCH("FEMALE SURGICAL",K743)), PROPER("FEMALE SURG, ORTHO &amp; GYN"),
ISNUMBER(SEARCH("PSYCHIATRIST",K743)), PROPER("PSYCHIATRIST"),
ISNUMBER(SEARCH("GRADE 1",K743)), PROPER("GRADE 1"),
ISNUMBER(SEARCH("MALE SURGICAL",K743)), PROPER("MALE SURG &amp; ORTHOPEDIC"),
ISNUMBER(SEARCH("MALE MEDICAL",K743)), PROPER("MALE MEDICAL"),
ISNUMBER(SEARCH("GRADE 2",K743)), PROPER("GRADE 2"),
ISNUMBER(SEARCH("FEMALE WARD",K743)), PROPER("FEMALE MEDICAL"),
TRUE, "Unmapped: " &amp; K743)</f>
        <v>Female Surg, Ortho &amp; Gyn</v>
      </c>
      <c r="M743" t="s">
        <v>394</v>
      </c>
      <c r="O743" t="s">
        <v>2565</v>
      </c>
      <c r="P743" t="str">
        <f t="shared" si="93"/>
        <v>Text Error</v>
      </c>
      <c r="Q743" s="5">
        <v>46039.776412037034</v>
      </c>
      <c r="R743" t="str">
        <f t="shared" si="94"/>
        <v>Valid Date</v>
      </c>
      <c r="S743" t="s">
        <v>2566</v>
      </c>
      <c r="T743" s="5">
        <v>46041.718807870369</v>
      </c>
      <c r="U743">
        <v>1</v>
      </c>
      <c r="V743" t="str">
        <f t="shared" si="95"/>
        <v>OK</v>
      </c>
      <c r="W743" t="s">
        <v>25</v>
      </c>
      <c r="Y743" t="s">
        <v>30</v>
      </c>
    </row>
    <row r="744" spans="1:25" x14ac:dyDescent="0.25">
      <c r="A744" t="s">
        <v>2567</v>
      </c>
      <c r="B744" t="str">
        <f t="shared" si="89"/>
        <v>Frederick K Fufu</v>
      </c>
      <c r="C744">
        <v>52230</v>
      </c>
      <c r="D744" t="str">
        <f t="shared" si="88"/>
        <v>Unique</v>
      </c>
      <c r="E744" t="s">
        <v>922</v>
      </c>
      <c r="F744" s="3">
        <f t="shared" si="90"/>
        <v>65</v>
      </c>
      <c r="G744" t="s">
        <v>19</v>
      </c>
      <c r="H744" t="str">
        <f t="shared" si="91"/>
        <v>Valid</v>
      </c>
      <c r="I744" t="s">
        <v>227</v>
      </c>
      <c r="J744" t="str">
        <f t="shared" si="92"/>
        <v>KGG</v>
      </c>
      <c r="K744" t="s">
        <v>685</v>
      </c>
      <c r="L744" t="str" cm="1">
        <f t="array" ref="L744">_xlfn.IFS(
ISNUMBER(SEARCH("ICU",K744)), "ICU",
ISNUMBER(SEARCH("NEONATAL",K744)), PROPER("NEONATAL"),
ISNUMBER(SEARCH("LABOUR",K744)), PROPER("LABOUR"),
ISNUMBER(SEARCH("PAEDIATRIC",K744)), PROPER("PAEDIATRIC"),
ISNUMBER(SEARCH("FEMALE SURGICAL",K744)), PROPER("FEMALE SURG, ORTHO &amp; GYN"),
ISNUMBER(SEARCH("PSYCHIATRIST",K744)), PROPER("PSYCHIATRIST"),
ISNUMBER(SEARCH("GRADE 1",K744)), PROPER("GRADE 1"),
ISNUMBER(SEARCH("MALE SURGICAL",K744)), PROPER("MALE SURG &amp; ORTHOPEDIC"),
ISNUMBER(SEARCH("MALE MEDICAL",K744)), PROPER("MALE MEDICAL"),
ISNUMBER(SEARCH("GRADE 2",K744)), PROPER("GRADE 2"),
ISNUMBER(SEARCH("FEMALE WARD",K744)), PROPER("FEMALE MEDICAL"),
TRUE, "Unmapped: " &amp; K744)</f>
        <v>Grade 2</v>
      </c>
      <c r="M744" t="s">
        <v>394</v>
      </c>
      <c r="O744" t="s">
        <v>2568</v>
      </c>
      <c r="P744" t="str">
        <f t="shared" si="93"/>
        <v>Text Error</v>
      </c>
      <c r="Q744" s="5">
        <v>46039.779629629629</v>
      </c>
      <c r="R744" t="str">
        <f t="shared" si="94"/>
        <v>Valid Date</v>
      </c>
      <c r="S744" t="s">
        <v>2569</v>
      </c>
      <c r="T744" s="5">
        <v>46041.665069444447</v>
      </c>
      <c r="U744">
        <v>1</v>
      </c>
      <c r="V744" t="str">
        <f t="shared" si="95"/>
        <v>OK</v>
      </c>
      <c r="W744" t="s">
        <v>25</v>
      </c>
      <c r="Y744" t="s">
        <v>30</v>
      </c>
    </row>
    <row r="745" spans="1:25" x14ac:dyDescent="0.25">
      <c r="A745" t="s">
        <v>2570</v>
      </c>
      <c r="B745" t="str">
        <f t="shared" si="89"/>
        <v>Mwasiti Makonga Idd</v>
      </c>
      <c r="C745">
        <v>128708</v>
      </c>
      <c r="D745" t="str">
        <f t="shared" si="88"/>
        <v>Unique</v>
      </c>
      <c r="E745" t="s">
        <v>1041</v>
      </c>
      <c r="F745" s="3">
        <f t="shared" si="90"/>
        <v>57</v>
      </c>
      <c r="G745" t="s">
        <v>19</v>
      </c>
      <c r="H745" t="str">
        <f t="shared" si="91"/>
        <v>Valid</v>
      </c>
      <c r="I745" t="s">
        <v>33</v>
      </c>
      <c r="J745" t="str">
        <f t="shared" si="92"/>
        <v>Kigoma Ujiji Mc</v>
      </c>
      <c r="K745" t="s">
        <v>685</v>
      </c>
      <c r="L745" t="str" cm="1">
        <f t="array" ref="L745">_xlfn.IFS(
ISNUMBER(SEARCH("ICU",K745)), "ICU",
ISNUMBER(SEARCH("NEONATAL",K745)), PROPER("NEONATAL"),
ISNUMBER(SEARCH("LABOUR",K745)), PROPER("LABOUR"),
ISNUMBER(SEARCH("PAEDIATRIC",K745)), PROPER("PAEDIATRIC"),
ISNUMBER(SEARCH("FEMALE SURGICAL",K745)), PROPER("FEMALE SURG, ORTHO &amp; GYN"),
ISNUMBER(SEARCH("PSYCHIATRIST",K745)), PROPER("PSYCHIATRIST"),
ISNUMBER(SEARCH("GRADE 1",K745)), PROPER("GRADE 1"),
ISNUMBER(SEARCH("MALE SURGICAL",K745)), PROPER("MALE SURG &amp; ORTHOPEDIC"),
ISNUMBER(SEARCH("MALE MEDICAL",K745)), PROPER("MALE MEDICAL"),
ISNUMBER(SEARCH("GRADE 2",K745)), PROPER("GRADE 2"),
ISNUMBER(SEARCH("FEMALE WARD",K745)), PROPER("FEMALE MEDICAL"),
TRUE, "Unmapped: " &amp; K745)</f>
        <v>Grade 2</v>
      </c>
      <c r="M745" t="s">
        <v>22</v>
      </c>
      <c r="O745" t="s">
        <v>2571</v>
      </c>
      <c r="P745" t="str">
        <f t="shared" si="93"/>
        <v>Text Error</v>
      </c>
      <c r="Q745" s="5">
        <v>46039.835370370369</v>
      </c>
      <c r="R745" t="str">
        <f t="shared" si="94"/>
        <v>Valid Date</v>
      </c>
      <c r="S745" t="s">
        <v>2572</v>
      </c>
      <c r="T745" s="5">
        <v>46041.733344907407</v>
      </c>
      <c r="U745">
        <v>1</v>
      </c>
      <c r="V745" t="str">
        <f t="shared" si="95"/>
        <v>OK</v>
      </c>
      <c r="W745" t="s">
        <v>25</v>
      </c>
      <c r="Y745" t="s">
        <v>30</v>
      </c>
    </row>
    <row r="746" spans="1:25" x14ac:dyDescent="0.25">
      <c r="A746" t="s">
        <v>2573</v>
      </c>
      <c r="B746" t="str">
        <f t="shared" si="89"/>
        <v>Baby Of Shamsa Issa Galula</v>
      </c>
      <c r="C746">
        <v>128745</v>
      </c>
      <c r="D746" t="str">
        <f t="shared" si="88"/>
        <v>Unique</v>
      </c>
      <c r="E746" t="s">
        <v>622</v>
      </c>
      <c r="F746" s="3" t="str">
        <f t="shared" si="90"/>
        <v>2/12</v>
      </c>
      <c r="G746" t="s">
        <v>32</v>
      </c>
      <c r="H746" t="str">
        <f t="shared" si="91"/>
        <v>Valid</v>
      </c>
      <c r="I746" t="s">
        <v>33</v>
      </c>
      <c r="J746" t="str">
        <f t="shared" si="92"/>
        <v>Kigoma Ujiji Mc</v>
      </c>
      <c r="K746" t="s">
        <v>21</v>
      </c>
      <c r="L746" t="str" cm="1">
        <f t="array" ref="L746">_xlfn.IFS(
ISNUMBER(SEARCH("ICU",K746)), "ICU",
ISNUMBER(SEARCH("NEONATAL",K746)), PROPER("NEONATAL"),
ISNUMBER(SEARCH("LABOUR",K746)), PROPER("LABOUR"),
ISNUMBER(SEARCH("PAEDIATRIC",K746)), PROPER("PAEDIATRIC"),
ISNUMBER(SEARCH("FEMALE SURGICAL",K746)), PROPER("FEMALE SURG, ORTHO &amp; GYN"),
ISNUMBER(SEARCH("PSYCHIATRIST",K746)), PROPER("PSYCHIATRIST"),
ISNUMBER(SEARCH("GRADE 1",K746)), PROPER("GRADE 1"),
ISNUMBER(SEARCH("MALE SURGICAL",K746)), PROPER("MALE SURG &amp; ORTHOPEDIC"),
ISNUMBER(SEARCH("MALE MEDICAL",K746)), PROPER("MALE MEDICAL"),
ISNUMBER(SEARCH("GRADE 2",K746)), PROPER("GRADE 2"),
ISNUMBER(SEARCH("FEMALE WARD",K746)), PROPER("FEMALE MEDICAL"),
TRUE, "Unmapped: " &amp; K746)</f>
        <v>Neonatal</v>
      </c>
      <c r="M746" t="s">
        <v>22</v>
      </c>
      <c r="O746" t="s">
        <v>2574</v>
      </c>
      <c r="P746" t="str">
        <f t="shared" si="93"/>
        <v>Text Error</v>
      </c>
      <c r="Q746" s="5">
        <v>46040.38690972222</v>
      </c>
      <c r="R746" t="str">
        <f t="shared" si="94"/>
        <v>Valid Date</v>
      </c>
      <c r="S746" t="s">
        <v>2575</v>
      </c>
      <c r="T746" s="5">
        <v>46041.607037037036</v>
      </c>
      <c r="U746">
        <v>1</v>
      </c>
      <c r="V746" t="str">
        <f t="shared" si="95"/>
        <v>OK</v>
      </c>
      <c r="W746" t="s">
        <v>25</v>
      </c>
      <c r="Y746" t="s">
        <v>30</v>
      </c>
    </row>
    <row r="747" spans="1:25" x14ac:dyDescent="0.25">
      <c r="A747" t="s">
        <v>2576</v>
      </c>
      <c r="B747" t="str">
        <f t="shared" si="89"/>
        <v>Azati Karim Abdallah</v>
      </c>
      <c r="C747">
        <v>15037</v>
      </c>
      <c r="D747" t="str">
        <f t="shared" si="88"/>
        <v>Unique</v>
      </c>
      <c r="E747" t="s">
        <v>188</v>
      </c>
      <c r="F747" s="3">
        <f t="shared" si="90"/>
        <v>28</v>
      </c>
      <c r="G747" t="s">
        <v>32</v>
      </c>
      <c r="H747" t="str">
        <f t="shared" si="91"/>
        <v>Valid</v>
      </c>
      <c r="I747" t="s">
        <v>754</v>
      </c>
      <c r="J747" t="str">
        <f t="shared" si="92"/>
        <v>KG</v>
      </c>
      <c r="K747" t="s">
        <v>40</v>
      </c>
      <c r="L747" t="str" cm="1">
        <f t="array" ref="L747">_xlfn.IFS(
ISNUMBER(SEARCH("ICU",K747)), "ICU",
ISNUMBER(SEARCH("NEONATAL",K747)), PROPER("NEONATAL"),
ISNUMBER(SEARCH("LABOUR",K747)), PROPER("LABOUR"),
ISNUMBER(SEARCH("PAEDIATRIC",K747)), PROPER("PAEDIATRIC"),
ISNUMBER(SEARCH("FEMALE SURGICAL",K747)), PROPER("FEMALE SURG, ORTHO &amp; GYN"),
ISNUMBER(SEARCH("PSYCHIATRIST",K747)), PROPER("PSYCHIATRIST"),
ISNUMBER(SEARCH("GRADE 1",K747)), PROPER("GRADE 1"),
ISNUMBER(SEARCH("MALE SURGICAL",K747)), PROPER("MALE SURG &amp; ORTHOPEDIC"),
ISNUMBER(SEARCH("MALE MEDICAL",K747)), PROPER("MALE MEDICAL"),
ISNUMBER(SEARCH("GRADE 2",K747)), PROPER("GRADE 2"),
ISNUMBER(SEARCH("FEMALE WARD",K747)), PROPER("FEMALE MEDICAL"),
TRUE, "Unmapped: " &amp; K747)</f>
        <v>Labour</v>
      </c>
      <c r="M747" t="s">
        <v>22</v>
      </c>
      <c r="O747" t="s">
        <v>2577</v>
      </c>
      <c r="P747" t="str">
        <f t="shared" si="93"/>
        <v>Text Error</v>
      </c>
      <c r="Q747" s="5">
        <v>46040.429872685185</v>
      </c>
      <c r="R747" t="str">
        <f t="shared" si="94"/>
        <v>Valid Date</v>
      </c>
      <c r="S747" t="s">
        <v>2578</v>
      </c>
      <c r="T747" s="5">
        <v>46041.692071759258</v>
      </c>
      <c r="U747">
        <v>1</v>
      </c>
      <c r="V747" t="str">
        <f t="shared" si="95"/>
        <v>OK</v>
      </c>
      <c r="W747" t="s">
        <v>25</v>
      </c>
      <c r="Y747" t="s">
        <v>30</v>
      </c>
    </row>
    <row r="748" spans="1:25" x14ac:dyDescent="0.25">
      <c r="A748" t="s">
        <v>2579</v>
      </c>
      <c r="B748" t="str">
        <f t="shared" si="89"/>
        <v>Mgisha M Swagara</v>
      </c>
      <c r="C748">
        <v>39641</v>
      </c>
      <c r="D748" t="str">
        <f t="shared" si="88"/>
        <v>Duplicate</v>
      </c>
      <c r="E748" t="s">
        <v>175</v>
      </c>
      <c r="F748" s="3">
        <f t="shared" si="90"/>
        <v>8</v>
      </c>
      <c r="G748" t="s">
        <v>19</v>
      </c>
      <c r="H748" t="str">
        <f t="shared" si="91"/>
        <v>Valid</v>
      </c>
      <c r="I748" t="s">
        <v>227</v>
      </c>
      <c r="J748" t="str">
        <f t="shared" si="92"/>
        <v>KGG</v>
      </c>
      <c r="K748" t="s">
        <v>109</v>
      </c>
      <c r="L748" t="str" cm="1">
        <f t="array" ref="L748">_xlfn.IFS(
ISNUMBER(SEARCH("ICU",K748)), "ICU",
ISNUMBER(SEARCH("NEONATAL",K748)), PROPER("NEONATAL"),
ISNUMBER(SEARCH("LABOUR",K748)), PROPER("LABOUR"),
ISNUMBER(SEARCH("PAEDIATRIC",K748)), PROPER("PAEDIATRIC"),
ISNUMBER(SEARCH("FEMALE SURGICAL",K748)), PROPER("FEMALE SURG, ORTHO &amp; GYN"),
ISNUMBER(SEARCH("PSYCHIATRIST",K748)), PROPER("PSYCHIATRIST"),
ISNUMBER(SEARCH("GRADE 1",K748)), PROPER("GRADE 1"),
ISNUMBER(SEARCH("MALE SURGICAL",K748)), PROPER("MALE SURG &amp; ORTHOPEDIC"),
ISNUMBER(SEARCH("MALE MEDICAL",K748)), PROPER("MALE MEDICAL"),
ISNUMBER(SEARCH("GRADE 2",K748)), PROPER("GRADE 2"),
ISNUMBER(SEARCH("FEMALE WARD",K748)), PROPER("FEMALE MEDICAL"),
TRUE, "Unmapped: " &amp; K748)</f>
        <v>Paediatric</v>
      </c>
      <c r="M748" t="s">
        <v>394</v>
      </c>
      <c r="O748" t="s">
        <v>2580</v>
      </c>
      <c r="P748" t="str">
        <f t="shared" si="93"/>
        <v>Text Error</v>
      </c>
      <c r="Q748" s="5">
        <v>46040.836423611108</v>
      </c>
      <c r="R748" t="str">
        <f t="shared" si="94"/>
        <v>Valid Date</v>
      </c>
      <c r="S748" t="s">
        <v>2581</v>
      </c>
      <c r="T748" s="5">
        <v>46042.615960648145</v>
      </c>
      <c r="U748">
        <v>1</v>
      </c>
      <c r="V748" t="str">
        <f t="shared" si="95"/>
        <v>OK</v>
      </c>
      <c r="W748" t="s">
        <v>25</v>
      </c>
      <c r="Y748" t="s">
        <v>30</v>
      </c>
    </row>
    <row r="749" spans="1:25" x14ac:dyDescent="0.25">
      <c r="A749" t="s">
        <v>2582</v>
      </c>
      <c r="B749" t="str">
        <f t="shared" si="89"/>
        <v>Baby Of Ester Jeremia Malewa</v>
      </c>
      <c r="C749">
        <v>128787</v>
      </c>
      <c r="D749" t="str">
        <f t="shared" si="88"/>
        <v>Unique</v>
      </c>
      <c r="E749" t="s">
        <v>622</v>
      </c>
      <c r="F749" s="3" t="str">
        <f t="shared" si="90"/>
        <v>2/12</v>
      </c>
      <c r="G749" t="s">
        <v>32</v>
      </c>
      <c r="H749" t="str">
        <f t="shared" si="91"/>
        <v>Valid</v>
      </c>
      <c r="I749" t="s">
        <v>20</v>
      </c>
      <c r="J749" t="str">
        <f t="shared" si="92"/>
        <v>Uvinza</v>
      </c>
      <c r="K749" t="s">
        <v>21</v>
      </c>
      <c r="L749" t="str" cm="1">
        <f t="array" ref="L749">_xlfn.IFS(
ISNUMBER(SEARCH("ICU",K749)), "ICU",
ISNUMBER(SEARCH("NEONATAL",K749)), PROPER("NEONATAL"),
ISNUMBER(SEARCH("LABOUR",K749)), PROPER("LABOUR"),
ISNUMBER(SEARCH("PAEDIATRIC",K749)), PROPER("PAEDIATRIC"),
ISNUMBER(SEARCH("FEMALE SURGICAL",K749)), PROPER("FEMALE SURG, ORTHO &amp; GYN"),
ISNUMBER(SEARCH("PSYCHIATRIST",K749)), PROPER("PSYCHIATRIST"),
ISNUMBER(SEARCH("GRADE 1",K749)), PROPER("GRADE 1"),
ISNUMBER(SEARCH("MALE SURGICAL",K749)), PROPER("MALE SURG &amp; ORTHOPEDIC"),
ISNUMBER(SEARCH("MALE MEDICAL",K749)), PROPER("MALE MEDICAL"),
ISNUMBER(SEARCH("GRADE 2",K749)), PROPER("GRADE 2"),
ISNUMBER(SEARCH("FEMALE WARD",K749)), PROPER("FEMALE MEDICAL"),
TRUE, "Unmapped: " &amp; K749)</f>
        <v>Neonatal</v>
      </c>
      <c r="M749" t="s">
        <v>22</v>
      </c>
      <c r="O749" t="s">
        <v>2583</v>
      </c>
      <c r="P749" t="str">
        <f t="shared" si="93"/>
        <v>Text Error</v>
      </c>
      <c r="Q749" s="5">
        <v>46040.902824074074</v>
      </c>
      <c r="R749" t="str">
        <f t="shared" si="94"/>
        <v>Valid Date</v>
      </c>
      <c r="S749" t="s">
        <v>2584</v>
      </c>
      <c r="T749" s="5">
        <v>46042.353252314817</v>
      </c>
      <c r="U749">
        <v>1</v>
      </c>
      <c r="V749" t="str">
        <f t="shared" si="95"/>
        <v>OK</v>
      </c>
      <c r="W749" t="s">
        <v>211</v>
      </c>
      <c r="Y749" t="s">
        <v>30</v>
      </c>
    </row>
    <row r="750" spans="1:25" x14ac:dyDescent="0.25">
      <c r="A750" t="s">
        <v>2585</v>
      </c>
      <c r="B750" t="str">
        <f t="shared" si="89"/>
        <v>Pelagia Doniniko Goloba</v>
      </c>
      <c r="C750">
        <v>128793</v>
      </c>
      <c r="D750" t="str">
        <f t="shared" si="88"/>
        <v>Unique</v>
      </c>
      <c r="E750" t="s">
        <v>296</v>
      </c>
      <c r="F750" s="3">
        <f t="shared" si="90"/>
        <v>26</v>
      </c>
      <c r="G750" t="s">
        <v>32</v>
      </c>
      <c r="H750" t="str">
        <f t="shared" si="91"/>
        <v>Valid</v>
      </c>
      <c r="I750" t="s">
        <v>33</v>
      </c>
      <c r="J750" t="str">
        <f t="shared" si="92"/>
        <v>Kigoma Ujiji Mc</v>
      </c>
      <c r="K750" t="s">
        <v>40</v>
      </c>
      <c r="L750" t="str" cm="1">
        <f t="array" ref="L750">_xlfn.IFS(
ISNUMBER(SEARCH("ICU",K750)), "ICU",
ISNUMBER(SEARCH("NEONATAL",K750)), PROPER("NEONATAL"),
ISNUMBER(SEARCH("LABOUR",K750)), PROPER("LABOUR"),
ISNUMBER(SEARCH("PAEDIATRIC",K750)), PROPER("PAEDIATRIC"),
ISNUMBER(SEARCH("FEMALE SURGICAL",K750)), PROPER("FEMALE SURG, ORTHO &amp; GYN"),
ISNUMBER(SEARCH("PSYCHIATRIST",K750)), PROPER("PSYCHIATRIST"),
ISNUMBER(SEARCH("GRADE 1",K750)), PROPER("GRADE 1"),
ISNUMBER(SEARCH("MALE SURGICAL",K750)), PROPER("MALE SURG &amp; ORTHOPEDIC"),
ISNUMBER(SEARCH("MALE MEDICAL",K750)), PROPER("MALE MEDICAL"),
ISNUMBER(SEARCH("GRADE 2",K750)), PROPER("GRADE 2"),
ISNUMBER(SEARCH("FEMALE WARD",K750)), PROPER("FEMALE MEDICAL"),
TRUE, "Unmapped: " &amp; K750)</f>
        <v>Labour</v>
      </c>
      <c r="M750" t="s">
        <v>22</v>
      </c>
      <c r="O750" t="s">
        <v>2586</v>
      </c>
      <c r="P750" t="str">
        <f t="shared" si="93"/>
        <v>Text Error</v>
      </c>
      <c r="Q750" s="5">
        <v>46041.069004629629</v>
      </c>
      <c r="R750" t="str">
        <f t="shared" si="94"/>
        <v>Valid Date</v>
      </c>
      <c r="S750" t="s">
        <v>2587</v>
      </c>
      <c r="T750" s="5">
        <v>46042.663981481484</v>
      </c>
      <c r="U750">
        <v>1</v>
      </c>
      <c r="V750" t="str">
        <f t="shared" si="95"/>
        <v>OK</v>
      </c>
      <c r="W750" t="s">
        <v>25</v>
      </c>
      <c r="Y750" t="s">
        <v>30</v>
      </c>
    </row>
    <row r="751" spans="1:25" x14ac:dyDescent="0.25">
      <c r="A751" t="s">
        <v>2588</v>
      </c>
      <c r="B751" t="str">
        <f t="shared" si="89"/>
        <v>Yussuph K Milimo</v>
      </c>
      <c r="C751">
        <v>61937</v>
      </c>
      <c r="D751" t="str">
        <f t="shared" si="88"/>
        <v>Unique</v>
      </c>
      <c r="E751" t="s">
        <v>863</v>
      </c>
      <c r="F751" s="3">
        <f t="shared" si="90"/>
        <v>77</v>
      </c>
      <c r="G751" t="s">
        <v>19</v>
      </c>
      <c r="H751" t="str">
        <f t="shared" si="91"/>
        <v>Valid</v>
      </c>
      <c r="I751" t="s">
        <v>2589</v>
      </c>
      <c r="J751" t="str">
        <f t="shared" si="92"/>
        <v>Buhigwe</v>
      </c>
      <c r="K751" t="s">
        <v>428</v>
      </c>
      <c r="L751" t="str" cm="1">
        <f t="array" ref="L751">_xlfn.IFS(
ISNUMBER(SEARCH("ICU",K751)), "ICU",
ISNUMBER(SEARCH("NEONATAL",K751)), PROPER("NEONATAL"),
ISNUMBER(SEARCH("LABOUR",K751)), PROPER("LABOUR"),
ISNUMBER(SEARCH("PAEDIATRIC",K751)), PROPER("PAEDIATRIC"),
ISNUMBER(SEARCH("FEMALE SURGICAL",K751)), PROPER("FEMALE SURG, ORTHO &amp; GYN"),
ISNUMBER(SEARCH("PSYCHIATRIST",K751)), PROPER("PSYCHIATRIST"),
ISNUMBER(SEARCH("GRADE 1",K751)), PROPER("GRADE 1"),
ISNUMBER(SEARCH("MALE SURGICAL",K751)), PROPER("MALE SURG &amp; ORTHOPEDIC"),
ISNUMBER(SEARCH("MALE MEDICAL",K751)), PROPER("MALE MEDICAL"),
ISNUMBER(SEARCH("GRADE 2",K751)), PROPER("GRADE 2"),
ISNUMBER(SEARCH("FEMALE WARD",K751)), PROPER("FEMALE MEDICAL"),
TRUE, "Unmapped: " &amp; K751)</f>
        <v>Male Surg &amp; Orthopedic</v>
      </c>
      <c r="M751" t="s">
        <v>394</v>
      </c>
      <c r="O751" t="s">
        <v>2590</v>
      </c>
      <c r="P751" t="str">
        <f t="shared" si="93"/>
        <v>Text Error</v>
      </c>
      <c r="Q751" s="5">
        <v>46041.556226851855</v>
      </c>
      <c r="R751" t="str">
        <f t="shared" si="94"/>
        <v>Valid Date</v>
      </c>
      <c r="S751" t="s">
        <v>2591</v>
      </c>
      <c r="T751" s="5">
        <v>46043.499560185184</v>
      </c>
      <c r="U751">
        <v>1</v>
      </c>
      <c r="V751" t="str">
        <f t="shared" si="95"/>
        <v>OK</v>
      </c>
      <c r="W751" t="s">
        <v>25</v>
      </c>
      <c r="Y751" t="s">
        <v>30</v>
      </c>
    </row>
    <row r="752" spans="1:25" x14ac:dyDescent="0.25">
      <c r="A752" t="s">
        <v>1666</v>
      </c>
      <c r="B752" t="str">
        <f t="shared" si="89"/>
        <v>Kabisu Amani Shaban</v>
      </c>
      <c r="C752">
        <v>30963</v>
      </c>
      <c r="D752" t="str">
        <f t="shared" si="88"/>
        <v>Duplicate</v>
      </c>
      <c r="E752" t="s">
        <v>147</v>
      </c>
      <c r="F752" s="3">
        <f t="shared" si="90"/>
        <v>30</v>
      </c>
      <c r="G752" t="s">
        <v>32</v>
      </c>
      <c r="H752" t="str">
        <f t="shared" si="91"/>
        <v>Valid</v>
      </c>
      <c r="I752" t="s">
        <v>33</v>
      </c>
      <c r="J752" t="str">
        <f t="shared" si="92"/>
        <v>Kigoma Ujiji Mc</v>
      </c>
      <c r="K752" t="s">
        <v>40</v>
      </c>
      <c r="L752" t="str" cm="1">
        <f t="array" ref="L752">_xlfn.IFS(
ISNUMBER(SEARCH("ICU",K752)), "ICU",
ISNUMBER(SEARCH("NEONATAL",K752)), PROPER("NEONATAL"),
ISNUMBER(SEARCH("LABOUR",K752)), PROPER("LABOUR"),
ISNUMBER(SEARCH("PAEDIATRIC",K752)), PROPER("PAEDIATRIC"),
ISNUMBER(SEARCH("FEMALE SURGICAL",K752)), PROPER("FEMALE SURG, ORTHO &amp; GYN"),
ISNUMBER(SEARCH("PSYCHIATRIST",K752)), PROPER("PSYCHIATRIST"),
ISNUMBER(SEARCH("GRADE 1",K752)), PROPER("GRADE 1"),
ISNUMBER(SEARCH("MALE SURGICAL",K752)), PROPER("MALE SURG &amp; ORTHOPEDIC"),
ISNUMBER(SEARCH("MALE MEDICAL",K752)), PROPER("MALE MEDICAL"),
ISNUMBER(SEARCH("GRADE 2",K752)), PROPER("GRADE 2"),
ISNUMBER(SEARCH("FEMALE WARD",K752)), PROPER("FEMALE MEDICAL"),
TRUE, "Unmapped: " &amp; K752)</f>
        <v>Labour</v>
      </c>
      <c r="M752" t="s">
        <v>701</v>
      </c>
      <c r="O752" t="s">
        <v>2593</v>
      </c>
      <c r="P752" t="str">
        <f t="shared" si="93"/>
        <v>Text Error</v>
      </c>
      <c r="Q752" s="5">
        <v>46041.599143518521</v>
      </c>
      <c r="R752" t="str">
        <f t="shared" si="94"/>
        <v>Valid Date</v>
      </c>
      <c r="S752" t="s">
        <v>2594</v>
      </c>
      <c r="T752" s="5">
        <v>46042.611851851849</v>
      </c>
      <c r="U752">
        <v>1</v>
      </c>
      <c r="V752" t="str">
        <f t="shared" si="95"/>
        <v>OK</v>
      </c>
      <c r="W752" t="s">
        <v>25</v>
      </c>
      <c r="Y752" t="s">
        <v>30</v>
      </c>
    </row>
    <row r="753" spans="1:25" x14ac:dyDescent="0.25">
      <c r="A753" t="s">
        <v>2595</v>
      </c>
      <c r="B753" t="str">
        <f t="shared" si="89"/>
        <v>Paulbiden Keiphace Paul</v>
      </c>
      <c r="C753">
        <v>5148</v>
      </c>
      <c r="D753" t="str">
        <f t="shared" si="88"/>
        <v>Unique</v>
      </c>
      <c r="E753" t="s">
        <v>413</v>
      </c>
      <c r="F753" s="3">
        <f t="shared" si="90"/>
        <v>10</v>
      </c>
      <c r="G753" t="s">
        <v>19</v>
      </c>
      <c r="H753" t="str">
        <f t="shared" si="91"/>
        <v>Valid</v>
      </c>
      <c r="I753" t="s">
        <v>33</v>
      </c>
      <c r="J753" t="str">
        <f t="shared" si="92"/>
        <v>Kigoma Ujiji Mc</v>
      </c>
      <c r="K753" t="s">
        <v>393</v>
      </c>
      <c r="L753" t="str" cm="1">
        <f t="array" ref="L753">_xlfn.IFS(
ISNUMBER(SEARCH("ICU",K753)), "ICU",
ISNUMBER(SEARCH("NEONATAL",K753)), PROPER("NEONATAL"),
ISNUMBER(SEARCH("LABOUR",K753)), PROPER("LABOUR"),
ISNUMBER(SEARCH("PAEDIATRIC",K753)), PROPER("PAEDIATRIC"),
ISNUMBER(SEARCH("FEMALE SURGICAL",K753)), PROPER("FEMALE SURG, ORTHO &amp; GYN"),
ISNUMBER(SEARCH("PSYCHIATRIST",K753)), PROPER("PSYCHIATRIST"),
ISNUMBER(SEARCH("GRADE 1",K753)), PROPER("GRADE 1"),
ISNUMBER(SEARCH("MALE SURGICAL",K753)), PROPER("MALE SURG &amp; ORTHOPEDIC"),
ISNUMBER(SEARCH("MALE MEDICAL",K753)), PROPER("MALE MEDICAL"),
ISNUMBER(SEARCH("GRADE 2",K753)), PROPER("GRADE 2"),
ISNUMBER(SEARCH("FEMALE WARD",K753)), PROPER("FEMALE MEDICAL"),
TRUE, "Unmapped: " &amp; K753)</f>
        <v>Grade 1</v>
      </c>
      <c r="M753" t="s">
        <v>394</v>
      </c>
      <c r="O753" t="s">
        <v>2596</v>
      </c>
      <c r="P753" t="str">
        <f t="shared" si="93"/>
        <v>Text Error</v>
      </c>
      <c r="Q753" s="5">
        <v>46041.710104166668</v>
      </c>
      <c r="R753" t="str">
        <f t="shared" si="94"/>
        <v>Valid Date</v>
      </c>
      <c r="S753" t="s">
        <v>2597</v>
      </c>
      <c r="T753" s="5">
        <v>46043.577280092592</v>
      </c>
      <c r="U753">
        <v>1</v>
      </c>
      <c r="V753" t="str">
        <f t="shared" si="95"/>
        <v>OK</v>
      </c>
      <c r="W753" t="s">
        <v>25</v>
      </c>
      <c r="Y753" t="s">
        <v>30</v>
      </c>
    </row>
    <row r="754" spans="1:25" x14ac:dyDescent="0.25">
      <c r="A754" t="s">
        <v>2598</v>
      </c>
      <c r="B754" t="str">
        <f t="shared" si="89"/>
        <v>Amina Abdallah Selemani</v>
      </c>
      <c r="C754">
        <v>125694</v>
      </c>
      <c r="D754" t="str">
        <f t="shared" si="88"/>
        <v>Unique</v>
      </c>
      <c r="E754" t="s">
        <v>68</v>
      </c>
      <c r="F754" s="3">
        <f t="shared" si="90"/>
        <v>32</v>
      </c>
      <c r="G754" t="s">
        <v>32</v>
      </c>
      <c r="H754" t="str">
        <f t="shared" si="91"/>
        <v>Valid</v>
      </c>
      <c r="I754" t="s">
        <v>33</v>
      </c>
      <c r="J754" t="str">
        <f t="shared" si="92"/>
        <v>Kigoma Ujiji Mc</v>
      </c>
      <c r="K754" t="s">
        <v>123</v>
      </c>
      <c r="L754" t="str" cm="1">
        <f t="array" ref="L754">_xlfn.IFS(
ISNUMBER(SEARCH("ICU",K754)), "ICU",
ISNUMBER(SEARCH("NEONATAL",K754)), PROPER("NEONATAL"),
ISNUMBER(SEARCH("LABOUR",K754)), PROPER("LABOUR"),
ISNUMBER(SEARCH("PAEDIATRIC",K754)), PROPER("PAEDIATRIC"),
ISNUMBER(SEARCH("FEMALE SURGICAL",K754)), PROPER("FEMALE SURG, ORTHO &amp; GYN"),
ISNUMBER(SEARCH("PSYCHIATRIST",K754)), PROPER("PSYCHIATRIST"),
ISNUMBER(SEARCH("GRADE 1",K754)), PROPER("GRADE 1"),
ISNUMBER(SEARCH("MALE SURGICAL",K754)), PROPER("MALE SURG &amp; ORTHOPEDIC"),
ISNUMBER(SEARCH("MALE MEDICAL",K754)), PROPER("MALE MEDICAL"),
ISNUMBER(SEARCH("GRADE 2",K754)), PROPER("GRADE 2"),
ISNUMBER(SEARCH("FEMALE WARD",K754)), PROPER("FEMALE MEDICAL"),
TRUE, "Unmapped: " &amp; K754)</f>
        <v>Female Surg, Ortho &amp; Gyn</v>
      </c>
      <c r="M754" t="s">
        <v>22</v>
      </c>
      <c r="O754" t="s">
        <v>2599</v>
      </c>
      <c r="P754" t="str">
        <f t="shared" si="93"/>
        <v>Text Error</v>
      </c>
      <c r="Q754" s="5">
        <v>46041.913263888891</v>
      </c>
      <c r="R754" t="str">
        <f t="shared" si="94"/>
        <v>Valid Date</v>
      </c>
      <c r="S754" t="s">
        <v>2600</v>
      </c>
      <c r="T754" s="5">
        <v>46043.638680555552</v>
      </c>
      <c r="U754">
        <v>1</v>
      </c>
      <c r="V754" t="str">
        <f t="shared" si="95"/>
        <v>OK</v>
      </c>
      <c r="W754" t="s">
        <v>25</v>
      </c>
      <c r="Y754" t="s">
        <v>30</v>
      </c>
    </row>
    <row r="755" spans="1:25" x14ac:dyDescent="0.25">
      <c r="A755" t="s">
        <v>2601</v>
      </c>
      <c r="B755" t="str">
        <f t="shared" si="89"/>
        <v>Mwanaharus Hussein Mahamudu</v>
      </c>
      <c r="C755">
        <v>109405</v>
      </c>
      <c r="D755" t="str">
        <f t="shared" si="88"/>
        <v>Unique</v>
      </c>
      <c r="E755" t="s">
        <v>147</v>
      </c>
      <c r="F755" s="3">
        <f t="shared" si="90"/>
        <v>30</v>
      </c>
      <c r="G755" t="s">
        <v>32</v>
      </c>
      <c r="H755" t="str">
        <f t="shared" si="91"/>
        <v>Valid</v>
      </c>
      <c r="I755" t="s">
        <v>33</v>
      </c>
      <c r="J755" t="str">
        <f t="shared" si="92"/>
        <v>Kigoma Ujiji Mc</v>
      </c>
      <c r="K755" t="s">
        <v>40</v>
      </c>
      <c r="L755" t="str" cm="1">
        <f t="array" ref="L755">_xlfn.IFS(
ISNUMBER(SEARCH("ICU",K755)), "ICU",
ISNUMBER(SEARCH("NEONATAL",K755)), PROPER("NEONATAL"),
ISNUMBER(SEARCH("LABOUR",K755)), PROPER("LABOUR"),
ISNUMBER(SEARCH("PAEDIATRIC",K755)), PROPER("PAEDIATRIC"),
ISNUMBER(SEARCH("FEMALE SURGICAL",K755)), PROPER("FEMALE SURG, ORTHO &amp; GYN"),
ISNUMBER(SEARCH("PSYCHIATRIST",K755)), PROPER("PSYCHIATRIST"),
ISNUMBER(SEARCH("GRADE 1",K755)), PROPER("GRADE 1"),
ISNUMBER(SEARCH("MALE SURGICAL",K755)), PROPER("MALE SURG &amp; ORTHOPEDIC"),
ISNUMBER(SEARCH("MALE MEDICAL",K755)), PROPER("MALE MEDICAL"),
ISNUMBER(SEARCH("GRADE 2",K755)), PROPER("GRADE 2"),
ISNUMBER(SEARCH("FEMALE WARD",K755)), PROPER("FEMALE MEDICAL"),
TRUE, "Unmapped: " &amp; K755)</f>
        <v>Labour</v>
      </c>
      <c r="M755" t="s">
        <v>22</v>
      </c>
      <c r="O755" t="s">
        <v>2602</v>
      </c>
      <c r="P755" t="str">
        <f t="shared" si="93"/>
        <v>Text Error</v>
      </c>
      <c r="Q755" s="5">
        <v>46042.448252314818</v>
      </c>
      <c r="R755" t="str">
        <f t="shared" si="94"/>
        <v>Valid Date</v>
      </c>
      <c r="S755" t="s">
        <v>2603</v>
      </c>
      <c r="T755" s="5">
        <v>46043.703819444447</v>
      </c>
      <c r="U755">
        <v>1</v>
      </c>
      <c r="V755" t="str">
        <f t="shared" si="95"/>
        <v>OK</v>
      </c>
      <c r="W755" t="s">
        <v>25</v>
      </c>
      <c r="Y755" t="s">
        <v>30</v>
      </c>
    </row>
    <row r="756" spans="1:25" x14ac:dyDescent="0.25">
      <c r="A756" t="s">
        <v>2604</v>
      </c>
      <c r="B756" t="str">
        <f t="shared" si="89"/>
        <v>Ramla Ahmad Majoro</v>
      </c>
      <c r="C756">
        <v>128995</v>
      </c>
      <c r="D756" t="str">
        <f t="shared" si="88"/>
        <v>Unique</v>
      </c>
      <c r="E756" t="s">
        <v>400</v>
      </c>
      <c r="F756" s="3">
        <f t="shared" si="90"/>
        <v>39</v>
      </c>
      <c r="G756" t="s">
        <v>32</v>
      </c>
      <c r="H756" t="str">
        <f t="shared" si="91"/>
        <v>Valid</v>
      </c>
      <c r="I756" t="s">
        <v>33</v>
      </c>
      <c r="J756" t="str">
        <f t="shared" si="92"/>
        <v>Kigoma Ujiji Mc</v>
      </c>
      <c r="K756" t="s">
        <v>685</v>
      </c>
      <c r="L756" t="str" cm="1">
        <f t="array" ref="L756">_xlfn.IFS(
ISNUMBER(SEARCH("ICU",K756)), "ICU",
ISNUMBER(SEARCH("NEONATAL",K756)), PROPER("NEONATAL"),
ISNUMBER(SEARCH("LABOUR",K756)), PROPER("LABOUR"),
ISNUMBER(SEARCH("PAEDIATRIC",K756)), PROPER("PAEDIATRIC"),
ISNUMBER(SEARCH("FEMALE SURGICAL",K756)), PROPER("FEMALE SURG, ORTHO &amp; GYN"),
ISNUMBER(SEARCH("PSYCHIATRIST",K756)), PROPER("PSYCHIATRIST"),
ISNUMBER(SEARCH("GRADE 1",K756)), PROPER("GRADE 1"),
ISNUMBER(SEARCH("MALE SURGICAL",K756)), PROPER("MALE SURG &amp; ORTHOPEDIC"),
ISNUMBER(SEARCH("MALE MEDICAL",K756)), PROPER("MALE MEDICAL"),
ISNUMBER(SEARCH("GRADE 2",K756)), PROPER("GRADE 2"),
ISNUMBER(SEARCH("FEMALE WARD",K756)), PROPER("FEMALE MEDICAL"),
TRUE, "Unmapped: " &amp; K756)</f>
        <v>Grade 2</v>
      </c>
      <c r="M756" t="s">
        <v>664</v>
      </c>
      <c r="O756" t="s">
        <v>2605</v>
      </c>
      <c r="P756" t="str">
        <f t="shared" si="93"/>
        <v>Text Error</v>
      </c>
      <c r="Q756" s="5">
        <v>46042.660381944443</v>
      </c>
      <c r="R756" t="str">
        <f t="shared" si="94"/>
        <v>Valid Date</v>
      </c>
      <c r="S756" t="s">
        <v>2606</v>
      </c>
      <c r="T756" s="5">
        <v>46043.694571759261</v>
      </c>
      <c r="U756">
        <v>1</v>
      </c>
      <c r="V756" t="str">
        <f t="shared" si="95"/>
        <v>OK</v>
      </c>
      <c r="W756" t="s">
        <v>25</v>
      </c>
      <c r="Y756" t="s">
        <v>30</v>
      </c>
    </row>
    <row r="757" spans="1:25" x14ac:dyDescent="0.25">
      <c r="A757" t="s">
        <v>2607</v>
      </c>
      <c r="B757" t="str">
        <f t="shared" si="89"/>
        <v>Consolata Francis Sindani</v>
      </c>
      <c r="C757">
        <v>11217</v>
      </c>
      <c r="D757" t="str">
        <f t="shared" si="88"/>
        <v>Unique</v>
      </c>
      <c r="E757" t="s">
        <v>2435</v>
      </c>
      <c r="F757" s="3">
        <f t="shared" si="90"/>
        <v>74</v>
      </c>
      <c r="G757" t="s">
        <v>32</v>
      </c>
      <c r="H757" t="str">
        <f t="shared" si="91"/>
        <v>Valid</v>
      </c>
      <c r="I757" t="s">
        <v>754</v>
      </c>
      <c r="J757" t="str">
        <f t="shared" si="92"/>
        <v>KG</v>
      </c>
      <c r="K757" t="s">
        <v>685</v>
      </c>
      <c r="L757" t="str" cm="1">
        <f t="array" ref="L757">_xlfn.IFS(
ISNUMBER(SEARCH("ICU",K757)), "ICU",
ISNUMBER(SEARCH("NEONATAL",K757)), PROPER("NEONATAL"),
ISNUMBER(SEARCH("LABOUR",K757)), PROPER("LABOUR"),
ISNUMBER(SEARCH("PAEDIATRIC",K757)), PROPER("PAEDIATRIC"),
ISNUMBER(SEARCH("FEMALE SURGICAL",K757)), PROPER("FEMALE SURG, ORTHO &amp; GYN"),
ISNUMBER(SEARCH("PSYCHIATRIST",K757)), PROPER("PSYCHIATRIST"),
ISNUMBER(SEARCH("GRADE 1",K757)), PROPER("GRADE 1"),
ISNUMBER(SEARCH("MALE SURGICAL",K757)), PROPER("MALE SURG &amp; ORTHOPEDIC"),
ISNUMBER(SEARCH("MALE MEDICAL",K757)), PROPER("MALE MEDICAL"),
ISNUMBER(SEARCH("GRADE 2",K757)), PROPER("GRADE 2"),
ISNUMBER(SEARCH("FEMALE WARD",K757)), PROPER("FEMALE MEDICAL"),
TRUE, "Unmapped: " &amp; K757)</f>
        <v>Grade 2</v>
      </c>
      <c r="M757" t="s">
        <v>394</v>
      </c>
      <c r="O757" t="s">
        <v>2608</v>
      </c>
      <c r="P757" t="str">
        <f t="shared" si="93"/>
        <v>Text Error</v>
      </c>
      <c r="Q757" s="5">
        <v>46042.779467592591</v>
      </c>
      <c r="R757" t="str">
        <f t="shared" si="94"/>
        <v>Valid Date</v>
      </c>
      <c r="S757" t="s">
        <v>2609</v>
      </c>
      <c r="T757" s="5">
        <v>46044.677604166667</v>
      </c>
      <c r="U757">
        <v>1</v>
      </c>
      <c r="V757" t="str">
        <f t="shared" si="95"/>
        <v>OK</v>
      </c>
      <c r="W757" t="s">
        <v>25</v>
      </c>
      <c r="Y757" t="s">
        <v>30</v>
      </c>
    </row>
    <row r="758" spans="1:25" x14ac:dyDescent="0.25">
      <c r="A758" t="s">
        <v>2610</v>
      </c>
      <c r="B758" t="str">
        <f t="shared" si="89"/>
        <v>B/o Jamira Amri Seif</v>
      </c>
      <c r="C758">
        <v>129072</v>
      </c>
      <c r="D758" t="str">
        <f t="shared" si="88"/>
        <v>Unique</v>
      </c>
      <c r="E758" t="s">
        <v>622</v>
      </c>
      <c r="F758" s="3" t="str">
        <f t="shared" si="90"/>
        <v>2/12</v>
      </c>
      <c r="G758" t="s">
        <v>19</v>
      </c>
      <c r="H758" t="str">
        <f t="shared" si="91"/>
        <v>Valid</v>
      </c>
      <c r="I758" t="s">
        <v>33</v>
      </c>
      <c r="J758" t="str">
        <f t="shared" si="92"/>
        <v>Kigoma Ujiji Mc</v>
      </c>
      <c r="K758" t="s">
        <v>21</v>
      </c>
      <c r="L758" t="str" cm="1">
        <f t="array" ref="L758">_xlfn.IFS(
ISNUMBER(SEARCH("ICU",K758)), "ICU",
ISNUMBER(SEARCH("NEONATAL",K758)), PROPER("NEONATAL"),
ISNUMBER(SEARCH("LABOUR",K758)), PROPER("LABOUR"),
ISNUMBER(SEARCH("PAEDIATRIC",K758)), PROPER("PAEDIATRIC"),
ISNUMBER(SEARCH("FEMALE SURGICAL",K758)), PROPER("FEMALE SURG, ORTHO &amp; GYN"),
ISNUMBER(SEARCH("PSYCHIATRIST",K758)), PROPER("PSYCHIATRIST"),
ISNUMBER(SEARCH("GRADE 1",K758)), PROPER("GRADE 1"),
ISNUMBER(SEARCH("MALE SURGICAL",K758)), PROPER("MALE SURG &amp; ORTHOPEDIC"),
ISNUMBER(SEARCH("MALE MEDICAL",K758)), PROPER("MALE MEDICAL"),
ISNUMBER(SEARCH("GRADE 2",K758)), PROPER("GRADE 2"),
ISNUMBER(SEARCH("FEMALE WARD",K758)), PROPER("FEMALE MEDICAL"),
TRUE, "Unmapped: " &amp; K758)</f>
        <v>Neonatal</v>
      </c>
      <c r="M758" t="s">
        <v>22</v>
      </c>
      <c r="O758" t="s">
        <v>2611</v>
      </c>
      <c r="P758" t="str">
        <f t="shared" si="93"/>
        <v>Text Error</v>
      </c>
      <c r="Q758" s="5">
        <v>46042.780694444446</v>
      </c>
      <c r="R758" t="str">
        <f t="shared" si="94"/>
        <v>Valid Date</v>
      </c>
      <c r="S758" t="s">
        <v>2612</v>
      </c>
      <c r="T758" s="5">
        <v>46044.610682870371</v>
      </c>
      <c r="U758">
        <v>1</v>
      </c>
      <c r="V758" t="str">
        <f t="shared" si="95"/>
        <v>OK</v>
      </c>
      <c r="W758" t="s">
        <v>397</v>
      </c>
      <c r="Y758" t="s">
        <v>30</v>
      </c>
    </row>
    <row r="759" spans="1:25" x14ac:dyDescent="0.25">
      <c r="A759" t="s">
        <v>2613</v>
      </c>
      <c r="B759" t="str">
        <f t="shared" si="89"/>
        <v>Hamza Ajali Yahaya</v>
      </c>
      <c r="C759">
        <v>129078</v>
      </c>
      <c r="D759" t="str">
        <f t="shared" si="88"/>
        <v>Unique</v>
      </c>
      <c r="E759" t="s">
        <v>758</v>
      </c>
      <c r="F759" s="3">
        <f t="shared" si="90"/>
        <v>19</v>
      </c>
      <c r="G759" t="s">
        <v>19</v>
      </c>
      <c r="H759" t="str">
        <f t="shared" si="91"/>
        <v>Valid</v>
      </c>
      <c r="I759" t="s">
        <v>260</v>
      </c>
      <c r="J759" t="str">
        <f t="shared" si="92"/>
        <v>Kasulu</v>
      </c>
      <c r="K759" t="s">
        <v>484</v>
      </c>
      <c r="L759" t="str" cm="1">
        <f t="array" ref="L759">_xlfn.IFS(
ISNUMBER(SEARCH("ICU",K759)), "ICU",
ISNUMBER(SEARCH("NEONATAL",K759)), PROPER("NEONATAL"),
ISNUMBER(SEARCH("LABOUR",K759)), PROPER("LABOUR"),
ISNUMBER(SEARCH("PAEDIATRIC",K759)), PROPER("PAEDIATRIC"),
ISNUMBER(SEARCH("FEMALE SURGICAL",K759)), PROPER("FEMALE SURG, ORTHO &amp; GYN"),
ISNUMBER(SEARCH("PSYCHIATRIST",K759)), PROPER("PSYCHIATRIST"),
ISNUMBER(SEARCH("GRADE 1",K759)), PROPER("GRADE 1"),
ISNUMBER(SEARCH("MALE SURGICAL",K759)), PROPER("MALE SURG &amp; ORTHOPEDIC"),
ISNUMBER(SEARCH("MALE MEDICAL",K759)), PROPER("MALE MEDICAL"),
ISNUMBER(SEARCH("GRADE 2",K759)), PROPER("GRADE 2"),
ISNUMBER(SEARCH("FEMALE WARD",K759)), PROPER("FEMALE MEDICAL"),
TRUE, "Unmapped: " &amp; K759)</f>
        <v>Male Medical</v>
      </c>
      <c r="M759" t="s">
        <v>22</v>
      </c>
      <c r="O759" t="s">
        <v>2614</v>
      </c>
      <c r="P759" t="str">
        <f t="shared" si="93"/>
        <v>Text Error</v>
      </c>
      <c r="Q759" s="5">
        <v>46042.992777777778</v>
      </c>
      <c r="R759" t="str">
        <f t="shared" si="94"/>
        <v>Valid Date</v>
      </c>
      <c r="S759" t="s">
        <v>2615</v>
      </c>
      <c r="T759" s="5">
        <v>46044.444513888891</v>
      </c>
      <c r="U759">
        <v>1</v>
      </c>
      <c r="V759" t="str">
        <f t="shared" si="95"/>
        <v>OK</v>
      </c>
      <c r="W759" t="s">
        <v>25</v>
      </c>
      <c r="Y759" t="s">
        <v>30</v>
      </c>
    </row>
    <row r="760" spans="1:25" x14ac:dyDescent="0.25">
      <c r="A760" t="s">
        <v>2616</v>
      </c>
      <c r="B760" t="str">
        <f t="shared" si="89"/>
        <v>Lucia C Kapusi</v>
      </c>
      <c r="C760">
        <v>38226</v>
      </c>
      <c r="D760" t="str">
        <f t="shared" si="88"/>
        <v>Unique</v>
      </c>
      <c r="E760" t="s">
        <v>530</v>
      </c>
      <c r="F760" s="3">
        <f t="shared" si="90"/>
        <v>34</v>
      </c>
      <c r="G760" t="s">
        <v>32</v>
      </c>
      <c r="H760" t="str">
        <f t="shared" si="91"/>
        <v>Valid</v>
      </c>
      <c r="I760" t="s">
        <v>227</v>
      </c>
      <c r="J760" t="str">
        <f t="shared" si="92"/>
        <v>KGG</v>
      </c>
      <c r="K760" t="s">
        <v>40</v>
      </c>
      <c r="L760" t="str" cm="1">
        <f t="array" ref="L760">_xlfn.IFS(
ISNUMBER(SEARCH("ICU",K760)), "ICU",
ISNUMBER(SEARCH("NEONATAL",K760)), PROPER("NEONATAL"),
ISNUMBER(SEARCH("LABOUR",K760)), PROPER("LABOUR"),
ISNUMBER(SEARCH("PAEDIATRIC",K760)), PROPER("PAEDIATRIC"),
ISNUMBER(SEARCH("FEMALE SURGICAL",K760)), PROPER("FEMALE SURG, ORTHO &amp; GYN"),
ISNUMBER(SEARCH("PSYCHIATRIST",K760)), PROPER("PSYCHIATRIST"),
ISNUMBER(SEARCH("GRADE 1",K760)), PROPER("GRADE 1"),
ISNUMBER(SEARCH("MALE SURGICAL",K760)), PROPER("MALE SURG &amp; ORTHOPEDIC"),
ISNUMBER(SEARCH("MALE MEDICAL",K760)), PROPER("MALE MEDICAL"),
ISNUMBER(SEARCH("GRADE 2",K760)), PROPER("GRADE 2"),
ISNUMBER(SEARCH("FEMALE WARD",K760)), PROPER("FEMALE MEDICAL"),
TRUE, "Unmapped: " &amp; K760)</f>
        <v>Labour</v>
      </c>
      <c r="M760" t="s">
        <v>394</v>
      </c>
      <c r="O760" t="s">
        <v>2617</v>
      </c>
      <c r="P760" t="str">
        <f t="shared" si="93"/>
        <v>Text Error</v>
      </c>
      <c r="Q760" s="5">
        <v>46043.426828703705</v>
      </c>
      <c r="R760" t="str">
        <f t="shared" si="94"/>
        <v>Valid Date</v>
      </c>
      <c r="S760" t="s">
        <v>2618</v>
      </c>
      <c r="T760" s="5">
        <v>46044.508900462963</v>
      </c>
      <c r="U760">
        <v>1</v>
      </c>
      <c r="V760" t="str">
        <f t="shared" si="95"/>
        <v>OK</v>
      </c>
      <c r="W760" t="s">
        <v>25</v>
      </c>
      <c r="Y760" t="s">
        <v>30</v>
      </c>
    </row>
    <row r="761" spans="1:25" x14ac:dyDescent="0.25">
      <c r="A761" t="s">
        <v>2619</v>
      </c>
      <c r="B761" t="str">
        <f t="shared" si="89"/>
        <v>Jorada Elias Jackob</v>
      </c>
      <c r="C761">
        <v>35863</v>
      </c>
      <c r="D761" t="str">
        <f t="shared" si="88"/>
        <v>Unique</v>
      </c>
      <c r="E761" t="s">
        <v>823</v>
      </c>
      <c r="F761" s="3">
        <f t="shared" si="90"/>
        <v>69</v>
      </c>
      <c r="G761" t="s">
        <v>32</v>
      </c>
      <c r="H761" t="str">
        <f t="shared" si="91"/>
        <v>Valid</v>
      </c>
      <c r="I761" t="s">
        <v>227</v>
      </c>
      <c r="J761" t="str">
        <f t="shared" si="92"/>
        <v>KGG</v>
      </c>
      <c r="K761" t="s">
        <v>763</v>
      </c>
      <c r="L761" t="str" cm="1">
        <f t="array" ref="L761">_xlfn.IFS(
ISNUMBER(SEARCH("ICU",K761)), "ICU",
ISNUMBER(SEARCH("NEONATAL",K761)), PROPER("NEONATAL"),
ISNUMBER(SEARCH("LABOUR",K761)), PROPER("LABOUR"),
ISNUMBER(SEARCH("PAEDIATRIC",K761)), PROPER("PAEDIATRIC"),
ISNUMBER(SEARCH("FEMALE SURGICAL",K761)), PROPER("FEMALE SURG, ORTHO &amp; GYN"),
ISNUMBER(SEARCH("PSYCHIATRIST",K761)), PROPER("PSYCHIATRIST"),
ISNUMBER(SEARCH("GRADE 1",K761)), PROPER("GRADE 1"),
ISNUMBER(SEARCH("MALE SURGICAL",K761)), PROPER("MALE SURG &amp; ORTHOPEDIC"),
ISNUMBER(SEARCH("MALE MEDICAL",K761)), PROPER("MALE MEDICAL"),
ISNUMBER(SEARCH("GRADE 2",K761)), PROPER("GRADE 2"),
ISNUMBER(SEARCH("FEMALE WARD",K761)), PROPER("FEMALE MEDICAL"),
TRUE, "Unmapped: " &amp; K761)</f>
        <v>ICU</v>
      </c>
      <c r="M761" t="s">
        <v>394</v>
      </c>
      <c r="O761" t="s">
        <v>2620</v>
      </c>
      <c r="P761" t="str">
        <f t="shared" si="93"/>
        <v>Text Error</v>
      </c>
      <c r="Q761" s="5">
        <v>46043.502962962964</v>
      </c>
      <c r="R761" t="str">
        <f t="shared" si="94"/>
        <v>Valid Date</v>
      </c>
      <c r="S761" t="s">
        <v>2621</v>
      </c>
      <c r="T761" s="5">
        <v>46045.415925925925</v>
      </c>
      <c r="U761">
        <v>1</v>
      </c>
      <c r="V761" t="str">
        <f t="shared" si="95"/>
        <v>OK</v>
      </c>
      <c r="W761" t="s">
        <v>397</v>
      </c>
      <c r="Y761" t="s">
        <v>30</v>
      </c>
    </row>
    <row r="762" spans="1:25" x14ac:dyDescent="0.25">
      <c r="A762" t="s">
        <v>2622</v>
      </c>
      <c r="B762" t="str">
        <f t="shared" si="89"/>
        <v>Ahmad H Bidida</v>
      </c>
      <c r="C762">
        <v>105636</v>
      </c>
      <c r="D762" t="str">
        <f t="shared" si="88"/>
        <v>Unique</v>
      </c>
      <c r="E762" t="s">
        <v>1061</v>
      </c>
      <c r="F762" s="3">
        <f t="shared" si="90"/>
        <v>66</v>
      </c>
      <c r="G762" t="s">
        <v>19</v>
      </c>
      <c r="H762" t="str">
        <f t="shared" si="91"/>
        <v>Valid</v>
      </c>
      <c r="I762" t="s">
        <v>33</v>
      </c>
      <c r="J762" t="str">
        <f t="shared" si="92"/>
        <v>Kigoma Ujiji Mc</v>
      </c>
      <c r="K762" t="s">
        <v>484</v>
      </c>
      <c r="L762" t="str" cm="1">
        <f t="array" ref="L762">_xlfn.IFS(
ISNUMBER(SEARCH("ICU",K762)), "ICU",
ISNUMBER(SEARCH("NEONATAL",K762)), PROPER("NEONATAL"),
ISNUMBER(SEARCH("LABOUR",K762)), PROPER("LABOUR"),
ISNUMBER(SEARCH("PAEDIATRIC",K762)), PROPER("PAEDIATRIC"),
ISNUMBER(SEARCH("FEMALE SURGICAL",K762)), PROPER("FEMALE SURG, ORTHO &amp; GYN"),
ISNUMBER(SEARCH("PSYCHIATRIST",K762)), PROPER("PSYCHIATRIST"),
ISNUMBER(SEARCH("GRADE 1",K762)), PROPER("GRADE 1"),
ISNUMBER(SEARCH("MALE SURGICAL",K762)), PROPER("MALE SURG &amp; ORTHOPEDIC"),
ISNUMBER(SEARCH("MALE MEDICAL",K762)), PROPER("MALE MEDICAL"),
ISNUMBER(SEARCH("GRADE 2",K762)), PROPER("GRADE 2"),
ISNUMBER(SEARCH("FEMALE WARD",K762)), PROPER("FEMALE MEDICAL"),
TRUE, "Unmapped: " &amp; K762)</f>
        <v>Male Medical</v>
      </c>
      <c r="M762" t="s">
        <v>394</v>
      </c>
      <c r="O762" t="s">
        <v>2623</v>
      </c>
      <c r="P762" t="str">
        <f t="shared" si="93"/>
        <v>Text Error</v>
      </c>
      <c r="Q762" s="5">
        <v>46043.544791666667</v>
      </c>
      <c r="R762" t="str">
        <f t="shared" si="94"/>
        <v>Valid Date</v>
      </c>
      <c r="S762" t="s">
        <v>2624</v>
      </c>
      <c r="T762" s="5">
        <v>46045.528090277781</v>
      </c>
      <c r="U762">
        <v>1</v>
      </c>
      <c r="V762" t="str">
        <f t="shared" si="95"/>
        <v>OK</v>
      </c>
      <c r="W762" t="s">
        <v>25</v>
      </c>
      <c r="Y762" t="s">
        <v>30</v>
      </c>
    </row>
    <row r="763" spans="1:25" x14ac:dyDescent="0.25">
      <c r="A763" t="s">
        <v>2625</v>
      </c>
      <c r="B763" t="str">
        <f t="shared" si="89"/>
        <v>Patrick M Bukomeye</v>
      </c>
      <c r="C763">
        <v>117084</v>
      </c>
      <c r="D763" t="str">
        <f t="shared" si="88"/>
        <v>Unique</v>
      </c>
      <c r="E763" t="s">
        <v>884</v>
      </c>
      <c r="F763" s="3">
        <f t="shared" si="90"/>
        <v>70</v>
      </c>
      <c r="G763" t="s">
        <v>19</v>
      </c>
      <c r="H763" t="str">
        <f t="shared" si="91"/>
        <v>Valid</v>
      </c>
      <c r="I763" t="s">
        <v>33</v>
      </c>
      <c r="J763" t="str">
        <f t="shared" si="92"/>
        <v>Kigoma Ujiji Mc</v>
      </c>
      <c r="K763" t="s">
        <v>484</v>
      </c>
      <c r="L763" t="str" cm="1">
        <f t="array" ref="L763">_xlfn.IFS(
ISNUMBER(SEARCH("ICU",K763)), "ICU",
ISNUMBER(SEARCH("NEONATAL",K763)), PROPER("NEONATAL"),
ISNUMBER(SEARCH("LABOUR",K763)), PROPER("LABOUR"),
ISNUMBER(SEARCH("PAEDIATRIC",K763)), PROPER("PAEDIATRIC"),
ISNUMBER(SEARCH("FEMALE SURGICAL",K763)), PROPER("FEMALE SURG, ORTHO &amp; GYN"),
ISNUMBER(SEARCH("PSYCHIATRIST",K763)), PROPER("PSYCHIATRIST"),
ISNUMBER(SEARCH("GRADE 1",K763)), PROPER("GRADE 1"),
ISNUMBER(SEARCH("MALE SURGICAL",K763)), PROPER("MALE SURG &amp; ORTHOPEDIC"),
ISNUMBER(SEARCH("MALE MEDICAL",K763)), PROPER("MALE MEDICAL"),
ISNUMBER(SEARCH("GRADE 2",K763)), PROPER("GRADE 2"),
ISNUMBER(SEARCH("FEMALE WARD",K763)), PROPER("FEMALE MEDICAL"),
TRUE, "Unmapped: " &amp; K763)</f>
        <v>Male Medical</v>
      </c>
      <c r="M763" t="s">
        <v>394</v>
      </c>
      <c r="O763" t="s">
        <v>2626</v>
      </c>
      <c r="P763" t="str">
        <f t="shared" si="93"/>
        <v>Text Error</v>
      </c>
      <c r="Q763" s="5">
        <v>46043.721284722225</v>
      </c>
      <c r="R763" t="str">
        <f t="shared" si="94"/>
        <v>Valid Date</v>
      </c>
      <c r="S763" t="s">
        <v>2627</v>
      </c>
      <c r="T763" s="5">
        <v>46045.527037037034</v>
      </c>
      <c r="U763">
        <v>1</v>
      </c>
      <c r="V763" t="str">
        <f t="shared" si="95"/>
        <v>OK</v>
      </c>
      <c r="W763" t="s">
        <v>25</v>
      </c>
      <c r="Y763" t="s">
        <v>30</v>
      </c>
    </row>
    <row r="764" spans="1:25" x14ac:dyDescent="0.25">
      <c r="A764" t="s">
        <v>2628</v>
      </c>
      <c r="B764" t="str">
        <f t="shared" si="89"/>
        <v>Sijapata H Makwaya</v>
      </c>
      <c r="C764">
        <v>52175</v>
      </c>
      <c r="D764" t="str">
        <f t="shared" si="88"/>
        <v>Unique</v>
      </c>
      <c r="E764" t="s">
        <v>1061</v>
      </c>
      <c r="F764" s="3">
        <f t="shared" si="90"/>
        <v>66</v>
      </c>
      <c r="G764" t="s">
        <v>32</v>
      </c>
      <c r="H764" t="str">
        <f t="shared" si="91"/>
        <v>Valid</v>
      </c>
      <c r="I764" t="s">
        <v>227</v>
      </c>
      <c r="J764" t="str">
        <f t="shared" si="92"/>
        <v>KGG</v>
      </c>
      <c r="K764" t="s">
        <v>685</v>
      </c>
      <c r="L764" t="str" cm="1">
        <f t="array" ref="L764">_xlfn.IFS(
ISNUMBER(SEARCH("ICU",K764)), "ICU",
ISNUMBER(SEARCH("NEONATAL",K764)), PROPER("NEONATAL"),
ISNUMBER(SEARCH("LABOUR",K764)), PROPER("LABOUR"),
ISNUMBER(SEARCH("PAEDIATRIC",K764)), PROPER("PAEDIATRIC"),
ISNUMBER(SEARCH("FEMALE SURGICAL",K764)), PROPER("FEMALE SURG, ORTHO &amp; GYN"),
ISNUMBER(SEARCH("PSYCHIATRIST",K764)), PROPER("PSYCHIATRIST"),
ISNUMBER(SEARCH("GRADE 1",K764)), PROPER("GRADE 1"),
ISNUMBER(SEARCH("MALE SURGICAL",K764)), PROPER("MALE SURG &amp; ORTHOPEDIC"),
ISNUMBER(SEARCH("MALE MEDICAL",K764)), PROPER("MALE MEDICAL"),
ISNUMBER(SEARCH("GRADE 2",K764)), PROPER("GRADE 2"),
ISNUMBER(SEARCH("FEMALE WARD",K764)), PROPER("FEMALE MEDICAL"),
TRUE, "Unmapped: " &amp; K764)</f>
        <v>Grade 2</v>
      </c>
      <c r="M764" t="s">
        <v>394</v>
      </c>
      <c r="O764" t="s">
        <v>2629</v>
      </c>
      <c r="P764" t="str">
        <f t="shared" si="93"/>
        <v>Text Error</v>
      </c>
      <c r="Q764" s="5">
        <v>46043.7734375</v>
      </c>
      <c r="R764" t="str">
        <f t="shared" si="94"/>
        <v>Valid Date</v>
      </c>
      <c r="S764" t="s">
        <v>2630</v>
      </c>
      <c r="T764" s="5">
        <v>46045.448912037034</v>
      </c>
      <c r="U764">
        <v>1</v>
      </c>
      <c r="V764" t="str">
        <f t="shared" si="95"/>
        <v>OK</v>
      </c>
      <c r="W764" t="s">
        <v>25</v>
      </c>
      <c r="Y764" t="s">
        <v>30</v>
      </c>
    </row>
    <row r="765" spans="1:25" x14ac:dyDescent="0.25">
      <c r="A765" t="s">
        <v>2631</v>
      </c>
      <c r="B765" t="str">
        <f t="shared" si="89"/>
        <v>John Anordi John</v>
      </c>
      <c r="C765">
        <v>129188</v>
      </c>
      <c r="D765" t="str">
        <f t="shared" si="88"/>
        <v>Unique</v>
      </c>
      <c r="E765" t="s">
        <v>622</v>
      </c>
      <c r="F765" s="3" t="str">
        <f t="shared" si="90"/>
        <v>2/12</v>
      </c>
      <c r="G765" t="s">
        <v>19</v>
      </c>
      <c r="H765" t="str">
        <f t="shared" si="91"/>
        <v>Valid</v>
      </c>
      <c r="I765" t="s">
        <v>260</v>
      </c>
      <c r="J765" t="str">
        <f t="shared" si="92"/>
        <v>Kasulu</v>
      </c>
      <c r="K765" t="s">
        <v>21</v>
      </c>
      <c r="L765" t="str" cm="1">
        <f t="array" ref="L765">_xlfn.IFS(
ISNUMBER(SEARCH("ICU",K765)), "ICU",
ISNUMBER(SEARCH("NEONATAL",K765)), PROPER("NEONATAL"),
ISNUMBER(SEARCH("LABOUR",K765)), PROPER("LABOUR"),
ISNUMBER(SEARCH("PAEDIATRIC",K765)), PROPER("PAEDIATRIC"),
ISNUMBER(SEARCH("FEMALE SURGICAL",K765)), PROPER("FEMALE SURG, ORTHO &amp; GYN"),
ISNUMBER(SEARCH("PSYCHIATRIST",K765)), PROPER("PSYCHIATRIST"),
ISNUMBER(SEARCH("GRADE 1",K765)), PROPER("GRADE 1"),
ISNUMBER(SEARCH("MALE SURGICAL",K765)), PROPER("MALE SURG &amp; ORTHOPEDIC"),
ISNUMBER(SEARCH("MALE MEDICAL",K765)), PROPER("MALE MEDICAL"),
ISNUMBER(SEARCH("GRADE 2",K765)), PROPER("GRADE 2"),
ISNUMBER(SEARCH("FEMALE WARD",K765)), PROPER("FEMALE MEDICAL"),
TRUE, "Unmapped: " &amp; K765)</f>
        <v>Neonatal</v>
      </c>
      <c r="M765" t="s">
        <v>22</v>
      </c>
      <c r="O765" t="s">
        <v>2632</v>
      </c>
      <c r="P765" t="str">
        <f t="shared" si="93"/>
        <v>Text Error</v>
      </c>
      <c r="Q765" s="5">
        <v>46044.000428240739</v>
      </c>
      <c r="R765" t="str">
        <f t="shared" si="94"/>
        <v>Valid Date</v>
      </c>
      <c r="S765" t="s">
        <v>2633</v>
      </c>
      <c r="T765" s="5">
        <v>46045.723101851851</v>
      </c>
      <c r="U765">
        <v>1</v>
      </c>
      <c r="V765" t="str">
        <f t="shared" si="95"/>
        <v>OK</v>
      </c>
      <c r="W765" t="s">
        <v>25</v>
      </c>
      <c r="Y765" t="s">
        <v>30</v>
      </c>
    </row>
    <row r="766" spans="1:25" x14ac:dyDescent="0.25">
      <c r="A766" t="s">
        <v>914</v>
      </c>
      <c r="B766" t="str">
        <f t="shared" si="89"/>
        <v>Leosia Bitega Wandongoye</v>
      </c>
      <c r="C766">
        <v>6603</v>
      </c>
      <c r="D766" t="str">
        <f t="shared" si="88"/>
        <v>Duplicate</v>
      </c>
      <c r="E766" t="s">
        <v>572</v>
      </c>
      <c r="F766" s="3">
        <f t="shared" si="90"/>
        <v>61</v>
      </c>
      <c r="G766" t="s">
        <v>32</v>
      </c>
      <c r="H766" t="str">
        <f t="shared" si="91"/>
        <v>Valid</v>
      </c>
      <c r="I766" t="s">
        <v>33</v>
      </c>
      <c r="J766" t="str">
        <f t="shared" si="92"/>
        <v>Kigoma Ujiji Mc</v>
      </c>
      <c r="K766" t="s">
        <v>700</v>
      </c>
      <c r="L766" t="str" cm="1">
        <f t="array" ref="L766">_xlfn.IFS(
ISNUMBER(SEARCH("ICU",K766)), "ICU",
ISNUMBER(SEARCH("NEONATAL",K766)), PROPER("NEONATAL"),
ISNUMBER(SEARCH("LABOUR",K766)), PROPER("LABOUR"),
ISNUMBER(SEARCH("PAEDIATRIC",K766)), PROPER("PAEDIATRIC"),
ISNUMBER(SEARCH("FEMALE SURGICAL",K766)), PROPER("FEMALE SURG, ORTHO &amp; GYN"),
ISNUMBER(SEARCH("PSYCHIATRIST",K766)), PROPER("PSYCHIATRIST"),
ISNUMBER(SEARCH("GRADE 1",K766)), PROPER("GRADE 1"),
ISNUMBER(SEARCH("MALE SURGICAL",K766)), PROPER("MALE SURG &amp; ORTHOPEDIC"),
ISNUMBER(SEARCH("MALE MEDICAL",K766)), PROPER("MALE MEDICAL"),
ISNUMBER(SEARCH("GRADE 2",K766)), PROPER("GRADE 2"),
ISNUMBER(SEARCH("FEMALE WARD",K766)), PROPER("FEMALE MEDICAL"),
TRUE, "Unmapped: " &amp; K766)</f>
        <v>Female Medical</v>
      </c>
      <c r="M766" t="s">
        <v>394</v>
      </c>
      <c r="O766" t="s">
        <v>2634</v>
      </c>
      <c r="P766" t="str">
        <f t="shared" si="93"/>
        <v>Text Error</v>
      </c>
      <c r="Q766" s="5">
        <v>46044.019895833335</v>
      </c>
      <c r="R766" t="str">
        <f t="shared" si="94"/>
        <v>Valid Date</v>
      </c>
      <c r="S766" t="s">
        <v>2635</v>
      </c>
      <c r="T766" s="5">
        <v>46045.393275462964</v>
      </c>
      <c r="U766">
        <v>1</v>
      </c>
      <c r="V766" t="str">
        <f t="shared" si="95"/>
        <v>OK</v>
      </c>
      <c r="W766" t="s">
        <v>397</v>
      </c>
      <c r="Y766" t="s">
        <v>30</v>
      </c>
    </row>
    <row r="767" spans="1:25" x14ac:dyDescent="0.25">
      <c r="A767" t="s">
        <v>2636</v>
      </c>
      <c r="B767" t="str">
        <f t="shared" si="89"/>
        <v>Hosea Jayloce Sendeka</v>
      </c>
      <c r="C767">
        <v>129191</v>
      </c>
      <c r="D767" t="str">
        <f t="shared" si="88"/>
        <v>Unique</v>
      </c>
      <c r="E767" t="s">
        <v>903</v>
      </c>
      <c r="F767" s="3">
        <f t="shared" si="90"/>
        <v>12</v>
      </c>
      <c r="G767" t="s">
        <v>32</v>
      </c>
      <c r="H767" t="str">
        <f t="shared" si="91"/>
        <v>Valid</v>
      </c>
      <c r="I767" t="s">
        <v>33</v>
      </c>
      <c r="J767" t="str">
        <f t="shared" si="92"/>
        <v>Kigoma Ujiji Mc</v>
      </c>
      <c r="K767" t="s">
        <v>109</v>
      </c>
      <c r="L767" t="str" cm="1">
        <f t="array" ref="L767">_xlfn.IFS(
ISNUMBER(SEARCH("ICU",K767)), "ICU",
ISNUMBER(SEARCH("NEONATAL",K767)), PROPER("NEONATAL"),
ISNUMBER(SEARCH("LABOUR",K767)), PROPER("LABOUR"),
ISNUMBER(SEARCH("PAEDIATRIC",K767)), PROPER("PAEDIATRIC"),
ISNUMBER(SEARCH("FEMALE SURGICAL",K767)), PROPER("FEMALE SURG, ORTHO &amp; GYN"),
ISNUMBER(SEARCH("PSYCHIATRIST",K767)), PROPER("PSYCHIATRIST"),
ISNUMBER(SEARCH("GRADE 1",K767)), PROPER("GRADE 1"),
ISNUMBER(SEARCH("MALE SURGICAL",K767)), PROPER("MALE SURG &amp; ORTHOPEDIC"),
ISNUMBER(SEARCH("MALE MEDICAL",K767)), PROPER("MALE MEDICAL"),
ISNUMBER(SEARCH("GRADE 2",K767)), PROPER("GRADE 2"),
ISNUMBER(SEARCH("FEMALE WARD",K767)), PROPER("FEMALE MEDICAL"),
TRUE, "Unmapped: " &amp; K767)</f>
        <v>Paediatric</v>
      </c>
      <c r="M767" t="s">
        <v>22</v>
      </c>
      <c r="O767" t="s">
        <v>2637</v>
      </c>
      <c r="P767" t="str">
        <f t="shared" si="93"/>
        <v>Text Error</v>
      </c>
      <c r="Q767" s="5">
        <v>46044.047094907408</v>
      </c>
      <c r="R767" t="str">
        <f t="shared" si="94"/>
        <v>Valid Date</v>
      </c>
      <c r="S767" t="s">
        <v>2638</v>
      </c>
      <c r="T767" s="5">
        <v>46045.628379629627</v>
      </c>
      <c r="U767">
        <v>1</v>
      </c>
      <c r="V767" t="str">
        <f t="shared" si="95"/>
        <v>OK</v>
      </c>
      <c r="W767" t="s">
        <v>25</v>
      </c>
      <c r="Y767" t="s">
        <v>30</v>
      </c>
    </row>
    <row r="768" spans="1:25" x14ac:dyDescent="0.25">
      <c r="A768" t="s">
        <v>2639</v>
      </c>
      <c r="B768" t="str">
        <f t="shared" si="89"/>
        <v>Specioiza N Bilahandi</v>
      </c>
      <c r="C768">
        <v>129225</v>
      </c>
      <c r="D768" t="str">
        <f t="shared" si="88"/>
        <v>Unique</v>
      </c>
      <c r="E768" t="s">
        <v>922</v>
      </c>
      <c r="F768" s="3">
        <f t="shared" si="90"/>
        <v>65</v>
      </c>
      <c r="G768" t="s">
        <v>32</v>
      </c>
      <c r="H768" t="str">
        <f t="shared" si="91"/>
        <v>Valid</v>
      </c>
      <c r="I768" t="s">
        <v>130</v>
      </c>
      <c r="J768" t="str">
        <f t="shared" si="92"/>
        <v>Buhigwe</v>
      </c>
      <c r="K768" t="s">
        <v>123</v>
      </c>
      <c r="L768" t="str" cm="1">
        <f t="array" ref="L768">_xlfn.IFS(
ISNUMBER(SEARCH("ICU",K768)), "ICU",
ISNUMBER(SEARCH("NEONATAL",K768)), PROPER("NEONATAL"),
ISNUMBER(SEARCH("LABOUR",K768)), PROPER("LABOUR"),
ISNUMBER(SEARCH("PAEDIATRIC",K768)), PROPER("PAEDIATRIC"),
ISNUMBER(SEARCH("FEMALE SURGICAL",K768)), PROPER("FEMALE SURG, ORTHO &amp; GYN"),
ISNUMBER(SEARCH("PSYCHIATRIST",K768)), PROPER("PSYCHIATRIST"),
ISNUMBER(SEARCH("GRADE 1",K768)), PROPER("GRADE 1"),
ISNUMBER(SEARCH("MALE SURGICAL",K768)), PROPER("MALE SURG &amp; ORTHOPEDIC"),
ISNUMBER(SEARCH("MALE MEDICAL",K768)), PROPER("MALE MEDICAL"),
ISNUMBER(SEARCH("GRADE 2",K768)), PROPER("GRADE 2"),
ISNUMBER(SEARCH("FEMALE WARD",K768)), PROPER("FEMALE MEDICAL"),
TRUE, "Unmapped: " &amp; K768)</f>
        <v>Female Surg, Ortho &amp; Gyn</v>
      </c>
      <c r="M768" t="s">
        <v>394</v>
      </c>
      <c r="O768" t="s">
        <v>2640</v>
      </c>
      <c r="P768" t="str">
        <f t="shared" si="93"/>
        <v>Text Error</v>
      </c>
      <c r="Q768" s="5">
        <v>46044.452268518522</v>
      </c>
      <c r="R768" t="str">
        <f t="shared" si="94"/>
        <v>Valid Date</v>
      </c>
      <c r="S768" t="s">
        <v>2641</v>
      </c>
      <c r="T768" s="5">
        <v>46045.629351851851</v>
      </c>
      <c r="U768">
        <v>1</v>
      </c>
      <c r="V768" t="str">
        <f t="shared" si="95"/>
        <v>OK</v>
      </c>
      <c r="W768" t="s">
        <v>25</v>
      </c>
      <c r="Y768" t="s">
        <v>30</v>
      </c>
    </row>
    <row r="769" spans="1:25" x14ac:dyDescent="0.25">
      <c r="A769" t="s">
        <v>2642</v>
      </c>
      <c r="B769" t="str">
        <f t="shared" si="89"/>
        <v>Penina K Eliphace</v>
      </c>
      <c r="C769">
        <v>46046</v>
      </c>
      <c r="D769" t="str">
        <f t="shared" si="88"/>
        <v>Unique</v>
      </c>
      <c r="E769" t="s">
        <v>400</v>
      </c>
      <c r="F769" s="3">
        <f t="shared" si="90"/>
        <v>39</v>
      </c>
      <c r="G769" t="s">
        <v>32</v>
      </c>
      <c r="H769" t="str">
        <f t="shared" si="91"/>
        <v>Valid</v>
      </c>
      <c r="I769" t="s">
        <v>62</v>
      </c>
      <c r="J769" t="str">
        <f t="shared" si="92"/>
        <v>Kigoma Vijijini</v>
      </c>
      <c r="K769" t="s">
        <v>40</v>
      </c>
      <c r="L769" t="str" cm="1">
        <f t="array" ref="L769">_xlfn.IFS(
ISNUMBER(SEARCH("ICU",K769)), "ICU",
ISNUMBER(SEARCH("NEONATAL",K769)), PROPER("NEONATAL"),
ISNUMBER(SEARCH("LABOUR",K769)), PROPER("LABOUR"),
ISNUMBER(SEARCH("PAEDIATRIC",K769)), PROPER("PAEDIATRIC"),
ISNUMBER(SEARCH("FEMALE SURGICAL",K769)), PROPER("FEMALE SURG, ORTHO &amp; GYN"),
ISNUMBER(SEARCH("PSYCHIATRIST",K769)), PROPER("PSYCHIATRIST"),
ISNUMBER(SEARCH("GRADE 1",K769)), PROPER("GRADE 1"),
ISNUMBER(SEARCH("MALE SURGICAL",K769)), PROPER("MALE SURG &amp; ORTHOPEDIC"),
ISNUMBER(SEARCH("MALE MEDICAL",K769)), PROPER("MALE MEDICAL"),
ISNUMBER(SEARCH("GRADE 2",K769)), PROPER("GRADE 2"),
ISNUMBER(SEARCH("FEMALE WARD",K769)), PROPER("FEMALE MEDICAL"),
TRUE, "Unmapped: " &amp; K769)</f>
        <v>Labour</v>
      </c>
      <c r="M769" t="s">
        <v>394</v>
      </c>
      <c r="O769" t="s">
        <v>2643</v>
      </c>
      <c r="P769" t="str">
        <f t="shared" si="93"/>
        <v>Text Error</v>
      </c>
      <c r="Q769" s="5">
        <v>46044.460509259261</v>
      </c>
      <c r="R769" t="str">
        <f t="shared" si="94"/>
        <v>Valid Date</v>
      </c>
      <c r="S769" t="s">
        <v>2644</v>
      </c>
      <c r="T769" s="5">
        <v>46045.624918981484</v>
      </c>
      <c r="U769">
        <v>1</v>
      </c>
      <c r="V769" t="str">
        <f t="shared" si="95"/>
        <v>OK</v>
      </c>
      <c r="W769" t="s">
        <v>25</v>
      </c>
      <c r="Y769" t="s">
        <v>30</v>
      </c>
    </row>
    <row r="770" spans="1:25" x14ac:dyDescent="0.25">
      <c r="A770" t="s">
        <v>2645</v>
      </c>
      <c r="B770" t="str">
        <f t="shared" si="89"/>
        <v>Elisia Zogoye Mpindukila</v>
      </c>
      <c r="C770">
        <v>129232</v>
      </c>
      <c r="D770" t="str">
        <f t="shared" ref="D770:D833" si="96">IF(COUNTIF($C$2:$C$905,C770)&gt;1,"Duplicate","Unique")</f>
        <v>Unique</v>
      </c>
      <c r="E770" t="s">
        <v>572</v>
      </c>
      <c r="F770" s="3">
        <f t="shared" si="90"/>
        <v>61</v>
      </c>
      <c r="G770" t="s">
        <v>32</v>
      </c>
      <c r="H770" t="str">
        <f t="shared" si="91"/>
        <v>Valid</v>
      </c>
      <c r="I770" t="s">
        <v>33</v>
      </c>
      <c r="J770" t="str">
        <f t="shared" si="92"/>
        <v>Kigoma Ujiji Mc</v>
      </c>
      <c r="K770" t="s">
        <v>700</v>
      </c>
      <c r="L770" t="str" cm="1">
        <f t="array" ref="L770">_xlfn.IFS(
ISNUMBER(SEARCH("ICU",K770)), "ICU",
ISNUMBER(SEARCH("NEONATAL",K770)), PROPER("NEONATAL"),
ISNUMBER(SEARCH("LABOUR",K770)), PROPER("LABOUR"),
ISNUMBER(SEARCH("PAEDIATRIC",K770)), PROPER("PAEDIATRIC"),
ISNUMBER(SEARCH("FEMALE SURGICAL",K770)), PROPER("FEMALE SURG, ORTHO &amp; GYN"),
ISNUMBER(SEARCH("PSYCHIATRIST",K770)), PROPER("PSYCHIATRIST"),
ISNUMBER(SEARCH("GRADE 1",K770)), PROPER("GRADE 1"),
ISNUMBER(SEARCH("MALE SURGICAL",K770)), PROPER("MALE SURG &amp; ORTHOPEDIC"),
ISNUMBER(SEARCH("MALE MEDICAL",K770)), PROPER("MALE MEDICAL"),
ISNUMBER(SEARCH("GRADE 2",K770)), PROPER("GRADE 2"),
ISNUMBER(SEARCH("FEMALE WARD",K770)), PROPER("FEMALE MEDICAL"),
TRUE, "Unmapped: " &amp; K770)</f>
        <v>Female Medical</v>
      </c>
      <c r="M770" t="s">
        <v>22</v>
      </c>
      <c r="O770" t="s">
        <v>2646</v>
      </c>
      <c r="P770" t="str">
        <f t="shared" si="93"/>
        <v>Text Error</v>
      </c>
      <c r="Q770" s="5">
        <v>46044.593865740739</v>
      </c>
      <c r="R770" t="str">
        <f t="shared" si="94"/>
        <v>Valid Date</v>
      </c>
      <c r="S770" t="s">
        <v>2647</v>
      </c>
      <c r="T770" s="5">
        <v>46046.48945601852</v>
      </c>
      <c r="U770">
        <v>1</v>
      </c>
      <c r="V770" t="str">
        <f t="shared" si="95"/>
        <v>OK</v>
      </c>
      <c r="W770" t="s">
        <v>25</v>
      </c>
      <c r="Y770" t="s">
        <v>30</v>
      </c>
    </row>
    <row r="771" spans="1:25" x14ac:dyDescent="0.25">
      <c r="A771" t="s">
        <v>2648</v>
      </c>
      <c r="B771" t="str">
        <f t="shared" ref="B771:B834" si="97">IF(LEN(TRIM(A771))-LEN(SUBSTITUTE(TRIM(A771)," ",""))&gt;=1,TRIM(A771),"⚠ Only 1 name: "&amp;TRIM(A771))</f>
        <v>Sania Mikidadi Khalifani</v>
      </c>
      <c r="C771">
        <v>52635</v>
      </c>
      <c r="D771" t="str">
        <f t="shared" si="96"/>
        <v>Unique</v>
      </c>
      <c r="E771" t="s">
        <v>577</v>
      </c>
      <c r="F771" s="3">
        <f t="shared" ref="F771:F834" si="98">IF(ISNUMBER(SEARCH("month",E771)), LEFT(E771,FIND(" ",E771)-1)&amp;"/12", VALUE(LEFT(E771,FIND(" ",E771)-1)))</f>
        <v>47</v>
      </c>
      <c r="G771" t="s">
        <v>32</v>
      </c>
      <c r="H771" t="str">
        <f t="shared" ref="H771:H834" si="99">IF(OR(TRIM(G771)="Male", TRIM(G771)="Female"), "Valid", "Inconsistent")</f>
        <v>Valid</v>
      </c>
      <c r="I771" t="s">
        <v>227</v>
      </c>
      <c r="J771" t="str">
        <f t="shared" ref="J771:J834" si="100">SUBSTITUTE(SUBSTITUTE(TRIM(CLEAN(I771)),"Manisipaa ya kigoma ujiji","Kigoma Ujiji Mc"),"Buhingwe","Buhigwe")</f>
        <v>KGG</v>
      </c>
      <c r="K771" t="s">
        <v>700</v>
      </c>
      <c r="L771" t="str" cm="1">
        <f t="array" ref="L771">_xlfn.IFS(
ISNUMBER(SEARCH("ICU",K771)), "ICU",
ISNUMBER(SEARCH("NEONATAL",K771)), PROPER("NEONATAL"),
ISNUMBER(SEARCH("LABOUR",K771)), PROPER("LABOUR"),
ISNUMBER(SEARCH("PAEDIATRIC",K771)), PROPER("PAEDIATRIC"),
ISNUMBER(SEARCH("FEMALE SURGICAL",K771)), PROPER("FEMALE SURG, ORTHO &amp; GYN"),
ISNUMBER(SEARCH("PSYCHIATRIST",K771)), PROPER("PSYCHIATRIST"),
ISNUMBER(SEARCH("GRADE 1",K771)), PROPER("GRADE 1"),
ISNUMBER(SEARCH("MALE SURGICAL",K771)), PROPER("MALE SURG &amp; ORTHOPEDIC"),
ISNUMBER(SEARCH("MALE MEDICAL",K771)), PROPER("MALE MEDICAL"),
ISNUMBER(SEARCH("GRADE 2",K771)), PROPER("GRADE 2"),
ISNUMBER(SEARCH("FEMALE WARD",K771)), PROPER("FEMALE MEDICAL"),
TRUE, "Unmapped: " &amp; K771)</f>
        <v>Female Medical</v>
      </c>
      <c r="M771" t="s">
        <v>22</v>
      </c>
      <c r="O771" t="s">
        <v>2649</v>
      </c>
      <c r="P771" t="str">
        <f t="shared" ref="P771:P834" si="101">IF(ISNUMBER(O771), "Valid Date", "Text Error")</f>
        <v>Text Error</v>
      </c>
      <c r="Q771" s="5">
        <v>46044.632835648146</v>
      </c>
      <c r="R771" t="str">
        <f t="shared" ref="R771:R834" si="102">IF(ISNUMBER(Q771), "Valid Date", "Text Error")</f>
        <v>Valid Date</v>
      </c>
      <c r="S771" t="s">
        <v>2650</v>
      </c>
      <c r="T771" s="5">
        <v>46046.628067129626</v>
      </c>
      <c r="U771">
        <v>1</v>
      </c>
      <c r="V771" t="str">
        <f t="shared" ref="V771:V834" si="103">IF(NOT(ISNUMBER(U771)), "Text Error", IF(U771&lt;0, "Negative", "OK"))</f>
        <v>OK</v>
      </c>
      <c r="W771" t="s">
        <v>25</v>
      </c>
      <c r="Y771" t="s">
        <v>30</v>
      </c>
    </row>
    <row r="772" spans="1:25" x14ac:dyDescent="0.25">
      <c r="A772" t="s">
        <v>2651</v>
      </c>
      <c r="B772" t="str">
        <f t="shared" si="97"/>
        <v>Ariana Deus Oscar</v>
      </c>
      <c r="C772">
        <v>129295</v>
      </c>
      <c r="D772" t="str">
        <f t="shared" si="96"/>
        <v>Unique</v>
      </c>
      <c r="E772" t="s">
        <v>221</v>
      </c>
      <c r="F772" s="3" t="str">
        <f t="shared" si="98"/>
        <v>9/12</v>
      </c>
      <c r="G772" t="s">
        <v>32</v>
      </c>
      <c r="H772" t="str">
        <f t="shared" si="99"/>
        <v>Valid</v>
      </c>
      <c r="I772" t="s">
        <v>62</v>
      </c>
      <c r="J772" t="str">
        <f t="shared" si="100"/>
        <v>Kigoma Vijijini</v>
      </c>
      <c r="K772" t="s">
        <v>109</v>
      </c>
      <c r="L772" t="str" cm="1">
        <f t="array" ref="L772">_xlfn.IFS(
ISNUMBER(SEARCH("ICU",K772)), "ICU",
ISNUMBER(SEARCH("NEONATAL",K772)), PROPER("NEONATAL"),
ISNUMBER(SEARCH("LABOUR",K772)), PROPER("LABOUR"),
ISNUMBER(SEARCH("PAEDIATRIC",K772)), PROPER("PAEDIATRIC"),
ISNUMBER(SEARCH("FEMALE SURGICAL",K772)), PROPER("FEMALE SURG, ORTHO &amp; GYN"),
ISNUMBER(SEARCH("PSYCHIATRIST",K772)), PROPER("PSYCHIATRIST"),
ISNUMBER(SEARCH("GRADE 1",K772)), PROPER("GRADE 1"),
ISNUMBER(SEARCH("MALE SURGICAL",K772)), PROPER("MALE SURG &amp; ORTHOPEDIC"),
ISNUMBER(SEARCH("MALE MEDICAL",K772)), PROPER("MALE MEDICAL"),
ISNUMBER(SEARCH("GRADE 2",K772)), PROPER("GRADE 2"),
ISNUMBER(SEARCH("FEMALE WARD",K772)), PROPER("FEMALE MEDICAL"),
TRUE, "Unmapped: " &amp; K772)</f>
        <v>Paediatric</v>
      </c>
      <c r="M772" t="s">
        <v>22</v>
      </c>
      <c r="O772" t="s">
        <v>2652</v>
      </c>
      <c r="P772" t="str">
        <f t="shared" si="101"/>
        <v>Text Error</v>
      </c>
      <c r="Q772" s="5">
        <v>46044.734872685185</v>
      </c>
      <c r="R772" t="str">
        <f t="shared" si="102"/>
        <v>Valid Date</v>
      </c>
      <c r="S772" t="s">
        <v>2653</v>
      </c>
      <c r="T772" s="5">
        <v>46046.668622685182</v>
      </c>
      <c r="U772">
        <v>1</v>
      </c>
      <c r="V772" t="str">
        <f t="shared" si="103"/>
        <v>OK</v>
      </c>
      <c r="W772" t="s">
        <v>112</v>
      </c>
      <c r="Y772" t="s">
        <v>30</v>
      </c>
    </row>
    <row r="773" spans="1:25" x14ac:dyDescent="0.25">
      <c r="A773" t="s">
        <v>2654</v>
      </c>
      <c r="B773" t="str">
        <f t="shared" si="97"/>
        <v>Aisha Alipipi Mwamengo</v>
      </c>
      <c r="C773">
        <v>129293</v>
      </c>
      <c r="D773" t="str">
        <f t="shared" si="96"/>
        <v>Unique</v>
      </c>
      <c r="E773" t="s">
        <v>193</v>
      </c>
      <c r="F773" s="3">
        <f t="shared" si="98"/>
        <v>5</v>
      </c>
      <c r="G773" t="s">
        <v>32</v>
      </c>
      <c r="H773" t="str">
        <f t="shared" si="99"/>
        <v>Valid</v>
      </c>
      <c r="I773" t="s">
        <v>33</v>
      </c>
      <c r="J773" t="str">
        <f t="shared" si="100"/>
        <v>Kigoma Ujiji Mc</v>
      </c>
      <c r="K773" t="s">
        <v>109</v>
      </c>
      <c r="L773" t="str" cm="1">
        <f t="array" ref="L773">_xlfn.IFS(
ISNUMBER(SEARCH("ICU",K773)), "ICU",
ISNUMBER(SEARCH("NEONATAL",K773)), PROPER("NEONATAL"),
ISNUMBER(SEARCH("LABOUR",K773)), PROPER("LABOUR"),
ISNUMBER(SEARCH("PAEDIATRIC",K773)), PROPER("PAEDIATRIC"),
ISNUMBER(SEARCH("FEMALE SURGICAL",K773)), PROPER("FEMALE SURG, ORTHO &amp; GYN"),
ISNUMBER(SEARCH("PSYCHIATRIST",K773)), PROPER("PSYCHIATRIST"),
ISNUMBER(SEARCH("GRADE 1",K773)), PROPER("GRADE 1"),
ISNUMBER(SEARCH("MALE SURGICAL",K773)), PROPER("MALE SURG &amp; ORTHOPEDIC"),
ISNUMBER(SEARCH("MALE MEDICAL",K773)), PROPER("MALE MEDICAL"),
ISNUMBER(SEARCH("GRADE 2",K773)), PROPER("GRADE 2"),
ISNUMBER(SEARCH("FEMALE WARD",K773)), PROPER("FEMALE MEDICAL"),
TRUE, "Unmapped: " &amp; K773)</f>
        <v>Paediatric</v>
      </c>
      <c r="M773" t="s">
        <v>22</v>
      </c>
      <c r="O773" t="s">
        <v>2655</v>
      </c>
      <c r="P773" t="str">
        <f t="shared" si="101"/>
        <v>Text Error</v>
      </c>
      <c r="Q773" s="5">
        <v>46044.756030092591</v>
      </c>
      <c r="R773" t="str">
        <f t="shared" si="102"/>
        <v>Valid Date</v>
      </c>
      <c r="S773" t="s">
        <v>2656</v>
      </c>
      <c r="T773" s="5">
        <v>46046.734537037039</v>
      </c>
      <c r="U773">
        <v>1</v>
      </c>
      <c r="V773" t="str">
        <f t="shared" si="103"/>
        <v>OK</v>
      </c>
      <c r="W773" t="s">
        <v>25</v>
      </c>
      <c r="Y773" t="s">
        <v>30</v>
      </c>
    </row>
    <row r="774" spans="1:25" x14ac:dyDescent="0.25">
      <c r="A774" t="s">
        <v>2657</v>
      </c>
      <c r="B774" t="str">
        <f t="shared" si="97"/>
        <v>Theodora Amani Kilatungwa</v>
      </c>
      <c r="C774">
        <v>129310</v>
      </c>
      <c r="D774" t="str">
        <f t="shared" si="96"/>
        <v>Unique</v>
      </c>
      <c r="E774" t="s">
        <v>622</v>
      </c>
      <c r="F774" s="3" t="str">
        <f t="shared" si="98"/>
        <v>2/12</v>
      </c>
      <c r="G774" t="s">
        <v>32</v>
      </c>
      <c r="H774" t="str">
        <f t="shared" si="99"/>
        <v>Valid</v>
      </c>
      <c r="I774" t="s">
        <v>62</v>
      </c>
      <c r="J774" t="str">
        <f t="shared" si="100"/>
        <v>Kigoma Vijijini</v>
      </c>
      <c r="K774" t="s">
        <v>21</v>
      </c>
      <c r="L774" t="str" cm="1">
        <f t="array" ref="L774">_xlfn.IFS(
ISNUMBER(SEARCH("ICU",K774)), "ICU",
ISNUMBER(SEARCH("NEONATAL",K774)), PROPER("NEONATAL"),
ISNUMBER(SEARCH("LABOUR",K774)), PROPER("LABOUR"),
ISNUMBER(SEARCH("PAEDIATRIC",K774)), PROPER("PAEDIATRIC"),
ISNUMBER(SEARCH("FEMALE SURGICAL",K774)), PROPER("FEMALE SURG, ORTHO &amp; GYN"),
ISNUMBER(SEARCH("PSYCHIATRIST",K774)), PROPER("PSYCHIATRIST"),
ISNUMBER(SEARCH("GRADE 1",K774)), PROPER("GRADE 1"),
ISNUMBER(SEARCH("MALE SURGICAL",K774)), PROPER("MALE SURG &amp; ORTHOPEDIC"),
ISNUMBER(SEARCH("MALE MEDICAL",K774)), PROPER("MALE MEDICAL"),
ISNUMBER(SEARCH("GRADE 2",K774)), PROPER("GRADE 2"),
ISNUMBER(SEARCH("FEMALE WARD",K774)), PROPER("FEMALE MEDICAL"),
TRUE, "Unmapped: " &amp; K774)</f>
        <v>Neonatal</v>
      </c>
      <c r="M774" t="s">
        <v>22</v>
      </c>
      <c r="O774" t="s">
        <v>2658</v>
      </c>
      <c r="P774" t="str">
        <f t="shared" si="101"/>
        <v>Text Error</v>
      </c>
      <c r="Q774" s="5">
        <v>46044.855138888888</v>
      </c>
      <c r="R774" t="str">
        <f t="shared" si="102"/>
        <v>Valid Date</v>
      </c>
      <c r="S774" t="s">
        <v>2659</v>
      </c>
      <c r="T774" s="5">
        <v>46046.569525462961</v>
      </c>
      <c r="U774">
        <v>1</v>
      </c>
      <c r="V774" t="str">
        <f t="shared" si="103"/>
        <v>OK</v>
      </c>
      <c r="W774" t="s">
        <v>112</v>
      </c>
      <c r="Y774" t="s">
        <v>30</v>
      </c>
    </row>
    <row r="775" spans="1:25" x14ac:dyDescent="0.25">
      <c r="A775" t="s">
        <v>2660</v>
      </c>
      <c r="B775" t="str">
        <f t="shared" si="97"/>
        <v>Nuhu Shabani Midogi</v>
      </c>
      <c r="C775">
        <v>129305</v>
      </c>
      <c r="D775" t="str">
        <f t="shared" si="96"/>
        <v>Unique</v>
      </c>
      <c r="E775" t="s">
        <v>2435</v>
      </c>
      <c r="F775" s="3">
        <f t="shared" si="98"/>
        <v>74</v>
      </c>
      <c r="G775" t="s">
        <v>19</v>
      </c>
      <c r="H775" t="str">
        <f t="shared" si="99"/>
        <v>Valid</v>
      </c>
      <c r="I775" t="s">
        <v>33</v>
      </c>
      <c r="J775" t="str">
        <f t="shared" si="100"/>
        <v>Kigoma Ujiji Mc</v>
      </c>
      <c r="K775" t="s">
        <v>484</v>
      </c>
      <c r="L775" t="str" cm="1">
        <f t="array" ref="L775">_xlfn.IFS(
ISNUMBER(SEARCH("ICU",K775)), "ICU",
ISNUMBER(SEARCH("NEONATAL",K775)), PROPER("NEONATAL"),
ISNUMBER(SEARCH("LABOUR",K775)), PROPER("LABOUR"),
ISNUMBER(SEARCH("PAEDIATRIC",K775)), PROPER("PAEDIATRIC"),
ISNUMBER(SEARCH("FEMALE SURGICAL",K775)), PROPER("FEMALE SURG, ORTHO &amp; GYN"),
ISNUMBER(SEARCH("PSYCHIATRIST",K775)), PROPER("PSYCHIATRIST"),
ISNUMBER(SEARCH("GRADE 1",K775)), PROPER("GRADE 1"),
ISNUMBER(SEARCH("MALE SURGICAL",K775)), PROPER("MALE SURG &amp; ORTHOPEDIC"),
ISNUMBER(SEARCH("MALE MEDICAL",K775)), PROPER("MALE MEDICAL"),
ISNUMBER(SEARCH("GRADE 2",K775)), PROPER("GRADE 2"),
ISNUMBER(SEARCH("FEMALE WARD",K775)), PROPER("FEMALE MEDICAL"),
TRUE, "Unmapped: " &amp; K775)</f>
        <v>Male Medical</v>
      </c>
      <c r="M775" t="s">
        <v>22</v>
      </c>
      <c r="O775" t="s">
        <v>2661</v>
      </c>
      <c r="P775" t="str">
        <f t="shared" si="101"/>
        <v>Text Error</v>
      </c>
      <c r="Q775" s="5">
        <v>46044.972673611112</v>
      </c>
      <c r="R775" t="str">
        <f t="shared" si="102"/>
        <v>Valid Date</v>
      </c>
      <c r="S775" t="s">
        <v>2662</v>
      </c>
      <c r="T775" s="5">
        <v>46046.582951388889</v>
      </c>
      <c r="U775">
        <v>1</v>
      </c>
      <c r="V775" t="str">
        <f t="shared" si="103"/>
        <v>OK</v>
      </c>
      <c r="W775" t="s">
        <v>25</v>
      </c>
      <c r="Y775" t="s">
        <v>30</v>
      </c>
    </row>
    <row r="776" spans="1:25" x14ac:dyDescent="0.25">
      <c r="A776" t="s">
        <v>2663</v>
      </c>
      <c r="B776" t="str">
        <f t="shared" si="97"/>
        <v>Bright Bruno Lameck</v>
      </c>
      <c r="C776">
        <v>90839</v>
      </c>
      <c r="D776" t="str">
        <f t="shared" si="96"/>
        <v>Unique</v>
      </c>
      <c r="E776" t="s">
        <v>18</v>
      </c>
      <c r="F776" s="3">
        <f t="shared" si="98"/>
        <v>1</v>
      </c>
      <c r="G776" t="s">
        <v>19</v>
      </c>
      <c r="H776" t="str">
        <f t="shared" si="99"/>
        <v>Valid</v>
      </c>
      <c r="I776" t="s">
        <v>33</v>
      </c>
      <c r="J776" t="str">
        <f t="shared" si="100"/>
        <v>Kigoma Ujiji Mc</v>
      </c>
      <c r="K776" t="s">
        <v>109</v>
      </c>
      <c r="L776" t="str" cm="1">
        <f t="array" ref="L776">_xlfn.IFS(
ISNUMBER(SEARCH("ICU",K776)), "ICU",
ISNUMBER(SEARCH("NEONATAL",K776)), PROPER("NEONATAL"),
ISNUMBER(SEARCH("LABOUR",K776)), PROPER("LABOUR"),
ISNUMBER(SEARCH("PAEDIATRIC",K776)), PROPER("PAEDIATRIC"),
ISNUMBER(SEARCH("FEMALE SURGICAL",K776)), PROPER("FEMALE SURG, ORTHO &amp; GYN"),
ISNUMBER(SEARCH("PSYCHIATRIST",K776)), PROPER("PSYCHIATRIST"),
ISNUMBER(SEARCH("GRADE 1",K776)), PROPER("GRADE 1"),
ISNUMBER(SEARCH("MALE SURGICAL",K776)), PROPER("MALE SURG &amp; ORTHOPEDIC"),
ISNUMBER(SEARCH("MALE MEDICAL",K776)), PROPER("MALE MEDICAL"),
ISNUMBER(SEARCH("GRADE 2",K776)), PROPER("GRADE 2"),
ISNUMBER(SEARCH("FEMALE WARD",K776)), PROPER("FEMALE MEDICAL"),
TRUE, "Unmapped: " &amp; K776)</f>
        <v>Paediatric</v>
      </c>
      <c r="M776" t="s">
        <v>394</v>
      </c>
      <c r="O776" t="s">
        <v>2664</v>
      </c>
      <c r="P776" t="str">
        <f t="shared" si="101"/>
        <v>Text Error</v>
      </c>
      <c r="Q776" s="5">
        <v>46045.281597222223</v>
      </c>
      <c r="R776" t="str">
        <f t="shared" si="102"/>
        <v>Valid Date</v>
      </c>
      <c r="S776" t="s">
        <v>2665</v>
      </c>
      <c r="T776" s="5">
        <v>46046.689432870371</v>
      </c>
      <c r="U776">
        <v>1</v>
      </c>
      <c r="V776" t="str">
        <f t="shared" si="103"/>
        <v>OK</v>
      </c>
      <c r="W776" t="s">
        <v>112</v>
      </c>
      <c r="Y776" t="s">
        <v>30</v>
      </c>
    </row>
    <row r="777" spans="1:25" x14ac:dyDescent="0.25">
      <c r="A777" t="s">
        <v>2666</v>
      </c>
      <c r="B777" t="str">
        <f t="shared" si="97"/>
        <v>Marry M Alsen</v>
      </c>
      <c r="C777">
        <v>69294</v>
      </c>
      <c r="D777" t="str">
        <f t="shared" si="96"/>
        <v>Unique</v>
      </c>
      <c r="E777" t="s">
        <v>108</v>
      </c>
      <c r="F777" s="3">
        <f t="shared" si="98"/>
        <v>2</v>
      </c>
      <c r="G777" t="s">
        <v>32</v>
      </c>
      <c r="H777" t="str">
        <f t="shared" si="99"/>
        <v>Valid</v>
      </c>
      <c r="I777" t="s">
        <v>33</v>
      </c>
      <c r="J777" t="str">
        <f t="shared" si="100"/>
        <v>Kigoma Ujiji Mc</v>
      </c>
      <c r="K777" t="s">
        <v>109</v>
      </c>
      <c r="L777" t="str" cm="1">
        <f t="array" ref="L777">_xlfn.IFS(
ISNUMBER(SEARCH("ICU",K777)), "ICU",
ISNUMBER(SEARCH("NEONATAL",K777)), PROPER("NEONATAL"),
ISNUMBER(SEARCH("LABOUR",K777)), PROPER("LABOUR"),
ISNUMBER(SEARCH("PAEDIATRIC",K777)), PROPER("PAEDIATRIC"),
ISNUMBER(SEARCH("FEMALE SURGICAL",K777)), PROPER("FEMALE SURG, ORTHO &amp; GYN"),
ISNUMBER(SEARCH("PSYCHIATRIST",K777)), PROPER("PSYCHIATRIST"),
ISNUMBER(SEARCH("GRADE 1",K777)), PROPER("GRADE 1"),
ISNUMBER(SEARCH("MALE SURGICAL",K777)), PROPER("MALE SURG &amp; ORTHOPEDIC"),
ISNUMBER(SEARCH("MALE MEDICAL",K777)), PROPER("MALE MEDICAL"),
ISNUMBER(SEARCH("GRADE 2",K777)), PROPER("GRADE 2"),
ISNUMBER(SEARCH("FEMALE WARD",K777)), PROPER("FEMALE MEDICAL"),
TRUE, "Unmapped: " &amp; K777)</f>
        <v>Paediatric</v>
      </c>
      <c r="M777" t="s">
        <v>394</v>
      </c>
      <c r="O777" t="s">
        <v>2667</v>
      </c>
      <c r="P777" t="str">
        <f t="shared" si="101"/>
        <v>Text Error</v>
      </c>
      <c r="Q777" s="5">
        <v>46045.608969907407</v>
      </c>
      <c r="R777" t="str">
        <f t="shared" si="102"/>
        <v>Valid Date</v>
      </c>
      <c r="S777" t="s">
        <v>2668</v>
      </c>
      <c r="T777" s="5">
        <v>46047.522858796299</v>
      </c>
      <c r="U777">
        <v>1</v>
      </c>
      <c r="V777" t="str">
        <f t="shared" si="103"/>
        <v>OK</v>
      </c>
      <c r="W777" t="s">
        <v>112</v>
      </c>
      <c r="Y777" t="s">
        <v>30</v>
      </c>
    </row>
    <row r="778" spans="1:25" x14ac:dyDescent="0.25">
      <c r="A778" t="s">
        <v>2669</v>
      </c>
      <c r="B778" t="str">
        <f t="shared" si="97"/>
        <v>Benedicto B Method</v>
      </c>
      <c r="C778">
        <v>74558</v>
      </c>
      <c r="D778" t="str">
        <f t="shared" si="96"/>
        <v>Unique</v>
      </c>
      <c r="E778" t="s">
        <v>108</v>
      </c>
      <c r="F778" s="3">
        <f t="shared" si="98"/>
        <v>2</v>
      </c>
      <c r="G778" t="s">
        <v>19</v>
      </c>
      <c r="H778" t="str">
        <f t="shared" si="99"/>
        <v>Valid</v>
      </c>
      <c r="I778" t="s">
        <v>227</v>
      </c>
      <c r="J778" t="str">
        <f t="shared" si="100"/>
        <v>KGG</v>
      </c>
      <c r="K778" t="s">
        <v>109</v>
      </c>
      <c r="L778" t="str" cm="1">
        <f t="array" ref="L778">_xlfn.IFS(
ISNUMBER(SEARCH("ICU",K778)), "ICU",
ISNUMBER(SEARCH("NEONATAL",K778)), PROPER("NEONATAL"),
ISNUMBER(SEARCH("LABOUR",K778)), PROPER("LABOUR"),
ISNUMBER(SEARCH("PAEDIATRIC",K778)), PROPER("PAEDIATRIC"),
ISNUMBER(SEARCH("FEMALE SURGICAL",K778)), PROPER("FEMALE SURG, ORTHO &amp; GYN"),
ISNUMBER(SEARCH("PSYCHIATRIST",K778)), PROPER("PSYCHIATRIST"),
ISNUMBER(SEARCH("GRADE 1",K778)), PROPER("GRADE 1"),
ISNUMBER(SEARCH("MALE SURGICAL",K778)), PROPER("MALE SURG &amp; ORTHOPEDIC"),
ISNUMBER(SEARCH("MALE MEDICAL",K778)), PROPER("MALE MEDICAL"),
ISNUMBER(SEARCH("GRADE 2",K778)), PROPER("GRADE 2"),
ISNUMBER(SEARCH("FEMALE WARD",K778)), PROPER("FEMALE MEDICAL"),
TRUE, "Unmapped: " &amp; K778)</f>
        <v>Paediatric</v>
      </c>
      <c r="M778" t="s">
        <v>394</v>
      </c>
      <c r="O778" t="s">
        <v>2670</v>
      </c>
      <c r="P778" t="str">
        <f t="shared" si="101"/>
        <v>Text Error</v>
      </c>
      <c r="Q778" s="5">
        <v>46045.634525462963</v>
      </c>
      <c r="R778" t="str">
        <f t="shared" si="102"/>
        <v>Valid Date</v>
      </c>
      <c r="S778" t="s">
        <v>2671</v>
      </c>
      <c r="T778" s="5">
        <v>46047.507326388892</v>
      </c>
      <c r="U778">
        <v>1</v>
      </c>
      <c r="V778" t="str">
        <f t="shared" si="103"/>
        <v>OK</v>
      </c>
      <c r="W778" t="s">
        <v>25</v>
      </c>
      <c r="Y778" t="s">
        <v>30</v>
      </c>
    </row>
    <row r="779" spans="1:25" x14ac:dyDescent="0.25">
      <c r="A779" t="s">
        <v>2672</v>
      </c>
      <c r="B779" t="str">
        <f t="shared" si="97"/>
        <v>Jovan Emmanuel Msuya</v>
      </c>
      <c r="C779">
        <v>129385</v>
      </c>
      <c r="D779" t="str">
        <f t="shared" si="96"/>
        <v>Unique</v>
      </c>
      <c r="E779" t="s">
        <v>108</v>
      </c>
      <c r="F779" s="3">
        <f t="shared" si="98"/>
        <v>2</v>
      </c>
      <c r="G779" t="s">
        <v>19</v>
      </c>
      <c r="H779" t="str">
        <f t="shared" si="99"/>
        <v>Valid</v>
      </c>
      <c r="I779" t="s">
        <v>33</v>
      </c>
      <c r="J779" t="str">
        <f t="shared" si="100"/>
        <v>Kigoma Ujiji Mc</v>
      </c>
      <c r="K779" t="s">
        <v>109</v>
      </c>
      <c r="L779" t="str" cm="1">
        <f t="array" ref="L779">_xlfn.IFS(
ISNUMBER(SEARCH("ICU",K779)), "ICU",
ISNUMBER(SEARCH("NEONATAL",K779)), PROPER("NEONATAL"),
ISNUMBER(SEARCH("LABOUR",K779)), PROPER("LABOUR"),
ISNUMBER(SEARCH("PAEDIATRIC",K779)), PROPER("PAEDIATRIC"),
ISNUMBER(SEARCH("FEMALE SURGICAL",K779)), PROPER("FEMALE SURG, ORTHO &amp; GYN"),
ISNUMBER(SEARCH("PSYCHIATRIST",K779)), PROPER("PSYCHIATRIST"),
ISNUMBER(SEARCH("GRADE 1",K779)), PROPER("GRADE 1"),
ISNUMBER(SEARCH("MALE SURGICAL",K779)), PROPER("MALE SURG &amp; ORTHOPEDIC"),
ISNUMBER(SEARCH("MALE MEDICAL",K779)), PROPER("MALE MEDICAL"),
ISNUMBER(SEARCH("GRADE 2",K779)), PROPER("GRADE 2"),
ISNUMBER(SEARCH("FEMALE WARD",K779)), PROPER("FEMALE MEDICAL"),
TRUE, "Unmapped: " &amp; K779)</f>
        <v>Paediatric</v>
      </c>
      <c r="M779" t="s">
        <v>22</v>
      </c>
      <c r="O779" t="s">
        <v>2673</v>
      </c>
      <c r="P779" t="str">
        <f t="shared" si="101"/>
        <v>Text Error</v>
      </c>
      <c r="Q779" s="5">
        <v>46045.649270833332</v>
      </c>
      <c r="R779" t="str">
        <f t="shared" si="102"/>
        <v>Valid Date</v>
      </c>
      <c r="S779" t="s">
        <v>2674</v>
      </c>
      <c r="T779" s="5">
        <v>46047.519166666665</v>
      </c>
      <c r="U779">
        <v>1</v>
      </c>
      <c r="V779" t="str">
        <f t="shared" si="103"/>
        <v>OK</v>
      </c>
      <c r="W779" t="s">
        <v>25</v>
      </c>
      <c r="Y779" t="s">
        <v>30</v>
      </c>
    </row>
    <row r="780" spans="1:25" x14ac:dyDescent="0.25">
      <c r="A780" t="s">
        <v>2675</v>
      </c>
      <c r="B780" t="str">
        <f t="shared" si="97"/>
        <v>Chimpaye Philbert Baliyangaa</v>
      </c>
      <c r="C780">
        <v>123958</v>
      </c>
      <c r="D780" t="str">
        <f t="shared" si="96"/>
        <v>Unique</v>
      </c>
      <c r="E780" t="s">
        <v>80</v>
      </c>
      <c r="F780" s="3">
        <f t="shared" si="98"/>
        <v>24</v>
      </c>
      <c r="G780" t="s">
        <v>32</v>
      </c>
      <c r="H780" t="str">
        <f t="shared" si="99"/>
        <v>Valid</v>
      </c>
      <c r="I780" t="s">
        <v>33</v>
      </c>
      <c r="J780" t="str">
        <f t="shared" si="100"/>
        <v>Kigoma Ujiji Mc</v>
      </c>
      <c r="K780" t="s">
        <v>40</v>
      </c>
      <c r="L780" t="str" cm="1">
        <f t="array" ref="L780">_xlfn.IFS(
ISNUMBER(SEARCH("ICU",K780)), "ICU",
ISNUMBER(SEARCH("NEONATAL",K780)), PROPER("NEONATAL"),
ISNUMBER(SEARCH("LABOUR",K780)), PROPER("LABOUR"),
ISNUMBER(SEARCH("PAEDIATRIC",K780)), PROPER("PAEDIATRIC"),
ISNUMBER(SEARCH("FEMALE SURGICAL",K780)), PROPER("FEMALE SURG, ORTHO &amp; GYN"),
ISNUMBER(SEARCH("PSYCHIATRIST",K780)), PROPER("PSYCHIATRIST"),
ISNUMBER(SEARCH("GRADE 1",K780)), PROPER("GRADE 1"),
ISNUMBER(SEARCH("MALE SURGICAL",K780)), PROPER("MALE SURG &amp; ORTHOPEDIC"),
ISNUMBER(SEARCH("MALE MEDICAL",K780)), PROPER("MALE MEDICAL"),
ISNUMBER(SEARCH("GRADE 2",K780)), PROPER("GRADE 2"),
ISNUMBER(SEARCH("FEMALE WARD",K780)), PROPER("FEMALE MEDICAL"),
TRUE, "Unmapped: " &amp; K780)</f>
        <v>Labour</v>
      </c>
      <c r="M780" t="s">
        <v>22</v>
      </c>
      <c r="O780" t="s">
        <v>2676</v>
      </c>
      <c r="P780" t="str">
        <f t="shared" si="101"/>
        <v>Text Error</v>
      </c>
      <c r="Q780" s="5">
        <v>46045.68854166667</v>
      </c>
      <c r="R780" t="str">
        <f t="shared" si="102"/>
        <v>Valid Date</v>
      </c>
      <c r="S780" t="s">
        <v>2677</v>
      </c>
      <c r="T780" s="5">
        <v>46047.560624999998</v>
      </c>
      <c r="U780">
        <v>1</v>
      </c>
      <c r="V780" t="str">
        <f t="shared" si="103"/>
        <v>OK</v>
      </c>
      <c r="W780" t="s">
        <v>25</v>
      </c>
      <c r="Y780" t="s">
        <v>30</v>
      </c>
    </row>
    <row r="781" spans="1:25" x14ac:dyDescent="0.25">
      <c r="A781" t="s">
        <v>2678</v>
      </c>
      <c r="B781" t="str">
        <f t="shared" si="97"/>
        <v>Imelida Elias Selekwa</v>
      </c>
      <c r="C781">
        <v>129437</v>
      </c>
      <c r="D781" t="str">
        <f t="shared" si="96"/>
        <v>Unique</v>
      </c>
      <c r="E781" t="s">
        <v>151</v>
      </c>
      <c r="F781" s="3">
        <f t="shared" si="98"/>
        <v>22</v>
      </c>
      <c r="G781" t="s">
        <v>32</v>
      </c>
      <c r="H781" t="str">
        <f t="shared" si="99"/>
        <v>Valid</v>
      </c>
      <c r="I781" t="s">
        <v>260</v>
      </c>
      <c r="J781" t="str">
        <f t="shared" si="100"/>
        <v>Kasulu</v>
      </c>
      <c r="K781" t="s">
        <v>40</v>
      </c>
      <c r="L781" t="str" cm="1">
        <f t="array" ref="L781">_xlfn.IFS(
ISNUMBER(SEARCH("ICU",K781)), "ICU",
ISNUMBER(SEARCH("NEONATAL",K781)), PROPER("NEONATAL"),
ISNUMBER(SEARCH("LABOUR",K781)), PROPER("LABOUR"),
ISNUMBER(SEARCH("PAEDIATRIC",K781)), PROPER("PAEDIATRIC"),
ISNUMBER(SEARCH("FEMALE SURGICAL",K781)), PROPER("FEMALE SURG, ORTHO &amp; GYN"),
ISNUMBER(SEARCH("PSYCHIATRIST",K781)), PROPER("PSYCHIATRIST"),
ISNUMBER(SEARCH("GRADE 1",K781)), PROPER("GRADE 1"),
ISNUMBER(SEARCH("MALE SURGICAL",K781)), PROPER("MALE SURG &amp; ORTHOPEDIC"),
ISNUMBER(SEARCH("MALE MEDICAL",K781)), PROPER("MALE MEDICAL"),
ISNUMBER(SEARCH("GRADE 2",K781)), PROPER("GRADE 2"),
ISNUMBER(SEARCH("FEMALE WARD",K781)), PROPER("FEMALE MEDICAL"),
TRUE, "Unmapped: " &amp; K781)</f>
        <v>Labour</v>
      </c>
      <c r="M781" t="s">
        <v>22</v>
      </c>
      <c r="O781" t="s">
        <v>2679</v>
      </c>
      <c r="P781" t="str">
        <f t="shared" si="101"/>
        <v>Text Error</v>
      </c>
      <c r="Q781" s="5">
        <v>46045.81454861111</v>
      </c>
      <c r="R781" t="str">
        <f t="shared" si="102"/>
        <v>Valid Date</v>
      </c>
      <c r="S781" t="s">
        <v>2680</v>
      </c>
      <c r="T781" s="5">
        <v>46047.638715277775</v>
      </c>
      <c r="U781">
        <v>1</v>
      </c>
      <c r="V781" t="str">
        <f t="shared" si="103"/>
        <v>OK</v>
      </c>
      <c r="W781" t="s">
        <v>25</v>
      </c>
      <c r="Y781" t="s">
        <v>30</v>
      </c>
    </row>
    <row r="782" spans="1:25" x14ac:dyDescent="0.25">
      <c r="A782" t="s">
        <v>2681</v>
      </c>
      <c r="B782" t="str">
        <f t="shared" si="97"/>
        <v>Aisha Mombo Kakozi</v>
      </c>
      <c r="C782">
        <v>123042</v>
      </c>
      <c r="D782" t="str">
        <f t="shared" si="96"/>
        <v>Unique</v>
      </c>
      <c r="E782" t="s">
        <v>215</v>
      </c>
      <c r="F782" s="3">
        <f t="shared" si="98"/>
        <v>25</v>
      </c>
      <c r="G782" t="s">
        <v>32</v>
      </c>
      <c r="H782" t="str">
        <f t="shared" si="99"/>
        <v>Valid</v>
      </c>
      <c r="I782" t="s">
        <v>62</v>
      </c>
      <c r="J782" t="str">
        <f t="shared" si="100"/>
        <v>Kigoma Vijijini</v>
      </c>
      <c r="K782" t="s">
        <v>123</v>
      </c>
      <c r="L782" t="str" cm="1">
        <f t="array" ref="L782">_xlfn.IFS(
ISNUMBER(SEARCH("ICU",K782)), "ICU",
ISNUMBER(SEARCH("NEONATAL",K782)), PROPER("NEONATAL"),
ISNUMBER(SEARCH("LABOUR",K782)), PROPER("LABOUR"),
ISNUMBER(SEARCH("PAEDIATRIC",K782)), PROPER("PAEDIATRIC"),
ISNUMBER(SEARCH("FEMALE SURGICAL",K782)), PROPER("FEMALE SURG, ORTHO &amp; GYN"),
ISNUMBER(SEARCH("PSYCHIATRIST",K782)), PROPER("PSYCHIATRIST"),
ISNUMBER(SEARCH("GRADE 1",K782)), PROPER("GRADE 1"),
ISNUMBER(SEARCH("MALE SURGICAL",K782)), PROPER("MALE SURG &amp; ORTHOPEDIC"),
ISNUMBER(SEARCH("MALE MEDICAL",K782)), PROPER("MALE MEDICAL"),
ISNUMBER(SEARCH("GRADE 2",K782)), PROPER("GRADE 2"),
ISNUMBER(SEARCH("FEMALE WARD",K782)), PROPER("FEMALE MEDICAL"),
TRUE, "Unmapped: " &amp; K782)</f>
        <v>Female Surg, Ortho &amp; Gyn</v>
      </c>
      <c r="M782" t="s">
        <v>22</v>
      </c>
      <c r="O782" t="s">
        <v>2682</v>
      </c>
      <c r="P782" t="str">
        <f t="shared" si="101"/>
        <v>Text Error</v>
      </c>
      <c r="Q782" s="5">
        <v>46045.847650462965</v>
      </c>
      <c r="R782" t="str">
        <f t="shared" si="102"/>
        <v>Valid Date</v>
      </c>
      <c r="S782" t="s">
        <v>2683</v>
      </c>
      <c r="T782" s="5">
        <v>46047.550740740742</v>
      </c>
      <c r="U782">
        <v>1</v>
      </c>
      <c r="V782" t="str">
        <f t="shared" si="103"/>
        <v>OK</v>
      </c>
      <c r="W782" t="s">
        <v>25</v>
      </c>
      <c r="Y782" t="s">
        <v>30</v>
      </c>
    </row>
    <row r="783" spans="1:25" x14ac:dyDescent="0.25">
      <c r="A783" t="s">
        <v>2684</v>
      </c>
      <c r="B783" t="str">
        <f t="shared" si="97"/>
        <v>Upendo Robin Kafulama</v>
      </c>
      <c r="C783">
        <v>39163</v>
      </c>
      <c r="D783" t="str">
        <f t="shared" si="96"/>
        <v>Unique</v>
      </c>
      <c r="E783" t="s">
        <v>122</v>
      </c>
      <c r="F783" s="3">
        <f t="shared" si="98"/>
        <v>40</v>
      </c>
      <c r="G783" t="s">
        <v>32</v>
      </c>
      <c r="H783" t="str">
        <f t="shared" si="99"/>
        <v>Valid</v>
      </c>
      <c r="I783" t="s">
        <v>227</v>
      </c>
      <c r="J783" t="str">
        <f t="shared" si="100"/>
        <v>KGG</v>
      </c>
      <c r="K783" t="s">
        <v>40</v>
      </c>
      <c r="L783" t="str" cm="1">
        <f t="array" ref="L783">_xlfn.IFS(
ISNUMBER(SEARCH("ICU",K783)), "ICU",
ISNUMBER(SEARCH("NEONATAL",K783)), PROPER("NEONATAL"),
ISNUMBER(SEARCH("LABOUR",K783)), PROPER("LABOUR"),
ISNUMBER(SEARCH("PAEDIATRIC",K783)), PROPER("PAEDIATRIC"),
ISNUMBER(SEARCH("FEMALE SURGICAL",K783)), PROPER("FEMALE SURG, ORTHO &amp; GYN"),
ISNUMBER(SEARCH("PSYCHIATRIST",K783)), PROPER("PSYCHIATRIST"),
ISNUMBER(SEARCH("GRADE 1",K783)), PROPER("GRADE 1"),
ISNUMBER(SEARCH("MALE SURGICAL",K783)), PROPER("MALE SURG &amp; ORTHOPEDIC"),
ISNUMBER(SEARCH("MALE MEDICAL",K783)), PROPER("MALE MEDICAL"),
ISNUMBER(SEARCH("GRADE 2",K783)), PROPER("GRADE 2"),
ISNUMBER(SEARCH("FEMALE WARD",K783)), PROPER("FEMALE MEDICAL"),
TRUE, "Unmapped: " &amp; K783)</f>
        <v>Labour</v>
      </c>
      <c r="M783" t="s">
        <v>22</v>
      </c>
      <c r="O783" t="s">
        <v>2685</v>
      </c>
      <c r="P783" t="str">
        <f t="shared" si="101"/>
        <v>Text Error</v>
      </c>
      <c r="Q783" s="5">
        <v>46045.906770833331</v>
      </c>
      <c r="R783" t="str">
        <f t="shared" si="102"/>
        <v>Valid Date</v>
      </c>
      <c r="S783" t="s">
        <v>2686</v>
      </c>
      <c r="T783" s="5">
        <v>46047.550069444442</v>
      </c>
      <c r="U783">
        <v>1</v>
      </c>
      <c r="V783" t="str">
        <f t="shared" si="103"/>
        <v>OK</v>
      </c>
      <c r="W783" t="s">
        <v>25</v>
      </c>
      <c r="Y783" t="s">
        <v>30</v>
      </c>
    </row>
    <row r="784" spans="1:25" x14ac:dyDescent="0.25">
      <c r="A784" t="s">
        <v>2687</v>
      </c>
      <c r="B784" t="str">
        <f t="shared" si="97"/>
        <v>Rachel Amosi Antony</v>
      </c>
      <c r="C784">
        <v>129472</v>
      </c>
      <c r="D784" t="str">
        <f t="shared" si="96"/>
        <v>Unique</v>
      </c>
      <c r="E784" t="s">
        <v>670</v>
      </c>
      <c r="F784" s="3">
        <f t="shared" si="98"/>
        <v>14</v>
      </c>
      <c r="G784" t="s">
        <v>32</v>
      </c>
      <c r="H784" t="str">
        <f t="shared" si="99"/>
        <v>Valid</v>
      </c>
      <c r="I784" t="s">
        <v>20</v>
      </c>
      <c r="J784" t="str">
        <f t="shared" si="100"/>
        <v>Uvinza</v>
      </c>
      <c r="K784" t="s">
        <v>123</v>
      </c>
      <c r="L784" t="str" cm="1">
        <f t="array" ref="L784">_xlfn.IFS(
ISNUMBER(SEARCH("ICU",K784)), "ICU",
ISNUMBER(SEARCH("NEONATAL",K784)), PROPER("NEONATAL"),
ISNUMBER(SEARCH("LABOUR",K784)), PROPER("LABOUR"),
ISNUMBER(SEARCH("PAEDIATRIC",K784)), PROPER("PAEDIATRIC"),
ISNUMBER(SEARCH("FEMALE SURGICAL",K784)), PROPER("FEMALE SURG, ORTHO &amp; GYN"),
ISNUMBER(SEARCH("PSYCHIATRIST",K784)), PROPER("PSYCHIATRIST"),
ISNUMBER(SEARCH("GRADE 1",K784)), PROPER("GRADE 1"),
ISNUMBER(SEARCH("MALE SURGICAL",K784)), PROPER("MALE SURG &amp; ORTHOPEDIC"),
ISNUMBER(SEARCH("MALE MEDICAL",K784)), PROPER("MALE MEDICAL"),
ISNUMBER(SEARCH("GRADE 2",K784)), PROPER("GRADE 2"),
ISNUMBER(SEARCH("FEMALE WARD",K784)), PROPER("FEMALE MEDICAL"),
TRUE, "Unmapped: " &amp; K784)</f>
        <v>Female Surg, Ortho &amp; Gyn</v>
      </c>
      <c r="M784" t="s">
        <v>22</v>
      </c>
      <c r="O784" t="s">
        <v>2688</v>
      </c>
      <c r="P784" t="str">
        <f t="shared" si="101"/>
        <v>Text Error</v>
      </c>
      <c r="Q784" s="5">
        <v>46046.523229166669</v>
      </c>
      <c r="R784" t="str">
        <f t="shared" si="102"/>
        <v>Valid Date</v>
      </c>
      <c r="S784" t="s">
        <v>2689</v>
      </c>
      <c r="T784" s="5">
        <v>46047.546689814815</v>
      </c>
      <c r="U784">
        <v>1</v>
      </c>
      <c r="V784" t="str">
        <f t="shared" si="103"/>
        <v>OK</v>
      </c>
      <c r="W784" t="s">
        <v>25</v>
      </c>
      <c r="Y784" t="s">
        <v>30</v>
      </c>
    </row>
    <row r="785" spans="1:25" x14ac:dyDescent="0.25">
      <c r="A785" t="s">
        <v>2690</v>
      </c>
      <c r="B785" t="str">
        <f t="shared" si="97"/>
        <v>Telezia Gwimo Mnonela</v>
      </c>
      <c r="C785">
        <v>129453</v>
      </c>
      <c r="D785" t="str">
        <f t="shared" si="96"/>
        <v>Unique</v>
      </c>
      <c r="E785" t="s">
        <v>816</v>
      </c>
      <c r="F785" s="3">
        <f t="shared" si="98"/>
        <v>63</v>
      </c>
      <c r="G785" t="s">
        <v>32</v>
      </c>
      <c r="H785" t="str">
        <f t="shared" si="99"/>
        <v>Valid</v>
      </c>
      <c r="I785" t="s">
        <v>20</v>
      </c>
      <c r="J785" t="str">
        <f t="shared" si="100"/>
        <v>Uvinza</v>
      </c>
      <c r="K785" t="s">
        <v>700</v>
      </c>
      <c r="L785" t="str" cm="1">
        <f t="array" ref="L785">_xlfn.IFS(
ISNUMBER(SEARCH("ICU",K785)), "ICU",
ISNUMBER(SEARCH("NEONATAL",K785)), PROPER("NEONATAL"),
ISNUMBER(SEARCH("LABOUR",K785)), PROPER("LABOUR"),
ISNUMBER(SEARCH("PAEDIATRIC",K785)), PROPER("PAEDIATRIC"),
ISNUMBER(SEARCH("FEMALE SURGICAL",K785)), PROPER("FEMALE SURG, ORTHO &amp; GYN"),
ISNUMBER(SEARCH("PSYCHIATRIST",K785)), PROPER("PSYCHIATRIST"),
ISNUMBER(SEARCH("GRADE 1",K785)), PROPER("GRADE 1"),
ISNUMBER(SEARCH("MALE SURGICAL",K785)), PROPER("MALE SURG &amp; ORTHOPEDIC"),
ISNUMBER(SEARCH("MALE MEDICAL",K785)), PROPER("MALE MEDICAL"),
ISNUMBER(SEARCH("GRADE 2",K785)), PROPER("GRADE 2"),
ISNUMBER(SEARCH("FEMALE WARD",K785)), PROPER("FEMALE MEDICAL"),
TRUE, "Unmapped: " &amp; K785)</f>
        <v>Female Medical</v>
      </c>
      <c r="M785" t="s">
        <v>22</v>
      </c>
      <c r="O785" t="s">
        <v>2691</v>
      </c>
      <c r="P785" t="str">
        <f t="shared" si="101"/>
        <v>Text Error</v>
      </c>
      <c r="Q785" s="5">
        <v>46046.62296296296</v>
      </c>
      <c r="R785" t="str">
        <f t="shared" si="102"/>
        <v>Valid Date</v>
      </c>
      <c r="S785" t="s">
        <v>2692</v>
      </c>
      <c r="T785" s="5">
        <v>46047.637094907404</v>
      </c>
      <c r="U785">
        <v>1</v>
      </c>
      <c r="V785" t="str">
        <f t="shared" si="103"/>
        <v>OK</v>
      </c>
      <c r="W785" t="s">
        <v>25</v>
      </c>
      <c r="Y785" t="s">
        <v>30</v>
      </c>
    </row>
    <row r="786" spans="1:25" x14ac:dyDescent="0.25">
      <c r="A786" t="s">
        <v>2693</v>
      </c>
      <c r="B786" t="str">
        <f t="shared" si="97"/>
        <v>Happy Raphael Andrea</v>
      </c>
      <c r="C786">
        <v>129497</v>
      </c>
      <c r="D786" t="str">
        <f t="shared" si="96"/>
        <v>Unique</v>
      </c>
      <c r="E786" t="s">
        <v>68</v>
      </c>
      <c r="F786" s="3">
        <f t="shared" si="98"/>
        <v>32</v>
      </c>
      <c r="G786" t="s">
        <v>32</v>
      </c>
      <c r="H786" t="str">
        <f t="shared" si="99"/>
        <v>Valid</v>
      </c>
      <c r="I786" t="s">
        <v>33</v>
      </c>
      <c r="J786" t="str">
        <f t="shared" si="100"/>
        <v>Kigoma Ujiji Mc</v>
      </c>
      <c r="K786" t="s">
        <v>123</v>
      </c>
      <c r="L786" t="str" cm="1">
        <f t="array" ref="L786">_xlfn.IFS(
ISNUMBER(SEARCH("ICU",K786)), "ICU",
ISNUMBER(SEARCH("NEONATAL",K786)), PROPER("NEONATAL"),
ISNUMBER(SEARCH("LABOUR",K786)), PROPER("LABOUR"),
ISNUMBER(SEARCH("PAEDIATRIC",K786)), PROPER("PAEDIATRIC"),
ISNUMBER(SEARCH("FEMALE SURGICAL",K786)), PROPER("FEMALE SURG, ORTHO &amp; GYN"),
ISNUMBER(SEARCH("PSYCHIATRIST",K786)), PROPER("PSYCHIATRIST"),
ISNUMBER(SEARCH("GRADE 1",K786)), PROPER("GRADE 1"),
ISNUMBER(SEARCH("MALE SURGICAL",K786)), PROPER("MALE SURG &amp; ORTHOPEDIC"),
ISNUMBER(SEARCH("MALE MEDICAL",K786)), PROPER("MALE MEDICAL"),
ISNUMBER(SEARCH("GRADE 2",K786)), PROPER("GRADE 2"),
ISNUMBER(SEARCH("FEMALE WARD",K786)), PROPER("FEMALE MEDICAL"),
TRUE, "Unmapped: " &amp; K786)</f>
        <v>Female Surg, Ortho &amp; Gyn</v>
      </c>
      <c r="M786" t="s">
        <v>22</v>
      </c>
      <c r="O786" t="s">
        <v>2694</v>
      </c>
      <c r="P786" t="str">
        <f t="shared" si="101"/>
        <v>Text Error</v>
      </c>
      <c r="Q786" s="5">
        <v>46046.911782407406</v>
      </c>
      <c r="R786" t="str">
        <f t="shared" si="102"/>
        <v>Valid Date</v>
      </c>
      <c r="S786" t="s">
        <v>2695</v>
      </c>
      <c r="T786" s="5">
        <v>46048.376967592594</v>
      </c>
      <c r="U786">
        <v>1</v>
      </c>
      <c r="V786" t="str">
        <f t="shared" si="103"/>
        <v>OK</v>
      </c>
      <c r="W786" t="s">
        <v>25</v>
      </c>
      <c r="Y786" t="s">
        <v>30</v>
      </c>
    </row>
    <row r="787" spans="1:25" x14ac:dyDescent="0.25">
      <c r="A787" t="s">
        <v>2696</v>
      </c>
      <c r="B787" t="str">
        <f t="shared" si="97"/>
        <v>Junhang Song Junhang</v>
      </c>
      <c r="C787">
        <v>129109</v>
      </c>
      <c r="D787" t="str">
        <f t="shared" si="96"/>
        <v>Unique</v>
      </c>
      <c r="E787" t="s">
        <v>188</v>
      </c>
      <c r="F787" s="3">
        <f t="shared" si="98"/>
        <v>28</v>
      </c>
      <c r="G787" t="s">
        <v>32</v>
      </c>
      <c r="H787" t="str">
        <f t="shared" si="99"/>
        <v>Valid</v>
      </c>
      <c r="I787" t="s">
        <v>62</v>
      </c>
      <c r="J787" t="str">
        <f t="shared" si="100"/>
        <v>Kigoma Vijijini</v>
      </c>
      <c r="K787" t="s">
        <v>393</v>
      </c>
      <c r="L787" t="str" cm="1">
        <f t="array" ref="L787">_xlfn.IFS(
ISNUMBER(SEARCH("ICU",K787)), "ICU",
ISNUMBER(SEARCH("NEONATAL",K787)), PROPER("NEONATAL"),
ISNUMBER(SEARCH("LABOUR",K787)), PROPER("LABOUR"),
ISNUMBER(SEARCH("PAEDIATRIC",K787)), PROPER("PAEDIATRIC"),
ISNUMBER(SEARCH("FEMALE SURGICAL",K787)), PROPER("FEMALE SURG, ORTHO &amp; GYN"),
ISNUMBER(SEARCH("PSYCHIATRIST",K787)), PROPER("PSYCHIATRIST"),
ISNUMBER(SEARCH("GRADE 1",K787)), PROPER("GRADE 1"),
ISNUMBER(SEARCH("MALE SURGICAL",K787)), PROPER("MALE SURG &amp; ORTHOPEDIC"),
ISNUMBER(SEARCH("MALE MEDICAL",K787)), PROPER("MALE MEDICAL"),
ISNUMBER(SEARCH("GRADE 2",K787)), PROPER("GRADE 2"),
ISNUMBER(SEARCH("FEMALE WARD",K787)), PROPER("FEMALE MEDICAL"),
TRUE, "Unmapped: " &amp; K787)</f>
        <v>Grade 1</v>
      </c>
      <c r="M787" t="s">
        <v>216</v>
      </c>
      <c r="O787" t="s">
        <v>2697</v>
      </c>
      <c r="P787" t="str">
        <f t="shared" si="101"/>
        <v>Text Error</v>
      </c>
      <c r="Q787" s="5">
        <v>46046.972361111111</v>
      </c>
      <c r="R787" t="str">
        <f t="shared" si="102"/>
        <v>Valid Date</v>
      </c>
      <c r="S787" t="s">
        <v>2698</v>
      </c>
      <c r="T787" s="5">
        <v>46048.57849537037</v>
      </c>
      <c r="U787">
        <v>1</v>
      </c>
      <c r="V787" t="str">
        <f t="shared" si="103"/>
        <v>OK</v>
      </c>
      <c r="W787" t="s">
        <v>25</v>
      </c>
      <c r="Y787" t="s">
        <v>30</v>
      </c>
    </row>
    <row r="788" spans="1:25" x14ac:dyDescent="0.25">
      <c r="A788" t="s">
        <v>2699</v>
      </c>
      <c r="B788" t="str">
        <f t="shared" si="97"/>
        <v>Habibu Zuberi</v>
      </c>
      <c r="C788">
        <v>88227</v>
      </c>
      <c r="D788" t="str">
        <f t="shared" si="96"/>
        <v>Unique</v>
      </c>
      <c r="E788" t="s">
        <v>869</v>
      </c>
      <c r="F788" s="3">
        <f t="shared" si="98"/>
        <v>73</v>
      </c>
      <c r="G788" t="s">
        <v>19</v>
      </c>
      <c r="H788" t="str">
        <f t="shared" si="99"/>
        <v>Valid</v>
      </c>
      <c r="I788" t="s">
        <v>33</v>
      </c>
      <c r="J788" t="str">
        <f t="shared" si="100"/>
        <v>Kigoma Ujiji Mc</v>
      </c>
      <c r="K788" t="s">
        <v>685</v>
      </c>
      <c r="L788" t="str" cm="1">
        <f t="array" ref="L788">_xlfn.IFS(
ISNUMBER(SEARCH("ICU",K788)), "ICU",
ISNUMBER(SEARCH("NEONATAL",K788)), PROPER("NEONATAL"),
ISNUMBER(SEARCH("LABOUR",K788)), PROPER("LABOUR"),
ISNUMBER(SEARCH("PAEDIATRIC",K788)), PROPER("PAEDIATRIC"),
ISNUMBER(SEARCH("FEMALE SURGICAL",K788)), PROPER("FEMALE SURG, ORTHO &amp; GYN"),
ISNUMBER(SEARCH("PSYCHIATRIST",K788)), PROPER("PSYCHIATRIST"),
ISNUMBER(SEARCH("GRADE 1",K788)), PROPER("GRADE 1"),
ISNUMBER(SEARCH("MALE SURGICAL",K788)), PROPER("MALE SURG &amp; ORTHOPEDIC"),
ISNUMBER(SEARCH("MALE MEDICAL",K788)), PROPER("MALE MEDICAL"),
ISNUMBER(SEARCH("GRADE 2",K788)), PROPER("GRADE 2"),
ISNUMBER(SEARCH("FEMALE WARD",K788)), PROPER("FEMALE MEDICAL"),
TRUE, "Unmapped: " &amp; K788)</f>
        <v>Grade 2</v>
      </c>
      <c r="M788" t="s">
        <v>394</v>
      </c>
      <c r="O788" t="s">
        <v>2700</v>
      </c>
      <c r="P788" t="str">
        <f t="shared" si="101"/>
        <v>Text Error</v>
      </c>
      <c r="Q788" s="5">
        <v>46047.542708333334</v>
      </c>
      <c r="R788" t="str">
        <f t="shared" si="102"/>
        <v>Valid Date</v>
      </c>
      <c r="S788" t="s">
        <v>2701</v>
      </c>
      <c r="T788" s="5">
        <v>46048.611504629633</v>
      </c>
      <c r="U788">
        <v>1</v>
      </c>
      <c r="V788" t="str">
        <f t="shared" si="103"/>
        <v>OK</v>
      </c>
      <c r="W788" t="s">
        <v>25</v>
      </c>
      <c r="Y788" t="s">
        <v>30</v>
      </c>
    </row>
    <row r="789" spans="1:25" x14ac:dyDescent="0.25">
      <c r="A789" t="s">
        <v>2702</v>
      </c>
      <c r="B789" t="str">
        <f t="shared" si="97"/>
        <v>Eilan Desdery Credo</v>
      </c>
      <c r="C789">
        <v>129500</v>
      </c>
      <c r="D789" t="str">
        <f t="shared" si="96"/>
        <v>Unique</v>
      </c>
      <c r="E789" t="s">
        <v>622</v>
      </c>
      <c r="F789" s="3" t="str">
        <f t="shared" si="98"/>
        <v>2/12</v>
      </c>
      <c r="G789" t="s">
        <v>19</v>
      </c>
      <c r="H789" t="str">
        <f t="shared" si="99"/>
        <v>Valid</v>
      </c>
      <c r="I789" t="s">
        <v>33</v>
      </c>
      <c r="J789" t="str">
        <f t="shared" si="100"/>
        <v>Kigoma Ujiji Mc</v>
      </c>
      <c r="K789" t="s">
        <v>21</v>
      </c>
      <c r="L789" t="str" cm="1">
        <f t="array" ref="L789">_xlfn.IFS(
ISNUMBER(SEARCH("ICU",K789)), "ICU",
ISNUMBER(SEARCH("NEONATAL",K789)), PROPER("NEONATAL"),
ISNUMBER(SEARCH("LABOUR",K789)), PROPER("LABOUR"),
ISNUMBER(SEARCH("PAEDIATRIC",K789)), PROPER("PAEDIATRIC"),
ISNUMBER(SEARCH("FEMALE SURGICAL",K789)), PROPER("FEMALE SURG, ORTHO &amp; GYN"),
ISNUMBER(SEARCH("PSYCHIATRIST",K789)), PROPER("PSYCHIATRIST"),
ISNUMBER(SEARCH("GRADE 1",K789)), PROPER("GRADE 1"),
ISNUMBER(SEARCH("MALE SURGICAL",K789)), PROPER("MALE SURG &amp; ORTHOPEDIC"),
ISNUMBER(SEARCH("MALE MEDICAL",K789)), PROPER("MALE MEDICAL"),
ISNUMBER(SEARCH("GRADE 2",K789)), PROPER("GRADE 2"),
ISNUMBER(SEARCH("FEMALE WARD",K789)), PROPER("FEMALE MEDICAL"),
TRUE, "Unmapped: " &amp; K789)</f>
        <v>Neonatal</v>
      </c>
      <c r="M789" t="s">
        <v>22</v>
      </c>
      <c r="O789" t="s">
        <v>2703</v>
      </c>
      <c r="P789" t="str">
        <f t="shared" si="101"/>
        <v>Text Error</v>
      </c>
      <c r="Q789" s="5">
        <v>46047.592222222222</v>
      </c>
      <c r="R789" t="str">
        <f t="shared" si="102"/>
        <v>Valid Date</v>
      </c>
      <c r="S789" t="s">
        <v>2704</v>
      </c>
      <c r="T789" s="5">
        <v>46048.623518518521</v>
      </c>
      <c r="U789">
        <v>1</v>
      </c>
      <c r="V789" t="str">
        <f t="shared" si="103"/>
        <v>OK</v>
      </c>
      <c r="W789" t="s">
        <v>25</v>
      </c>
      <c r="Y789" t="s">
        <v>30</v>
      </c>
    </row>
    <row r="790" spans="1:25" x14ac:dyDescent="0.25">
      <c r="A790" t="s">
        <v>2579</v>
      </c>
      <c r="B790" t="str">
        <f t="shared" si="97"/>
        <v>Mgisha M Swagara</v>
      </c>
      <c r="C790">
        <v>39641</v>
      </c>
      <c r="D790" t="str">
        <f t="shared" si="96"/>
        <v>Duplicate</v>
      </c>
      <c r="E790" t="s">
        <v>175</v>
      </c>
      <c r="F790" s="3">
        <f t="shared" si="98"/>
        <v>8</v>
      </c>
      <c r="G790" t="s">
        <v>19</v>
      </c>
      <c r="H790" t="str">
        <f t="shared" si="99"/>
        <v>Valid</v>
      </c>
      <c r="I790" t="s">
        <v>227</v>
      </c>
      <c r="J790" t="str">
        <f t="shared" si="100"/>
        <v>KGG</v>
      </c>
      <c r="K790" t="s">
        <v>109</v>
      </c>
      <c r="L790" t="str" cm="1">
        <f t="array" ref="L790">_xlfn.IFS(
ISNUMBER(SEARCH("ICU",K790)), "ICU",
ISNUMBER(SEARCH("NEONATAL",K790)), PROPER("NEONATAL"),
ISNUMBER(SEARCH("LABOUR",K790)), PROPER("LABOUR"),
ISNUMBER(SEARCH("PAEDIATRIC",K790)), PROPER("PAEDIATRIC"),
ISNUMBER(SEARCH("FEMALE SURGICAL",K790)), PROPER("FEMALE SURG, ORTHO &amp; GYN"),
ISNUMBER(SEARCH("PSYCHIATRIST",K790)), PROPER("PSYCHIATRIST"),
ISNUMBER(SEARCH("GRADE 1",K790)), PROPER("GRADE 1"),
ISNUMBER(SEARCH("MALE SURGICAL",K790)), PROPER("MALE SURG &amp; ORTHOPEDIC"),
ISNUMBER(SEARCH("MALE MEDICAL",K790)), PROPER("MALE MEDICAL"),
ISNUMBER(SEARCH("GRADE 2",K790)), PROPER("GRADE 2"),
ISNUMBER(SEARCH("FEMALE WARD",K790)), PROPER("FEMALE MEDICAL"),
TRUE, "Unmapped: " &amp; K790)</f>
        <v>Paediatric</v>
      </c>
      <c r="M790" t="s">
        <v>394</v>
      </c>
      <c r="O790" t="s">
        <v>2705</v>
      </c>
      <c r="P790" t="str">
        <f t="shared" si="101"/>
        <v>Text Error</v>
      </c>
      <c r="Q790" s="5">
        <v>46047.864710648151</v>
      </c>
      <c r="R790" t="str">
        <f t="shared" si="102"/>
        <v>Valid Date</v>
      </c>
      <c r="S790" t="s">
        <v>2706</v>
      </c>
      <c r="T790" s="5">
        <v>46049.689375000002</v>
      </c>
      <c r="U790">
        <v>1</v>
      </c>
      <c r="V790" t="str">
        <f t="shared" si="103"/>
        <v>OK</v>
      </c>
      <c r="W790" t="s">
        <v>25</v>
      </c>
      <c r="Y790" t="s">
        <v>30</v>
      </c>
    </row>
    <row r="791" spans="1:25" x14ac:dyDescent="0.25">
      <c r="A791" t="s">
        <v>2707</v>
      </c>
      <c r="B791" t="str">
        <f t="shared" si="97"/>
        <v>Pendo Kahena Mayonga</v>
      </c>
      <c r="C791">
        <v>129376</v>
      </c>
      <c r="D791" t="str">
        <f t="shared" si="96"/>
        <v>Unique</v>
      </c>
      <c r="E791" t="s">
        <v>1197</v>
      </c>
      <c r="F791" s="3">
        <f t="shared" si="98"/>
        <v>81</v>
      </c>
      <c r="G791" t="s">
        <v>32</v>
      </c>
      <c r="H791" t="str">
        <f t="shared" si="99"/>
        <v>Valid</v>
      </c>
      <c r="I791" t="s">
        <v>20</v>
      </c>
      <c r="J791" t="str">
        <f t="shared" si="100"/>
        <v>Uvinza</v>
      </c>
      <c r="K791" t="s">
        <v>700</v>
      </c>
      <c r="L791" t="str" cm="1">
        <f t="array" ref="L791">_xlfn.IFS(
ISNUMBER(SEARCH("ICU",K791)), "ICU",
ISNUMBER(SEARCH("NEONATAL",K791)), PROPER("NEONATAL"),
ISNUMBER(SEARCH("LABOUR",K791)), PROPER("LABOUR"),
ISNUMBER(SEARCH("PAEDIATRIC",K791)), PROPER("PAEDIATRIC"),
ISNUMBER(SEARCH("FEMALE SURGICAL",K791)), PROPER("FEMALE SURG, ORTHO &amp; GYN"),
ISNUMBER(SEARCH("PSYCHIATRIST",K791)), PROPER("PSYCHIATRIST"),
ISNUMBER(SEARCH("GRADE 1",K791)), PROPER("GRADE 1"),
ISNUMBER(SEARCH("MALE SURGICAL",K791)), PROPER("MALE SURG &amp; ORTHOPEDIC"),
ISNUMBER(SEARCH("MALE MEDICAL",K791)), PROPER("MALE MEDICAL"),
ISNUMBER(SEARCH("GRADE 2",K791)), PROPER("GRADE 2"),
ISNUMBER(SEARCH("FEMALE WARD",K791)), PROPER("FEMALE MEDICAL"),
TRUE, "Unmapped: " &amp; K791)</f>
        <v>Female Medical</v>
      </c>
      <c r="M791" t="s">
        <v>22</v>
      </c>
      <c r="O791" t="s">
        <v>2708</v>
      </c>
      <c r="P791" t="str">
        <f t="shared" si="101"/>
        <v>Text Error</v>
      </c>
      <c r="Q791" s="5">
        <v>46047.884606481479</v>
      </c>
      <c r="R791" t="str">
        <f t="shared" si="102"/>
        <v>Valid Date</v>
      </c>
      <c r="S791" t="s">
        <v>2709</v>
      </c>
      <c r="T791" s="5">
        <v>46049.59710648148</v>
      </c>
      <c r="U791">
        <v>1</v>
      </c>
      <c r="V791" t="str">
        <f t="shared" si="103"/>
        <v>OK</v>
      </c>
      <c r="W791" t="s">
        <v>25</v>
      </c>
      <c r="Y791" t="s">
        <v>30</v>
      </c>
    </row>
    <row r="792" spans="1:25" x14ac:dyDescent="0.25">
      <c r="A792" t="s">
        <v>2710</v>
      </c>
      <c r="B792" t="str">
        <f t="shared" si="97"/>
        <v>Miriam Joseph Stenga</v>
      </c>
      <c r="C792">
        <v>129426</v>
      </c>
      <c r="D792" t="str">
        <f t="shared" si="96"/>
        <v>Unique</v>
      </c>
      <c r="E792" t="s">
        <v>315</v>
      </c>
      <c r="F792" s="3">
        <f t="shared" si="98"/>
        <v>31</v>
      </c>
      <c r="G792" t="s">
        <v>32</v>
      </c>
      <c r="H792" t="str">
        <f t="shared" si="99"/>
        <v>Valid</v>
      </c>
      <c r="I792" t="s">
        <v>33</v>
      </c>
      <c r="J792" t="str">
        <f t="shared" si="100"/>
        <v>Kigoma Ujiji Mc</v>
      </c>
      <c r="K792" t="s">
        <v>40</v>
      </c>
      <c r="L792" t="str" cm="1">
        <f t="array" ref="L792">_xlfn.IFS(
ISNUMBER(SEARCH("ICU",K792)), "ICU",
ISNUMBER(SEARCH("NEONATAL",K792)), PROPER("NEONATAL"),
ISNUMBER(SEARCH("LABOUR",K792)), PROPER("LABOUR"),
ISNUMBER(SEARCH("PAEDIATRIC",K792)), PROPER("PAEDIATRIC"),
ISNUMBER(SEARCH("FEMALE SURGICAL",K792)), PROPER("FEMALE SURG, ORTHO &amp; GYN"),
ISNUMBER(SEARCH("PSYCHIATRIST",K792)), PROPER("PSYCHIATRIST"),
ISNUMBER(SEARCH("GRADE 1",K792)), PROPER("GRADE 1"),
ISNUMBER(SEARCH("MALE SURGICAL",K792)), PROPER("MALE SURG &amp; ORTHOPEDIC"),
ISNUMBER(SEARCH("MALE MEDICAL",K792)), PROPER("MALE MEDICAL"),
ISNUMBER(SEARCH("GRADE 2",K792)), PROPER("GRADE 2"),
ISNUMBER(SEARCH("FEMALE WARD",K792)), PROPER("FEMALE MEDICAL"),
TRUE, "Unmapped: " &amp; K792)</f>
        <v>Labour</v>
      </c>
      <c r="M792" t="s">
        <v>22</v>
      </c>
      <c r="O792" t="s">
        <v>2711</v>
      </c>
      <c r="P792" t="str">
        <f t="shared" si="101"/>
        <v>Text Error</v>
      </c>
      <c r="Q792" s="5">
        <v>46047.893622685187</v>
      </c>
      <c r="R792" t="str">
        <f t="shared" si="102"/>
        <v>Valid Date</v>
      </c>
      <c r="S792" t="s">
        <v>2712</v>
      </c>
      <c r="T792" s="5">
        <v>46049.69189814815</v>
      </c>
      <c r="U792">
        <v>1</v>
      </c>
      <c r="V792" t="str">
        <f t="shared" si="103"/>
        <v>OK</v>
      </c>
      <c r="W792" t="s">
        <v>25</v>
      </c>
      <c r="Y792" t="s">
        <v>30</v>
      </c>
    </row>
    <row r="793" spans="1:25" x14ac:dyDescent="0.25">
      <c r="A793" t="s">
        <v>2713</v>
      </c>
      <c r="B793" t="str">
        <f t="shared" si="97"/>
        <v>Madina Hussein Amrani</v>
      </c>
      <c r="C793">
        <v>128237</v>
      </c>
      <c r="D793" t="str">
        <f t="shared" si="96"/>
        <v>Unique</v>
      </c>
      <c r="E793" t="s">
        <v>541</v>
      </c>
      <c r="F793" s="3">
        <f t="shared" si="98"/>
        <v>42</v>
      </c>
      <c r="G793" t="s">
        <v>32</v>
      </c>
      <c r="H793" t="str">
        <f t="shared" si="99"/>
        <v>Valid</v>
      </c>
      <c r="I793" t="s">
        <v>33</v>
      </c>
      <c r="J793" t="str">
        <f t="shared" si="100"/>
        <v>Kigoma Ujiji Mc</v>
      </c>
      <c r="K793" t="s">
        <v>700</v>
      </c>
      <c r="L793" t="str" cm="1">
        <f t="array" ref="L793">_xlfn.IFS(
ISNUMBER(SEARCH("ICU",K793)), "ICU",
ISNUMBER(SEARCH("NEONATAL",K793)), PROPER("NEONATAL"),
ISNUMBER(SEARCH("LABOUR",K793)), PROPER("LABOUR"),
ISNUMBER(SEARCH("PAEDIATRIC",K793)), PROPER("PAEDIATRIC"),
ISNUMBER(SEARCH("FEMALE SURGICAL",K793)), PROPER("FEMALE SURG, ORTHO &amp; GYN"),
ISNUMBER(SEARCH("PSYCHIATRIST",K793)), PROPER("PSYCHIATRIST"),
ISNUMBER(SEARCH("GRADE 1",K793)), PROPER("GRADE 1"),
ISNUMBER(SEARCH("MALE SURGICAL",K793)), PROPER("MALE SURG &amp; ORTHOPEDIC"),
ISNUMBER(SEARCH("MALE MEDICAL",K793)), PROPER("MALE MEDICAL"),
ISNUMBER(SEARCH("GRADE 2",K793)), PROPER("GRADE 2"),
ISNUMBER(SEARCH("FEMALE WARD",K793)), PROPER("FEMALE MEDICAL"),
TRUE, "Unmapped: " &amp; K793)</f>
        <v>Female Medical</v>
      </c>
      <c r="M793" t="s">
        <v>22</v>
      </c>
      <c r="O793" t="s">
        <v>2714</v>
      </c>
      <c r="P793" t="str">
        <f t="shared" si="101"/>
        <v>Text Error</v>
      </c>
      <c r="Q793" s="5">
        <v>46047.913460648146</v>
      </c>
      <c r="R793" t="str">
        <f t="shared" si="102"/>
        <v>Valid Date</v>
      </c>
      <c r="S793" t="s">
        <v>2715</v>
      </c>
      <c r="T793" s="5">
        <v>46049.528425925928</v>
      </c>
      <c r="U793">
        <v>1</v>
      </c>
      <c r="V793" t="str">
        <f t="shared" si="103"/>
        <v>OK</v>
      </c>
      <c r="W793" t="s">
        <v>25</v>
      </c>
      <c r="Y793" t="s">
        <v>30</v>
      </c>
    </row>
    <row r="794" spans="1:25" x14ac:dyDescent="0.25">
      <c r="A794" t="s">
        <v>2716</v>
      </c>
      <c r="B794" t="str">
        <f t="shared" si="97"/>
        <v>Hamisi Given Kasumuni</v>
      </c>
      <c r="C794">
        <v>129554</v>
      </c>
      <c r="D794" t="str">
        <f t="shared" si="96"/>
        <v>Unique</v>
      </c>
      <c r="E794" t="s">
        <v>18</v>
      </c>
      <c r="F794" s="3">
        <f t="shared" si="98"/>
        <v>1</v>
      </c>
      <c r="G794" t="s">
        <v>19</v>
      </c>
      <c r="H794" t="str">
        <f t="shared" si="99"/>
        <v>Valid</v>
      </c>
      <c r="I794" t="s">
        <v>33</v>
      </c>
      <c r="J794" t="str">
        <f t="shared" si="100"/>
        <v>Kigoma Ujiji Mc</v>
      </c>
      <c r="K794" t="s">
        <v>109</v>
      </c>
      <c r="L794" t="str" cm="1">
        <f t="array" ref="L794">_xlfn.IFS(
ISNUMBER(SEARCH("ICU",K794)), "ICU",
ISNUMBER(SEARCH("NEONATAL",K794)), PROPER("NEONATAL"),
ISNUMBER(SEARCH("LABOUR",K794)), PROPER("LABOUR"),
ISNUMBER(SEARCH("PAEDIATRIC",K794)), PROPER("PAEDIATRIC"),
ISNUMBER(SEARCH("FEMALE SURGICAL",K794)), PROPER("FEMALE SURG, ORTHO &amp; GYN"),
ISNUMBER(SEARCH("PSYCHIATRIST",K794)), PROPER("PSYCHIATRIST"),
ISNUMBER(SEARCH("GRADE 1",K794)), PROPER("GRADE 1"),
ISNUMBER(SEARCH("MALE SURGICAL",K794)), PROPER("MALE SURG &amp; ORTHOPEDIC"),
ISNUMBER(SEARCH("MALE MEDICAL",K794)), PROPER("MALE MEDICAL"),
ISNUMBER(SEARCH("GRADE 2",K794)), PROPER("GRADE 2"),
ISNUMBER(SEARCH("FEMALE WARD",K794)), PROPER("FEMALE MEDICAL"),
TRUE, "Unmapped: " &amp; K794)</f>
        <v>Paediatric</v>
      </c>
      <c r="M794" t="s">
        <v>22</v>
      </c>
      <c r="O794" t="s">
        <v>2717</v>
      </c>
      <c r="P794" t="str">
        <f t="shared" si="101"/>
        <v>Text Error</v>
      </c>
      <c r="Q794" s="5">
        <v>46047.926296296297</v>
      </c>
      <c r="R794" t="str">
        <f t="shared" si="102"/>
        <v>Valid Date</v>
      </c>
      <c r="S794" t="s">
        <v>2718</v>
      </c>
      <c r="T794" s="5">
        <v>46049.473136574074</v>
      </c>
      <c r="U794">
        <v>1</v>
      </c>
      <c r="V794" t="str">
        <f t="shared" si="103"/>
        <v>OK</v>
      </c>
      <c r="W794" t="s">
        <v>211</v>
      </c>
      <c r="Y794" t="s">
        <v>30</v>
      </c>
    </row>
    <row r="795" spans="1:25" x14ac:dyDescent="0.25">
      <c r="A795" t="s">
        <v>2719</v>
      </c>
      <c r="B795" t="str">
        <f t="shared" si="97"/>
        <v>Flora J Bikogwa</v>
      </c>
      <c r="C795">
        <v>35956</v>
      </c>
      <c r="D795" t="str">
        <f t="shared" si="96"/>
        <v>Unique</v>
      </c>
      <c r="E795" t="s">
        <v>74</v>
      </c>
      <c r="F795" s="3">
        <f t="shared" si="98"/>
        <v>35</v>
      </c>
      <c r="G795" t="s">
        <v>32</v>
      </c>
      <c r="H795" t="str">
        <f t="shared" si="99"/>
        <v>Valid</v>
      </c>
      <c r="I795" t="s">
        <v>227</v>
      </c>
      <c r="J795" t="str">
        <f t="shared" si="100"/>
        <v>KGG</v>
      </c>
      <c r="K795" t="s">
        <v>40</v>
      </c>
      <c r="L795" t="str" cm="1">
        <f t="array" ref="L795">_xlfn.IFS(
ISNUMBER(SEARCH("ICU",K795)), "ICU",
ISNUMBER(SEARCH("NEONATAL",K795)), PROPER("NEONATAL"),
ISNUMBER(SEARCH("LABOUR",K795)), PROPER("LABOUR"),
ISNUMBER(SEARCH("PAEDIATRIC",K795)), PROPER("PAEDIATRIC"),
ISNUMBER(SEARCH("FEMALE SURGICAL",K795)), PROPER("FEMALE SURG, ORTHO &amp; GYN"),
ISNUMBER(SEARCH("PSYCHIATRIST",K795)), PROPER("PSYCHIATRIST"),
ISNUMBER(SEARCH("GRADE 1",K795)), PROPER("GRADE 1"),
ISNUMBER(SEARCH("MALE SURGICAL",K795)), PROPER("MALE SURG &amp; ORTHOPEDIC"),
ISNUMBER(SEARCH("MALE MEDICAL",K795)), PROPER("MALE MEDICAL"),
ISNUMBER(SEARCH("GRADE 2",K795)), PROPER("GRADE 2"),
ISNUMBER(SEARCH("FEMALE WARD",K795)), PROPER("FEMALE MEDICAL"),
TRUE, "Unmapped: " &amp; K795)</f>
        <v>Labour</v>
      </c>
      <c r="M795" t="s">
        <v>394</v>
      </c>
      <c r="O795" t="s">
        <v>2720</v>
      </c>
      <c r="P795" t="str">
        <f t="shared" si="101"/>
        <v>Text Error</v>
      </c>
      <c r="Q795" s="5">
        <v>46048.272129629629</v>
      </c>
      <c r="R795" t="str">
        <f t="shared" si="102"/>
        <v>Valid Date</v>
      </c>
      <c r="S795" t="s">
        <v>2721</v>
      </c>
      <c r="T795" s="5">
        <v>46049.547094907408</v>
      </c>
      <c r="U795">
        <v>1</v>
      </c>
      <c r="V795" t="str">
        <f t="shared" si="103"/>
        <v>OK</v>
      </c>
      <c r="W795" t="s">
        <v>25</v>
      </c>
      <c r="Y795" t="s">
        <v>30</v>
      </c>
    </row>
    <row r="796" spans="1:25" x14ac:dyDescent="0.25">
      <c r="A796" t="s">
        <v>2722</v>
      </c>
      <c r="B796" t="str">
        <f t="shared" si="97"/>
        <v>Winfrida Edward Phiri</v>
      </c>
      <c r="C796">
        <v>129350</v>
      </c>
      <c r="D796" t="str">
        <f t="shared" si="96"/>
        <v>Unique</v>
      </c>
      <c r="E796" t="s">
        <v>188</v>
      </c>
      <c r="F796" s="3">
        <f t="shared" si="98"/>
        <v>28</v>
      </c>
      <c r="G796" t="s">
        <v>32</v>
      </c>
      <c r="H796" t="str">
        <f t="shared" si="99"/>
        <v>Valid</v>
      </c>
      <c r="I796" t="s">
        <v>33</v>
      </c>
      <c r="J796" t="str">
        <f t="shared" si="100"/>
        <v>Kigoma Ujiji Mc</v>
      </c>
      <c r="K796" t="s">
        <v>40</v>
      </c>
      <c r="L796" t="str" cm="1">
        <f t="array" ref="L796">_xlfn.IFS(
ISNUMBER(SEARCH("ICU",K796)), "ICU",
ISNUMBER(SEARCH("NEONATAL",K796)), PROPER("NEONATAL"),
ISNUMBER(SEARCH("LABOUR",K796)), PROPER("LABOUR"),
ISNUMBER(SEARCH("PAEDIATRIC",K796)), PROPER("PAEDIATRIC"),
ISNUMBER(SEARCH("FEMALE SURGICAL",K796)), PROPER("FEMALE SURG, ORTHO &amp; GYN"),
ISNUMBER(SEARCH("PSYCHIATRIST",K796)), PROPER("PSYCHIATRIST"),
ISNUMBER(SEARCH("GRADE 1",K796)), PROPER("GRADE 1"),
ISNUMBER(SEARCH("MALE SURGICAL",K796)), PROPER("MALE SURG &amp; ORTHOPEDIC"),
ISNUMBER(SEARCH("MALE MEDICAL",K796)), PROPER("MALE MEDICAL"),
ISNUMBER(SEARCH("GRADE 2",K796)), PROPER("GRADE 2"),
ISNUMBER(SEARCH("FEMALE WARD",K796)), PROPER("FEMALE MEDICAL"),
TRUE, "Unmapped: " &amp; K796)</f>
        <v>Labour</v>
      </c>
      <c r="M796" t="s">
        <v>22</v>
      </c>
      <c r="O796" t="s">
        <v>2723</v>
      </c>
      <c r="P796" t="str">
        <f t="shared" si="101"/>
        <v>Text Error</v>
      </c>
      <c r="Q796" s="5">
        <v>46048.415532407409</v>
      </c>
      <c r="R796" t="str">
        <f t="shared" si="102"/>
        <v>Valid Date</v>
      </c>
      <c r="S796" t="s">
        <v>2724</v>
      </c>
      <c r="T796" s="5">
        <v>46049.729375000003</v>
      </c>
      <c r="U796">
        <v>1</v>
      </c>
      <c r="V796" t="str">
        <f t="shared" si="103"/>
        <v>OK</v>
      </c>
      <c r="W796" t="s">
        <v>25</v>
      </c>
      <c r="Y796" t="s">
        <v>30</v>
      </c>
    </row>
    <row r="797" spans="1:25" x14ac:dyDescent="0.25">
      <c r="A797" t="s">
        <v>2726</v>
      </c>
      <c r="B797" t="str">
        <f t="shared" si="97"/>
        <v>Simon Ntanzi Rubavu</v>
      </c>
      <c r="C797">
        <v>121498</v>
      </c>
      <c r="D797" t="str">
        <f t="shared" si="96"/>
        <v>Unique</v>
      </c>
      <c r="E797" t="s">
        <v>1100</v>
      </c>
      <c r="F797" s="3">
        <f t="shared" si="98"/>
        <v>80</v>
      </c>
      <c r="G797" t="s">
        <v>19</v>
      </c>
      <c r="H797" t="str">
        <f t="shared" si="99"/>
        <v>Valid</v>
      </c>
      <c r="I797" t="s">
        <v>33</v>
      </c>
      <c r="J797" t="str">
        <f t="shared" si="100"/>
        <v>Kigoma Ujiji Mc</v>
      </c>
      <c r="K797" t="s">
        <v>484</v>
      </c>
      <c r="L797" t="str" cm="1">
        <f t="array" ref="L797">_xlfn.IFS(
ISNUMBER(SEARCH("ICU",K797)), "ICU",
ISNUMBER(SEARCH("NEONATAL",K797)), PROPER("NEONATAL"),
ISNUMBER(SEARCH("LABOUR",K797)), PROPER("LABOUR"),
ISNUMBER(SEARCH("PAEDIATRIC",K797)), PROPER("PAEDIATRIC"),
ISNUMBER(SEARCH("FEMALE SURGICAL",K797)), PROPER("FEMALE SURG, ORTHO &amp; GYN"),
ISNUMBER(SEARCH("PSYCHIATRIST",K797)), PROPER("PSYCHIATRIST"),
ISNUMBER(SEARCH("GRADE 1",K797)), PROPER("GRADE 1"),
ISNUMBER(SEARCH("MALE SURGICAL",K797)), PROPER("MALE SURG &amp; ORTHOPEDIC"),
ISNUMBER(SEARCH("MALE MEDICAL",K797)), PROPER("MALE MEDICAL"),
ISNUMBER(SEARCH("GRADE 2",K797)), PROPER("GRADE 2"),
ISNUMBER(SEARCH("FEMALE WARD",K797)), PROPER("FEMALE MEDICAL"),
TRUE, "Unmapped: " &amp; K797)</f>
        <v>Male Medical</v>
      </c>
      <c r="M797" t="s">
        <v>22</v>
      </c>
      <c r="O797" t="s">
        <v>2727</v>
      </c>
      <c r="P797" t="str">
        <f t="shared" si="101"/>
        <v>Text Error</v>
      </c>
      <c r="Q797" s="5">
        <v>46048.621319444443</v>
      </c>
      <c r="R797" t="str">
        <f t="shared" si="102"/>
        <v>Valid Date</v>
      </c>
      <c r="S797" t="s">
        <v>2728</v>
      </c>
      <c r="T797" s="5">
        <v>46049.664004629631</v>
      </c>
      <c r="U797">
        <v>1</v>
      </c>
      <c r="V797" t="str">
        <f t="shared" si="103"/>
        <v>OK</v>
      </c>
      <c r="W797" t="s">
        <v>25</v>
      </c>
      <c r="Y797" t="s">
        <v>30</v>
      </c>
    </row>
    <row r="798" spans="1:25" x14ac:dyDescent="0.25">
      <c r="A798" t="s">
        <v>2729</v>
      </c>
      <c r="B798" t="str">
        <f t="shared" si="97"/>
        <v>Upendo Asheri Elisha</v>
      </c>
      <c r="C798">
        <v>72615</v>
      </c>
      <c r="D798" t="str">
        <f t="shared" si="96"/>
        <v>Unique</v>
      </c>
      <c r="E798" t="s">
        <v>2730</v>
      </c>
      <c r="F798" s="3">
        <f t="shared" si="98"/>
        <v>11</v>
      </c>
      <c r="G798" t="s">
        <v>32</v>
      </c>
      <c r="H798" t="str">
        <f t="shared" si="99"/>
        <v>Valid</v>
      </c>
      <c r="I798" t="s">
        <v>227</v>
      </c>
      <c r="J798" t="str">
        <f t="shared" si="100"/>
        <v>KGG</v>
      </c>
      <c r="K798" t="s">
        <v>109</v>
      </c>
      <c r="L798" t="str" cm="1">
        <f t="array" ref="L798">_xlfn.IFS(
ISNUMBER(SEARCH("ICU",K798)), "ICU",
ISNUMBER(SEARCH("NEONATAL",K798)), PROPER("NEONATAL"),
ISNUMBER(SEARCH("LABOUR",K798)), PROPER("LABOUR"),
ISNUMBER(SEARCH("PAEDIATRIC",K798)), PROPER("PAEDIATRIC"),
ISNUMBER(SEARCH("FEMALE SURGICAL",K798)), PROPER("FEMALE SURG, ORTHO &amp; GYN"),
ISNUMBER(SEARCH("PSYCHIATRIST",K798)), PROPER("PSYCHIATRIST"),
ISNUMBER(SEARCH("GRADE 1",K798)), PROPER("GRADE 1"),
ISNUMBER(SEARCH("MALE SURGICAL",K798)), PROPER("MALE SURG &amp; ORTHOPEDIC"),
ISNUMBER(SEARCH("MALE MEDICAL",K798)), PROPER("MALE MEDICAL"),
ISNUMBER(SEARCH("GRADE 2",K798)), PROPER("GRADE 2"),
ISNUMBER(SEARCH("FEMALE WARD",K798)), PROPER("FEMALE MEDICAL"),
TRUE, "Unmapped: " &amp; K798)</f>
        <v>Paediatric</v>
      </c>
      <c r="M798" t="s">
        <v>22</v>
      </c>
      <c r="O798" t="s">
        <v>2731</v>
      </c>
      <c r="P798" t="str">
        <f t="shared" si="101"/>
        <v>Text Error</v>
      </c>
      <c r="Q798" s="5">
        <v>46048.657754629632</v>
      </c>
      <c r="R798" t="str">
        <f t="shared" si="102"/>
        <v>Valid Date</v>
      </c>
      <c r="S798" t="s">
        <v>2732</v>
      </c>
      <c r="T798" s="5">
        <v>46050.496365740742</v>
      </c>
      <c r="U798">
        <v>1</v>
      </c>
      <c r="V798" t="str">
        <f t="shared" si="103"/>
        <v>OK</v>
      </c>
      <c r="W798" t="s">
        <v>397</v>
      </c>
      <c r="Y798" t="s">
        <v>30</v>
      </c>
    </row>
    <row r="799" spans="1:25" x14ac:dyDescent="0.25">
      <c r="A799" t="s">
        <v>2733</v>
      </c>
      <c r="B799" t="str">
        <f t="shared" si="97"/>
        <v>Amos Mabwati Nkoni</v>
      </c>
      <c r="C799">
        <v>129644</v>
      </c>
      <c r="D799" t="str">
        <f t="shared" si="96"/>
        <v>Unique</v>
      </c>
      <c r="E799" t="s">
        <v>922</v>
      </c>
      <c r="F799" s="3">
        <f t="shared" si="98"/>
        <v>65</v>
      </c>
      <c r="G799" t="s">
        <v>19</v>
      </c>
      <c r="H799" t="str">
        <f t="shared" si="99"/>
        <v>Valid</v>
      </c>
      <c r="I799" t="s">
        <v>20</v>
      </c>
      <c r="J799" t="str">
        <f t="shared" si="100"/>
        <v>Uvinza</v>
      </c>
      <c r="K799" t="s">
        <v>484</v>
      </c>
      <c r="L799" t="str" cm="1">
        <f t="array" ref="L799">_xlfn.IFS(
ISNUMBER(SEARCH("ICU",K799)), "ICU",
ISNUMBER(SEARCH("NEONATAL",K799)), PROPER("NEONATAL"),
ISNUMBER(SEARCH("LABOUR",K799)), PROPER("LABOUR"),
ISNUMBER(SEARCH("PAEDIATRIC",K799)), PROPER("PAEDIATRIC"),
ISNUMBER(SEARCH("FEMALE SURGICAL",K799)), PROPER("FEMALE SURG, ORTHO &amp; GYN"),
ISNUMBER(SEARCH("PSYCHIATRIST",K799)), PROPER("PSYCHIATRIST"),
ISNUMBER(SEARCH("GRADE 1",K799)), PROPER("GRADE 1"),
ISNUMBER(SEARCH("MALE SURGICAL",K799)), PROPER("MALE SURG &amp; ORTHOPEDIC"),
ISNUMBER(SEARCH("MALE MEDICAL",K799)), PROPER("MALE MEDICAL"),
ISNUMBER(SEARCH("GRADE 2",K799)), PROPER("GRADE 2"),
ISNUMBER(SEARCH("FEMALE WARD",K799)), PROPER("FEMALE MEDICAL"),
TRUE, "Unmapped: " &amp; K799)</f>
        <v>Male Medical</v>
      </c>
      <c r="M799" t="s">
        <v>22</v>
      </c>
      <c r="O799" t="s">
        <v>2734</v>
      </c>
      <c r="P799" t="str">
        <f t="shared" si="101"/>
        <v>Text Error</v>
      </c>
      <c r="Q799" s="5">
        <v>46048.73578703704</v>
      </c>
      <c r="R799" t="str">
        <f t="shared" si="102"/>
        <v>Valid Date</v>
      </c>
      <c r="S799" t="s">
        <v>2735</v>
      </c>
      <c r="T799" s="5">
        <v>46050.655081018522</v>
      </c>
      <c r="U799">
        <v>1</v>
      </c>
      <c r="V799" t="str">
        <f t="shared" si="103"/>
        <v>OK</v>
      </c>
      <c r="W799" t="s">
        <v>25</v>
      </c>
      <c r="Y799" t="s">
        <v>30</v>
      </c>
    </row>
    <row r="800" spans="1:25" x14ac:dyDescent="0.25">
      <c r="A800" t="s">
        <v>2736</v>
      </c>
      <c r="B800" t="str">
        <f t="shared" si="97"/>
        <v>Albina Binamungu Yohana</v>
      </c>
      <c r="C800">
        <v>129628</v>
      </c>
      <c r="D800" t="str">
        <f t="shared" si="96"/>
        <v>Unique</v>
      </c>
      <c r="E800" t="s">
        <v>758</v>
      </c>
      <c r="F800" s="3">
        <f t="shared" si="98"/>
        <v>19</v>
      </c>
      <c r="G800" t="s">
        <v>32</v>
      </c>
      <c r="H800" t="str">
        <f t="shared" si="99"/>
        <v>Valid</v>
      </c>
      <c r="I800" t="s">
        <v>33</v>
      </c>
      <c r="J800" t="str">
        <f t="shared" si="100"/>
        <v>Kigoma Ujiji Mc</v>
      </c>
      <c r="K800" t="s">
        <v>700</v>
      </c>
      <c r="L800" t="str" cm="1">
        <f t="array" ref="L800">_xlfn.IFS(
ISNUMBER(SEARCH("ICU",K800)), "ICU",
ISNUMBER(SEARCH("NEONATAL",K800)), PROPER("NEONATAL"),
ISNUMBER(SEARCH("LABOUR",K800)), PROPER("LABOUR"),
ISNUMBER(SEARCH("PAEDIATRIC",K800)), PROPER("PAEDIATRIC"),
ISNUMBER(SEARCH("FEMALE SURGICAL",K800)), PROPER("FEMALE SURG, ORTHO &amp; GYN"),
ISNUMBER(SEARCH("PSYCHIATRIST",K800)), PROPER("PSYCHIATRIST"),
ISNUMBER(SEARCH("GRADE 1",K800)), PROPER("GRADE 1"),
ISNUMBER(SEARCH("MALE SURGICAL",K800)), PROPER("MALE SURG &amp; ORTHOPEDIC"),
ISNUMBER(SEARCH("MALE MEDICAL",K800)), PROPER("MALE MEDICAL"),
ISNUMBER(SEARCH("GRADE 2",K800)), PROPER("GRADE 2"),
ISNUMBER(SEARCH("FEMALE WARD",K800)), PROPER("FEMALE MEDICAL"),
TRUE, "Unmapped: " &amp; K800)</f>
        <v>Female Medical</v>
      </c>
      <c r="M800" t="s">
        <v>22</v>
      </c>
      <c r="O800" t="s">
        <v>2737</v>
      </c>
      <c r="P800" t="str">
        <f t="shared" si="101"/>
        <v>Text Error</v>
      </c>
      <c r="Q800" s="5">
        <v>46048.81827546296</v>
      </c>
      <c r="R800" t="str">
        <f t="shared" si="102"/>
        <v>Valid Date</v>
      </c>
      <c r="S800" t="s">
        <v>2738</v>
      </c>
      <c r="T800" s="5">
        <v>46050.545856481483</v>
      </c>
      <c r="U800">
        <v>1</v>
      </c>
      <c r="V800" t="str">
        <f t="shared" si="103"/>
        <v>OK</v>
      </c>
      <c r="W800" t="s">
        <v>25</v>
      </c>
      <c r="Y800" t="s">
        <v>30</v>
      </c>
    </row>
    <row r="801" spans="1:25" x14ac:dyDescent="0.25">
      <c r="A801" t="s">
        <v>2739</v>
      </c>
      <c r="B801" t="str">
        <f t="shared" si="97"/>
        <v>Anitha Mtunzi Levelian</v>
      </c>
      <c r="C801">
        <v>129051</v>
      </c>
      <c r="D801" t="str">
        <f t="shared" si="96"/>
        <v>Unique</v>
      </c>
      <c r="E801" t="s">
        <v>301</v>
      </c>
      <c r="F801" s="3">
        <f t="shared" si="98"/>
        <v>16</v>
      </c>
      <c r="G801" t="s">
        <v>32</v>
      </c>
      <c r="H801" t="str">
        <f t="shared" si="99"/>
        <v>Valid</v>
      </c>
      <c r="I801" t="s">
        <v>33</v>
      </c>
      <c r="J801" t="str">
        <f t="shared" si="100"/>
        <v>Kigoma Ujiji Mc</v>
      </c>
      <c r="K801" t="s">
        <v>685</v>
      </c>
      <c r="L801" t="str" cm="1">
        <f t="array" ref="L801">_xlfn.IFS(
ISNUMBER(SEARCH("ICU",K801)), "ICU",
ISNUMBER(SEARCH("NEONATAL",K801)), PROPER("NEONATAL"),
ISNUMBER(SEARCH("LABOUR",K801)), PROPER("LABOUR"),
ISNUMBER(SEARCH("PAEDIATRIC",K801)), PROPER("PAEDIATRIC"),
ISNUMBER(SEARCH("FEMALE SURGICAL",K801)), PROPER("FEMALE SURG, ORTHO &amp; GYN"),
ISNUMBER(SEARCH("PSYCHIATRIST",K801)), PROPER("PSYCHIATRIST"),
ISNUMBER(SEARCH("GRADE 1",K801)), PROPER("GRADE 1"),
ISNUMBER(SEARCH("MALE SURGICAL",K801)), PROPER("MALE SURG &amp; ORTHOPEDIC"),
ISNUMBER(SEARCH("MALE MEDICAL",K801)), PROPER("MALE MEDICAL"),
ISNUMBER(SEARCH("GRADE 2",K801)), PROPER("GRADE 2"),
ISNUMBER(SEARCH("FEMALE WARD",K801)), PROPER("FEMALE MEDICAL"),
TRUE, "Unmapped: " &amp; K801)</f>
        <v>Grade 2</v>
      </c>
      <c r="M801" t="s">
        <v>394</v>
      </c>
      <c r="O801" t="s">
        <v>2740</v>
      </c>
      <c r="P801" t="str">
        <f t="shared" si="101"/>
        <v>Text Error</v>
      </c>
      <c r="Q801" s="5">
        <v>46048.876273148147</v>
      </c>
      <c r="R801" t="str">
        <f t="shared" si="102"/>
        <v>Valid Date</v>
      </c>
      <c r="S801" t="s">
        <v>2741</v>
      </c>
      <c r="T801" s="5">
        <v>46050.59516203704</v>
      </c>
      <c r="U801">
        <v>1</v>
      </c>
      <c r="V801" t="str">
        <f t="shared" si="103"/>
        <v>OK</v>
      </c>
      <c r="W801" t="s">
        <v>25</v>
      </c>
      <c r="Y801" t="s">
        <v>30</v>
      </c>
    </row>
    <row r="802" spans="1:25" x14ac:dyDescent="0.25">
      <c r="A802" t="s">
        <v>2743</v>
      </c>
      <c r="B802" t="str">
        <f t="shared" si="97"/>
        <v>Melania M Petro</v>
      </c>
      <c r="C802">
        <v>36613</v>
      </c>
      <c r="D802" t="str">
        <f t="shared" si="96"/>
        <v>Unique</v>
      </c>
      <c r="E802" t="s">
        <v>392</v>
      </c>
      <c r="F802" s="3">
        <f t="shared" si="98"/>
        <v>51</v>
      </c>
      <c r="G802" t="s">
        <v>32</v>
      </c>
      <c r="H802" t="str">
        <f t="shared" si="99"/>
        <v>Valid</v>
      </c>
      <c r="I802" t="s">
        <v>33</v>
      </c>
      <c r="J802" t="str">
        <f t="shared" si="100"/>
        <v>Kigoma Ujiji Mc</v>
      </c>
      <c r="K802" t="s">
        <v>685</v>
      </c>
      <c r="L802" t="str" cm="1">
        <f t="array" ref="L802">_xlfn.IFS(
ISNUMBER(SEARCH("ICU",K802)), "ICU",
ISNUMBER(SEARCH("NEONATAL",K802)), PROPER("NEONATAL"),
ISNUMBER(SEARCH("LABOUR",K802)), PROPER("LABOUR"),
ISNUMBER(SEARCH("PAEDIATRIC",K802)), PROPER("PAEDIATRIC"),
ISNUMBER(SEARCH("FEMALE SURGICAL",K802)), PROPER("FEMALE SURG, ORTHO &amp; GYN"),
ISNUMBER(SEARCH("PSYCHIATRIST",K802)), PROPER("PSYCHIATRIST"),
ISNUMBER(SEARCH("GRADE 1",K802)), PROPER("GRADE 1"),
ISNUMBER(SEARCH("MALE SURGICAL",K802)), PROPER("MALE SURG &amp; ORTHOPEDIC"),
ISNUMBER(SEARCH("MALE MEDICAL",K802)), PROPER("MALE MEDICAL"),
ISNUMBER(SEARCH("GRADE 2",K802)), PROPER("GRADE 2"),
ISNUMBER(SEARCH("FEMALE WARD",K802)), PROPER("FEMALE MEDICAL"),
TRUE, "Unmapped: " &amp; K802)</f>
        <v>Grade 2</v>
      </c>
      <c r="M802" t="s">
        <v>394</v>
      </c>
      <c r="O802" t="s">
        <v>2744</v>
      </c>
      <c r="P802" t="str">
        <f t="shared" si="101"/>
        <v>Text Error</v>
      </c>
      <c r="Q802" s="5">
        <v>46048.879108796296</v>
      </c>
      <c r="R802" t="str">
        <f t="shared" si="102"/>
        <v>Valid Date</v>
      </c>
      <c r="S802" t="s">
        <v>2745</v>
      </c>
      <c r="T802" s="5">
        <v>46050.599085648151</v>
      </c>
      <c r="U802">
        <v>1</v>
      </c>
      <c r="V802" t="str">
        <f t="shared" si="103"/>
        <v>OK</v>
      </c>
      <c r="W802" t="s">
        <v>25</v>
      </c>
      <c r="Y802" t="s">
        <v>30</v>
      </c>
    </row>
    <row r="803" spans="1:25" x14ac:dyDescent="0.25">
      <c r="A803" t="s">
        <v>2746</v>
      </c>
      <c r="B803" t="str">
        <f t="shared" si="97"/>
        <v>Eva Kanyekebo Sama</v>
      </c>
      <c r="C803">
        <v>129675</v>
      </c>
      <c r="D803" t="str">
        <f t="shared" si="96"/>
        <v>Unique</v>
      </c>
      <c r="E803" t="s">
        <v>614</v>
      </c>
      <c r="F803" s="3">
        <f t="shared" si="98"/>
        <v>43</v>
      </c>
      <c r="G803" t="s">
        <v>32</v>
      </c>
      <c r="H803" t="str">
        <f t="shared" si="99"/>
        <v>Valid</v>
      </c>
      <c r="I803" t="s">
        <v>260</v>
      </c>
      <c r="J803" t="str">
        <f t="shared" si="100"/>
        <v>Kasulu</v>
      </c>
      <c r="K803" t="s">
        <v>123</v>
      </c>
      <c r="L803" t="str" cm="1">
        <f t="array" ref="L803">_xlfn.IFS(
ISNUMBER(SEARCH("ICU",K803)), "ICU",
ISNUMBER(SEARCH("NEONATAL",K803)), PROPER("NEONATAL"),
ISNUMBER(SEARCH("LABOUR",K803)), PROPER("LABOUR"),
ISNUMBER(SEARCH("PAEDIATRIC",K803)), PROPER("PAEDIATRIC"),
ISNUMBER(SEARCH("FEMALE SURGICAL",K803)), PROPER("FEMALE SURG, ORTHO &amp; GYN"),
ISNUMBER(SEARCH("PSYCHIATRIST",K803)), PROPER("PSYCHIATRIST"),
ISNUMBER(SEARCH("GRADE 1",K803)), PROPER("GRADE 1"),
ISNUMBER(SEARCH("MALE SURGICAL",K803)), PROPER("MALE SURG &amp; ORTHOPEDIC"),
ISNUMBER(SEARCH("MALE MEDICAL",K803)), PROPER("MALE MEDICAL"),
ISNUMBER(SEARCH("GRADE 2",K803)), PROPER("GRADE 2"),
ISNUMBER(SEARCH("FEMALE WARD",K803)), PROPER("FEMALE MEDICAL"),
TRUE, "Unmapped: " &amp; K803)</f>
        <v>Female Surg, Ortho &amp; Gyn</v>
      </c>
      <c r="M803" t="s">
        <v>216</v>
      </c>
      <c r="O803" t="s">
        <v>2747</v>
      </c>
      <c r="P803" t="str">
        <f t="shared" si="101"/>
        <v>Text Error</v>
      </c>
      <c r="Q803" s="5">
        <v>46048.91574074074</v>
      </c>
      <c r="R803" t="str">
        <f t="shared" si="102"/>
        <v>Valid Date</v>
      </c>
      <c r="S803" t="s">
        <v>2748</v>
      </c>
      <c r="T803" s="5">
        <v>46050.522812499999</v>
      </c>
      <c r="U803">
        <v>1</v>
      </c>
      <c r="V803" t="str">
        <f t="shared" si="103"/>
        <v>OK</v>
      </c>
      <c r="W803" t="s">
        <v>397</v>
      </c>
      <c r="Y803" t="s">
        <v>30</v>
      </c>
    </row>
    <row r="804" spans="1:25" x14ac:dyDescent="0.25">
      <c r="A804" t="s">
        <v>2749</v>
      </c>
      <c r="B804" t="str">
        <f t="shared" si="97"/>
        <v>Sada Athuman Sadick</v>
      </c>
      <c r="C804">
        <v>129692</v>
      </c>
      <c r="D804" t="str">
        <f t="shared" si="96"/>
        <v>Unique</v>
      </c>
      <c r="E804" t="s">
        <v>74</v>
      </c>
      <c r="F804" s="3">
        <f t="shared" si="98"/>
        <v>35</v>
      </c>
      <c r="G804" t="s">
        <v>32</v>
      </c>
      <c r="H804" t="str">
        <f t="shared" si="99"/>
        <v>Valid</v>
      </c>
      <c r="I804" t="s">
        <v>20</v>
      </c>
      <c r="J804" t="str">
        <f t="shared" si="100"/>
        <v>Uvinza</v>
      </c>
      <c r="K804" t="s">
        <v>40</v>
      </c>
      <c r="L804" t="str" cm="1">
        <f t="array" ref="L804">_xlfn.IFS(
ISNUMBER(SEARCH("ICU",K804)), "ICU",
ISNUMBER(SEARCH("NEONATAL",K804)), PROPER("NEONATAL"),
ISNUMBER(SEARCH("LABOUR",K804)), PROPER("LABOUR"),
ISNUMBER(SEARCH("PAEDIATRIC",K804)), PROPER("PAEDIATRIC"),
ISNUMBER(SEARCH("FEMALE SURGICAL",K804)), PROPER("FEMALE SURG, ORTHO &amp; GYN"),
ISNUMBER(SEARCH("PSYCHIATRIST",K804)), PROPER("PSYCHIATRIST"),
ISNUMBER(SEARCH("GRADE 1",K804)), PROPER("GRADE 1"),
ISNUMBER(SEARCH("MALE SURGICAL",K804)), PROPER("MALE SURG &amp; ORTHOPEDIC"),
ISNUMBER(SEARCH("MALE MEDICAL",K804)), PROPER("MALE MEDICAL"),
ISNUMBER(SEARCH("GRADE 2",K804)), PROPER("GRADE 2"),
ISNUMBER(SEARCH("FEMALE WARD",K804)), PROPER("FEMALE MEDICAL"),
TRUE, "Unmapped: " &amp; K804)</f>
        <v>Labour</v>
      </c>
      <c r="M804" t="s">
        <v>22</v>
      </c>
      <c r="O804" t="s">
        <v>2750</v>
      </c>
      <c r="P804" t="str">
        <f t="shared" si="101"/>
        <v>Text Error</v>
      </c>
      <c r="Q804" s="5">
        <v>46049.001805555556</v>
      </c>
      <c r="R804" t="str">
        <f t="shared" si="102"/>
        <v>Valid Date</v>
      </c>
      <c r="S804" t="s">
        <v>2751</v>
      </c>
      <c r="T804" s="5">
        <v>46050.567835648151</v>
      </c>
      <c r="U804">
        <v>1</v>
      </c>
      <c r="V804" t="str">
        <f t="shared" si="103"/>
        <v>OK</v>
      </c>
      <c r="W804" t="s">
        <v>25</v>
      </c>
      <c r="Y804" t="s">
        <v>30</v>
      </c>
    </row>
    <row r="805" spans="1:25" x14ac:dyDescent="0.25">
      <c r="A805" t="s">
        <v>2752</v>
      </c>
      <c r="B805" t="str">
        <f t="shared" si="97"/>
        <v>Adija Almas Mondo</v>
      </c>
      <c r="C805">
        <v>129757</v>
      </c>
      <c r="D805" t="str">
        <f t="shared" si="96"/>
        <v>Unique</v>
      </c>
      <c r="E805" t="s">
        <v>80</v>
      </c>
      <c r="F805" s="3">
        <f t="shared" si="98"/>
        <v>24</v>
      </c>
      <c r="G805" t="s">
        <v>32</v>
      </c>
      <c r="H805" t="str">
        <f t="shared" si="99"/>
        <v>Valid</v>
      </c>
      <c r="I805" t="s">
        <v>33</v>
      </c>
      <c r="J805" t="str">
        <f t="shared" si="100"/>
        <v>Kigoma Ujiji Mc</v>
      </c>
      <c r="K805" t="s">
        <v>40</v>
      </c>
      <c r="L805" t="str" cm="1">
        <f t="array" ref="L805">_xlfn.IFS(
ISNUMBER(SEARCH("ICU",K805)), "ICU",
ISNUMBER(SEARCH("NEONATAL",K805)), PROPER("NEONATAL"),
ISNUMBER(SEARCH("LABOUR",K805)), PROPER("LABOUR"),
ISNUMBER(SEARCH("PAEDIATRIC",K805)), PROPER("PAEDIATRIC"),
ISNUMBER(SEARCH("FEMALE SURGICAL",K805)), PROPER("FEMALE SURG, ORTHO &amp; GYN"),
ISNUMBER(SEARCH("PSYCHIATRIST",K805)), PROPER("PSYCHIATRIST"),
ISNUMBER(SEARCH("GRADE 1",K805)), PROPER("GRADE 1"),
ISNUMBER(SEARCH("MALE SURGICAL",K805)), PROPER("MALE SURG &amp; ORTHOPEDIC"),
ISNUMBER(SEARCH("MALE MEDICAL",K805)), PROPER("MALE MEDICAL"),
ISNUMBER(SEARCH("GRADE 2",K805)), PROPER("GRADE 2"),
ISNUMBER(SEARCH("FEMALE WARD",K805)), PROPER("FEMALE MEDICAL"),
TRUE, "Unmapped: " &amp; K805)</f>
        <v>Labour</v>
      </c>
      <c r="M805" t="s">
        <v>22</v>
      </c>
      <c r="O805" t="s">
        <v>2753</v>
      </c>
      <c r="P805" t="str">
        <f t="shared" si="101"/>
        <v>Text Error</v>
      </c>
      <c r="Q805" s="5">
        <v>46049.464606481481</v>
      </c>
      <c r="R805" t="str">
        <f t="shared" si="102"/>
        <v>Valid Date</v>
      </c>
      <c r="S805" t="s">
        <v>2754</v>
      </c>
      <c r="T805" s="5">
        <v>46050.660138888888</v>
      </c>
      <c r="U805">
        <v>1</v>
      </c>
      <c r="V805" t="str">
        <f t="shared" si="103"/>
        <v>OK</v>
      </c>
      <c r="W805" t="s">
        <v>25</v>
      </c>
      <c r="Y805" t="s">
        <v>30</v>
      </c>
    </row>
    <row r="806" spans="1:25" x14ac:dyDescent="0.25">
      <c r="A806" t="s">
        <v>2755</v>
      </c>
      <c r="B806" t="str">
        <f t="shared" si="97"/>
        <v>Amina S Kingombe</v>
      </c>
      <c r="C806">
        <v>6438</v>
      </c>
      <c r="D806" t="str">
        <f t="shared" si="96"/>
        <v>Unique</v>
      </c>
      <c r="E806" t="s">
        <v>74</v>
      </c>
      <c r="F806" s="3">
        <f t="shared" si="98"/>
        <v>35</v>
      </c>
      <c r="G806" t="s">
        <v>32</v>
      </c>
      <c r="H806" t="str">
        <f t="shared" si="99"/>
        <v>Valid</v>
      </c>
      <c r="I806" t="s">
        <v>33</v>
      </c>
      <c r="J806" t="str">
        <f t="shared" si="100"/>
        <v>Kigoma Ujiji Mc</v>
      </c>
      <c r="K806" t="s">
        <v>123</v>
      </c>
      <c r="L806" t="str" cm="1">
        <f t="array" ref="L806">_xlfn.IFS(
ISNUMBER(SEARCH("ICU",K806)), "ICU",
ISNUMBER(SEARCH("NEONATAL",K806)), PROPER("NEONATAL"),
ISNUMBER(SEARCH("LABOUR",K806)), PROPER("LABOUR"),
ISNUMBER(SEARCH("PAEDIATRIC",K806)), PROPER("PAEDIATRIC"),
ISNUMBER(SEARCH("FEMALE SURGICAL",K806)), PROPER("FEMALE SURG, ORTHO &amp; GYN"),
ISNUMBER(SEARCH("PSYCHIATRIST",K806)), PROPER("PSYCHIATRIST"),
ISNUMBER(SEARCH("GRADE 1",K806)), PROPER("GRADE 1"),
ISNUMBER(SEARCH("MALE SURGICAL",K806)), PROPER("MALE SURG &amp; ORTHOPEDIC"),
ISNUMBER(SEARCH("MALE MEDICAL",K806)), PROPER("MALE MEDICAL"),
ISNUMBER(SEARCH("GRADE 2",K806)), PROPER("GRADE 2"),
ISNUMBER(SEARCH("FEMALE WARD",K806)), PROPER("FEMALE MEDICAL"),
TRUE, "Unmapped: " &amp; K806)</f>
        <v>Female Surg, Ortho &amp; Gyn</v>
      </c>
      <c r="M806" t="s">
        <v>394</v>
      </c>
      <c r="O806" t="s">
        <v>2756</v>
      </c>
      <c r="P806" t="str">
        <f t="shared" si="101"/>
        <v>Text Error</v>
      </c>
      <c r="Q806" s="5">
        <v>46049.534942129627</v>
      </c>
      <c r="R806" t="str">
        <f t="shared" si="102"/>
        <v>Valid Date</v>
      </c>
      <c r="S806" t="s">
        <v>2757</v>
      </c>
      <c r="T806" s="5">
        <v>46051.375324074077</v>
      </c>
      <c r="U806">
        <v>1</v>
      </c>
      <c r="V806" t="str">
        <f t="shared" si="103"/>
        <v>OK</v>
      </c>
      <c r="W806" t="s">
        <v>25</v>
      </c>
      <c r="Y806" t="s">
        <v>30</v>
      </c>
    </row>
    <row r="807" spans="1:25" x14ac:dyDescent="0.25">
      <c r="A807" t="s">
        <v>2758</v>
      </c>
      <c r="B807" t="str">
        <f t="shared" si="97"/>
        <v>Asia Kuremba Sungura</v>
      </c>
      <c r="C807">
        <v>129774</v>
      </c>
      <c r="D807" t="str">
        <f t="shared" si="96"/>
        <v>Unique</v>
      </c>
      <c r="E807" t="s">
        <v>441</v>
      </c>
      <c r="F807" s="3">
        <f t="shared" si="98"/>
        <v>60</v>
      </c>
      <c r="G807" t="s">
        <v>32</v>
      </c>
      <c r="H807" t="str">
        <f t="shared" si="99"/>
        <v>Valid</v>
      </c>
      <c r="I807" t="s">
        <v>33</v>
      </c>
      <c r="J807" t="str">
        <f t="shared" si="100"/>
        <v>Kigoma Ujiji Mc</v>
      </c>
      <c r="K807" t="s">
        <v>123</v>
      </c>
      <c r="L807" t="str" cm="1">
        <f t="array" ref="L807">_xlfn.IFS(
ISNUMBER(SEARCH("ICU",K807)), "ICU",
ISNUMBER(SEARCH("NEONATAL",K807)), PROPER("NEONATAL"),
ISNUMBER(SEARCH("LABOUR",K807)), PROPER("LABOUR"),
ISNUMBER(SEARCH("PAEDIATRIC",K807)), PROPER("PAEDIATRIC"),
ISNUMBER(SEARCH("FEMALE SURGICAL",K807)), PROPER("FEMALE SURG, ORTHO &amp; GYN"),
ISNUMBER(SEARCH("PSYCHIATRIST",K807)), PROPER("PSYCHIATRIST"),
ISNUMBER(SEARCH("GRADE 1",K807)), PROPER("GRADE 1"),
ISNUMBER(SEARCH("MALE SURGICAL",K807)), PROPER("MALE SURG &amp; ORTHOPEDIC"),
ISNUMBER(SEARCH("MALE MEDICAL",K807)), PROPER("MALE MEDICAL"),
ISNUMBER(SEARCH("GRADE 2",K807)), PROPER("GRADE 2"),
ISNUMBER(SEARCH("FEMALE WARD",K807)), PROPER("FEMALE MEDICAL"),
TRUE, "Unmapped: " &amp; K807)</f>
        <v>Female Surg, Ortho &amp; Gyn</v>
      </c>
      <c r="M807" t="s">
        <v>22</v>
      </c>
      <c r="O807" t="s">
        <v>2759</v>
      </c>
      <c r="P807" t="str">
        <f t="shared" si="101"/>
        <v>Text Error</v>
      </c>
      <c r="Q807" s="5">
        <v>46049.666666666664</v>
      </c>
      <c r="R807" t="str">
        <f t="shared" si="102"/>
        <v>Valid Date</v>
      </c>
      <c r="S807" t="s">
        <v>2760</v>
      </c>
      <c r="T807" s="5">
        <v>46051.661261574074</v>
      </c>
      <c r="U807">
        <v>1</v>
      </c>
      <c r="V807" t="str">
        <f t="shared" si="103"/>
        <v>OK</v>
      </c>
      <c r="W807" t="s">
        <v>112</v>
      </c>
      <c r="Y807" t="s">
        <v>30</v>
      </c>
    </row>
    <row r="808" spans="1:25" x14ac:dyDescent="0.25">
      <c r="A808" t="s">
        <v>2761</v>
      </c>
      <c r="B808" t="str">
        <f t="shared" si="97"/>
        <v>B/o Hairath Mbaruku Omary</v>
      </c>
      <c r="C808">
        <v>129797</v>
      </c>
      <c r="D808" t="str">
        <f t="shared" si="96"/>
        <v>Unique</v>
      </c>
      <c r="E808" t="s">
        <v>1172</v>
      </c>
      <c r="F808" s="3" t="str">
        <f t="shared" si="98"/>
        <v>1/12</v>
      </c>
      <c r="G808" t="s">
        <v>19</v>
      </c>
      <c r="H808" t="str">
        <f t="shared" si="99"/>
        <v>Valid</v>
      </c>
      <c r="I808" t="s">
        <v>33</v>
      </c>
      <c r="J808" t="str">
        <f t="shared" si="100"/>
        <v>Kigoma Ujiji Mc</v>
      </c>
      <c r="K808" t="s">
        <v>21</v>
      </c>
      <c r="L808" t="str" cm="1">
        <f t="array" ref="L808">_xlfn.IFS(
ISNUMBER(SEARCH("ICU",K808)), "ICU",
ISNUMBER(SEARCH("NEONATAL",K808)), PROPER("NEONATAL"),
ISNUMBER(SEARCH("LABOUR",K808)), PROPER("LABOUR"),
ISNUMBER(SEARCH("PAEDIATRIC",K808)), PROPER("PAEDIATRIC"),
ISNUMBER(SEARCH("FEMALE SURGICAL",K808)), PROPER("FEMALE SURG, ORTHO &amp; GYN"),
ISNUMBER(SEARCH("PSYCHIATRIST",K808)), PROPER("PSYCHIATRIST"),
ISNUMBER(SEARCH("GRADE 1",K808)), PROPER("GRADE 1"),
ISNUMBER(SEARCH("MALE SURGICAL",K808)), PROPER("MALE SURG &amp; ORTHOPEDIC"),
ISNUMBER(SEARCH("MALE MEDICAL",K808)), PROPER("MALE MEDICAL"),
ISNUMBER(SEARCH("GRADE 2",K808)), PROPER("GRADE 2"),
ISNUMBER(SEARCH("FEMALE WARD",K808)), PROPER("FEMALE MEDICAL"),
TRUE, "Unmapped: " &amp; K808)</f>
        <v>Neonatal</v>
      </c>
      <c r="M808" t="s">
        <v>22</v>
      </c>
      <c r="O808" t="s">
        <v>2762</v>
      </c>
      <c r="P808" t="str">
        <f t="shared" si="101"/>
        <v>Text Error</v>
      </c>
      <c r="Q808" s="5">
        <v>46049.705289351848</v>
      </c>
      <c r="R808" t="str">
        <f t="shared" si="102"/>
        <v>Valid Date</v>
      </c>
      <c r="S808" t="s">
        <v>2763</v>
      </c>
      <c r="T808" s="5">
        <v>46051.658518518518</v>
      </c>
      <c r="U808">
        <v>1</v>
      </c>
      <c r="V808" t="str">
        <f t="shared" si="103"/>
        <v>OK</v>
      </c>
      <c r="W808" t="s">
        <v>25</v>
      </c>
      <c r="Y808" t="s">
        <v>30</v>
      </c>
    </row>
    <row r="809" spans="1:25" x14ac:dyDescent="0.25">
      <c r="A809" t="s">
        <v>2764</v>
      </c>
      <c r="B809" t="str">
        <f t="shared" si="97"/>
        <v>Debola Masama Ndege</v>
      </c>
      <c r="C809">
        <v>123083</v>
      </c>
      <c r="D809" t="str">
        <f t="shared" si="96"/>
        <v>Unique</v>
      </c>
      <c r="E809" t="s">
        <v>2765</v>
      </c>
      <c r="F809" s="3" t="str">
        <f t="shared" si="98"/>
        <v>4/12</v>
      </c>
      <c r="G809" t="s">
        <v>32</v>
      </c>
      <c r="H809" t="str">
        <f t="shared" si="99"/>
        <v>Valid</v>
      </c>
      <c r="I809" t="s">
        <v>260</v>
      </c>
      <c r="J809" t="str">
        <f t="shared" si="100"/>
        <v>Kasulu</v>
      </c>
      <c r="K809" t="s">
        <v>109</v>
      </c>
      <c r="L809" t="str" cm="1">
        <f t="array" ref="L809">_xlfn.IFS(
ISNUMBER(SEARCH("ICU",K809)), "ICU",
ISNUMBER(SEARCH("NEONATAL",K809)), PROPER("NEONATAL"),
ISNUMBER(SEARCH("LABOUR",K809)), PROPER("LABOUR"),
ISNUMBER(SEARCH("PAEDIATRIC",K809)), PROPER("PAEDIATRIC"),
ISNUMBER(SEARCH("FEMALE SURGICAL",K809)), PROPER("FEMALE SURG, ORTHO &amp; GYN"),
ISNUMBER(SEARCH("PSYCHIATRIST",K809)), PROPER("PSYCHIATRIST"),
ISNUMBER(SEARCH("GRADE 1",K809)), PROPER("GRADE 1"),
ISNUMBER(SEARCH("MALE SURGICAL",K809)), PROPER("MALE SURG &amp; ORTHOPEDIC"),
ISNUMBER(SEARCH("MALE MEDICAL",K809)), PROPER("MALE MEDICAL"),
ISNUMBER(SEARCH("GRADE 2",K809)), PROPER("GRADE 2"),
ISNUMBER(SEARCH("FEMALE WARD",K809)), PROPER("FEMALE MEDICAL"),
TRUE, "Unmapped: " &amp; K809)</f>
        <v>Paediatric</v>
      </c>
      <c r="M809" t="s">
        <v>2766</v>
      </c>
      <c r="O809" t="s">
        <v>2767</v>
      </c>
      <c r="P809" t="str">
        <f t="shared" si="101"/>
        <v>Text Error</v>
      </c>
      <c r="Q809" s="5">
        <v>46049.798055555555</v>
      </c>
      <c r="R809" t="str">
        <f t="shared" si="102"/>
        <v>Valid Date</v>
      </c>
      <c r="S809" t="s">
        <v>2768</v>
      </c>
      <c r="T809" s="5">
        <v>46051.443101851852</v>
      </c>
      <c r="U809">
        <v>1</v>
      </c>
      <c r="V809" t="str">
        <f t="shared" si="103"/>
        <v>OK</v>
      </c>
      <c r="W809" t="s">
        <v>25</v>
      </c>
      <c r="Y809" t="s">
        <v>30</v>
      </c>
    </row>
    <row r="810" spans="1:25" x14ac:dyDescent="0.25">
      <c r="A810" t="s">
        <v>2769</v>
      </c>
      <c r="B810" t="str">
        <f t="shared" si="97"/>
        <v>Baby Of Aisha Said Rashid</v>
      </c>
      <c r="C810">
        <v>129822</v>
      </c>
      <c r="D810" t="str">
        <f t="shared" si="96"/>
        <v>Unique</v>
      </c>
      <c r="E810" t="s">
        <v>1172</v>
      </c>
      <c r="F810" s="3" t="str">
        <f t="shared" si="98"/>
        <v>1/12</v>
      </c>
      <c r="G810" t="s">
        <v>19</v>
      </c>
      <c r="H810" t="str">
        <f t="shared" si="99"/>
        <v>Valid</v>
      </c>
      <c r="I810" t="s">
        <v>33</v>
      </c>
      <c r="J810" t="str">
        <f t="shared" si="100"/>
        <v>Kigoma Ujiji Mc</v>
      </c>
      <c r="K810" t="s">
        <v>21</v>
      </c>
      <c r="L810" t="str" cm="1">
        <f t="array" ref="L810">_xlfn.IFS(
ISNUMBER(SEARCH("ICU",K810)), "ICU",
ISNUMBER(SEARCH("NEONATAL",K810)), PROPER("NEONATAL"),
ISNUMBER(SEARCH("LABOUR",K810)), PROPER("LABOUR"),
ISNUMBER(SEARCH("PAEDIATRIC",K810)), PROPER("PAEDIATRIC"),
ISNUMBER(SEARCH("FEMALE SURGICAL",K810)), PROPER("FEMALE SURG, ORTHO &amp; GYN"),
ISNUMBER(SEARCH("PSYCHIATRIST",K810)), PROPER("PSYCHIATRIST"),
ISNUMBER(SEARCH("GRADE 1",K810)), PROPER("GRADE 1"),
ISNUMBER(SEARCH("MALE SURGICAL",K810)), PROPER("MALE SURG &amp; ORTHOPEDIC"),
ISNUMBER(SEARCH("MALE MEDICAL",K810)), PROPER("MALE MEDICAL"),
ISNUMBER(SEARCH("GRADE 2",K810)), PROPER("GRADE 2"),
ISNUMBER(SEARCH("FEMALE WARD",K810)), PROPER("FEMALE MEDICAL"),
TRUE, "Unmapped: " &amp; K810)</f>
        <v>Neonatal</v>
      </c>
      <c r="M810" t="s">
        <v>22</v>
      </c>
      <c r="O810" t="s">
        <v>2770</v>
      </c>
      <c r="P810" t="str">
        <f t="shared" si="101"/>
        <v>Text Error</v>
      </c>
      <c r="Q810" s="5">
        <v>46050.365798611114</v>
      </c>
      <c r="R810" t="str">
        <f t="shared" si="102"/>
        <v>Valid Date</v>
      </c>
      <c r="S810" t="s">
        <v>2771</v>
      </c>
      <c r="T810" s="5">
        <v>46051.371574074074</v>
      </c>
      <c r="U810">
        <v>1</v>
      </c>
      <c r="V810" t="str">
        <f t="shared" si="103"/>
        <v>OK</v>
      </c>
      <c r="W810" t="s">
        <v>211</v>
      </c>
      <c r="Y810" t="s">
        <v>30</v>
      </c>
    </row>
    <row r="811" spans="1:25" x14ac:dyDescent="0.25">
      <c r="A811" t="s">
        <v>2772</v>
      </c>
      <c r="B811" t="str">
        <f t="shared" si="97"/>
        <v>Annastazia Michael Simwanza</v>
      </c>
      <c r="C811">
        <v>114771</v>
      </c>
      <c r="D811" t="str">
        <f t="shared" si="96"/>
        <v>Unique</v>
      </c>
      <c r="E811" t="s">
        <v>61</v>
      </c>
      <c r="F811" s="3">
        <f t="shared" si="98"/>
        <v>29</v>
      </c>
      <c r="G811" t="s">
        <v>32</v>
      </c>
      <c r="H811" t="str">
        <f t="shared" si="99"/>
        <v>Valid</v>
      </c>
      <c r="I811" t="s">
        <v>62</v>
      </c>
      <c r="J811" t="str">
        <f t="shared" si="100"/>
        <v>Kigoma Vijijini</v>
      </c>
      <c r="K811" t="s">
        <v>40</v>
      </c>
      <c r="L811" t="str" cm="1">
        <f t="array" ref="L811">_xlfn.IFS(
ISNUMBER(SEARCH("ICU",K811)), "ICU",
ISNUMBER(SEARCH("NEONATAL",K811)), PROPER("NEONATAL"),
ISNUMBER(SEARCH("LABOUR",K811)), PROPER("LABOUR"),
ISNUMBER(SEARCH("PAEDIATRIC",K811)), PROPER("PAEDIATRIC"),
ISNUMBER(SEARCH("FEMALE SURGICAL",K811)), PROPER("FEMALE SURG, ORTHO &amp; GYN"),
ISNUMBER(SEARCH("PSYCHIATRIST",K811)), PROPER("PSYCHIATRIST"),
ISNUMBER(SEARCH("GRADE 1",K811)), PROPER("GRADE 1"),
ISNUMBER(SEARCH("MALE SURGICAL",K811)), PROPER("MALE SURG &amp; ORTHOPEDIC"),
ISNUMBER(SEARCH("MALE MEDICAL",K811)), PROPER("MALE MEDICAL"),
ISNUMBER(SEARCH("GRADE 2",K811)), PROPER("GRADE 2"),
ISNUMBER(SEARCH("FEMALE WARD",K811)), PROPER("FEMALE MEDICAL"),
TRUE, "Unmapped: " &amp; K811)</f>
        <v>Labour</v>
      </c>
      <c r="M811" t="s">
        <v>22</v>
      </c>
      <c r="O811" t="s">
        <v>2773</v>
      </c>
      <c r="P811" t="str">
        <f t="shared" si="101"/>
        <v>Text Error</v>
      </c>
      <c r="Q811" s="5">
        <v>46050.645810185182</v>
      </c>
      <c r="R811" t="str">
        <f t="shared" si="102"/>
        <v>Valid Date</v>
      </c>
      <c r="S811" t="s">
        <v>2774</v>
      </c>
      <c r="T811" s="5">
        <v>46052.481099537035</v>
      </c>
      <c r="U811">
        <v>1</v>
      </c>
      <c r="V811" t="str">
        <f t="shared" si="103"/>
        <v>OK</v>
      </c>
      <c r="W811" t="s">
        <v>25</v>
      </c>
      <c r="Y811" t="s">
        <v>30</v>
      </c>
    </row>
    <row r="812" spans="1:25" x14ac:dyDescent="0.25">
      <c r="A812" t="s">
        <v>2775</v>
      </c>
      <c r="B812" t="str">
        <f t="shared" si="97"/>
        <v>Nuriath Ally Hassani</v>
      </c>
      <c r="C812">
        <v>129848</v>
      </c>
      <c r="D812" t="str">
        <f t="shared" si="96"/>
        <v>Unique</v>
      </c>
      <c r="E812" t="s">
        <v>413</v>
      </c>
      <c r="F812" s="3">
        <f t="shared" si="98"/>
        <v>10</v>
      </c>
      <c r="G812" t="s">
        <v>32</v>
      </c>
      <c r="H812" t="str">
        <f t="shared" si="99"/>
        <v>Valid</v>
      </c>
      <c r="I812" t="s">
        <v>33</v>
      </c>
      <c r="J812" t="str">
        <f t="shared" si="100"/>
        <v>Kigoma Ujiji Mc</v>
      </c>
      <c r="K812" t="s">
        <v>109</v>
      </c>
      <c r="L812" t="str" cm="1">
        <f t="array" ref="L812">_xlfn.IFS(
ISNUMBER(SEARCH("ICU",K812)), "ICU",
ISNUMBER(SEARCH("NEONATAL",K812)), PROPER("NEONATAL"),
ISNUMBER(SEARCH("LABOUR",K812)), PROPER("LABOUR"),
ISNUMBER(SEARCH("PAEDIATRIC",K812)), PROPER("PAEDIATRIC"),
ISNUMBER(SEARCH("FEMALE SURGICAL",K812)), PROPER("FEMALE SURG, ORTHO &amp; GYN"),
ISNUMBER(SEARCH("PSYCHIATRIST",K812)), PROPER("PSYCHIATRIST"),
ISNUMBER(SEARCH("GRADE 1",K812)), PROPER("GRADE 1"),
ISNUMBER(SEARCH("MALE SURGICAL",K812)), PROPER("MALE SURG &amp; ORTHOPEDIC"),
ISNUMBER(SEARCH("MALE MEDICAL",K812)), PROPER("MALE MEDICAL"),
ISNUMBER(SEARCH("GRADE 2",K812)), PROPER("GRADE 2"),
ISNUMBER(SEARCH("FEMALE WARD",K812)), PROPER("FEMALE MEDICAL"),
TRUE, "Unmapped: " &amp; K812)</f>
        <v>Paediatric</v>
      </c>
      <c r="M812" t="s">
        <v>22</v>
      </c>
      <c r="O812" t="s">
        <v>2776</v>
      </c>
      <c r="P812" t="str">
        <f t="shared" si="101"/>
        <v>Text Error</v>
      </c>
      <c r="Q812" s="5">
        <v>46050.71130787037</v>
      </c>
      <c r="R812" t="str">
        <f t="shared" si="102"/>
        <v>Valid Date</v>
      </c>
      <c r="S812" t="s">
        <v>2777</v>
      </c>
      <c r="T812" s="5">
        <v>46052.637627314813</v>
      </c>
      <c r="U812">
        <v>1</v>
      </c>
      <c r="V812" t="str">
        <f t="shared" si="103"/>
        <v>OK</v>
      </c>
      <c r="W812" t="s">
        <v>25</v>
      </c>
      <c r="Y812" t="s">
        <v>30</v>
      </c>
    </row>
    <row r="813" spans="1:25" x14ac:dyDescent="0.25">
      <c r="A813" t="s">
        <v>2778</v>
      </c>
      <c r="B813" t="str">
        <f t="shared" si="97"/>
        <v>Zacharia Stephano Kagoma</v>
      </c>
      <c r="C813">
        <v>129919</v>
      </c>
      <c r="D813" t="str">
        <f t="shared" si="96"/>
        <v>Unique</v>
      </c>
      <c r="E813" t="s">
        <v>884</v>
      </c>
      <c r="F813" s="3">
        <f t="shared" si="98"/>
        <v>70</v>
      </c>
      <c r="G813" t="s">
        <v>19</v>
      </c>
      <c r="H813" t="str">
        <f t="shared" si="99"/>
        <v>Valid</v>
      </c>
      <c r="I813" t="s">
        <v>33</v>
      </c>
      <c r="J813" t="str">
        <f t="shared" si="100"/>
        <v>Kigoma Ujiji Mc</v>
      </c>
      <c r="K813" t="s">
        <v>484</v>
      </c>
      <c r="L813" t="str" cm="1">
        <f t="array" ref="L813">_xlfn.IFS(
ISNUMBER(SEARCH("ICU",K813)), "ICU",
ISNUMBER(SEARCH("NEONATAL",K813)), PROPER("NEONATAL"),
ISNUMBER(SEARCH("LABOUR",K813)), PROPER("LABOUR"),
ISNUMBER(SEARCH("PAEDIATRIC",K813)), PROPER("PAEDIATRIC"),
ISNUMBER(SEARCH("FEMALE SURGICAL",K813)), PROPER("FEMALE SURG, ORTHO &amp; GYN"),
ISNUMBER(SEARCH("PSYCHIATRIST",K813)), PROPER("PSYCHIATRIST"),
ISNUMBER(SEARCH("GRADE 1",K813)), PROPER("GRADE 1"),
ISNUMBER(SEARCH("MALE SURGICAL",K813)), PROPER("MALE SURG &amp; ORTHOPEDIC"),
ISNUMBER(SEARCH("MALE MEDICAL",K813)), PROPER("MALE MEDICAL"),
ISNUMBER(SEARCH("GRADE 2",K813)), PROPER("GRADE 2"),
ISNUMBER(SEARCH("FEMALE WARD",K813)), PROPER("FEMALE MEDICAL"),
TRUE, "Unmapped: " &amp; K813)</f>
        <v>Male Medical</v>
      </c>
      <c r="M813" t="s">
        <v>22</v>
      </c>
      <c r="O813" t="s">
        <v>2779</v>
      </c>
      <c r="P813" t="str">
        <f t="shared" si="101"/>
        <v>Text Error</v>
      </c>
      <c r="Q813" s="5">
        <v>46050.76635416667</v>
      </c>
      <c r="R813" t="str">
        <f t="shared" si="102"/>
        <v>Valid Date</v>
      </c>
      <c r="S813" t="s">
        <v>2780</v>
      </c>
      <c r="T813" s="5">
        <v>46052.558275462965</v>
      </c>
      <c r="U813">
        <v>1</v>
      </c>
      <c r="V813" t="str">
        <f t="shared" si="103"/>
        <v>OK</v>
      </c>
      <c r="W813" t="s">
        <v>25</v>
      </c>
      <c r="Y813" t="s">
        <v>30</v>
      </c>
    </row>
    <row r="814" spans="1:25" x14ac:dyDescent="0.25">
      <c r="A814" t="s">
        <v>2781</v>
      </c>
      <c r="B814" t="str">
        <f t="shared" si="97"/>
        <v>Wifoad Erdard Elisha</v>
      </c>
      <c r="C814">
        <v>129935</v>
      </c>
      <c r="D814" t="str">
        <f t="shared" si="96"/>
        <v>Unique</v>
      </c>
      <c r="E814" t="s">
        <v>572</v>
      </c>
      <c r="F814" s="3">
        <f t="shared" si="98"/>
        <v>61</v>
      </c>
      <c r="G814" t="s">
        <v>19</v>
      </c>
      <c r="H814" t="str">
        <f t="shared" si="99"/>
        <v>Valid</v>
      </c>
      <c r="I814" t="s">
        <v>20</v>
      </c>
      <c r="J814" t="str">
        <f t="shared" si="100"/>
        <v>Uvinza</v>
      </c>
      <c r="K814" t="s">
        <v>484</v>
      </c>
      <c r="L814" t="str" cm="1">
        <f t="array" ref="L814">_xlfn.IFS(
ISNUMBER(SEARCH("ICU",K814)), "ICU",
ISNUMBER(SEARCH("NEONATAL",K814)), PROPER("NEONATAL"),
ISNUMBER(SEARCH("LABOUR",K814)), PROPER("LABOUR"),
ISNUMBER(SEARCH("PAEDIATRIC",K814)), PROPER("PAEDIATRIC"),
ISNUMBER(SEARCH("FEMALE SURGICAL",K814)), PROPER("FEMALE SURG, ORTHO &amp; GYN"),
ISNUMBER(SEARCH("PSYCHIATRIST",K814)), PROPER("PSYCHIATRIST"),
ISNUMBER(SEARCH("GRADE 1",K814)), PROPER("GRADE 1"),
ISNUMBER(SEARCH("MALE SURGICAL",K814)), PROPER("MALE SURG &amp; ORTHOPEDIC"),
ISNUMBER(SEARCH("MALE MEDICAL",K814)), PROPER("MALE MEDICAL"),
ISNUMBER(SEARCH("GRADE 2",K814)), PROPER("GRADE 2"),
ISNUMBER(SEARCH("FEMALE WARD",K814)), PROPER("FEMALE MEDICAL"),
TRUE, "Unmapped: " &amp; K814)</f>
        <v>Male Medical</v>
      </c>
      <c r="M814" t="s">
        <v>22</v>
      </c>
      <c r="O814" t="s">
        <v>2782</v>
      </c>
      <c r="P814" t="str">
        <f t="shared" si="101"/>
        <v>Text Error</v>
      </c>
      <c r="Q814" s="5">
        <v>46051.030081018522</v>
      </c>
      <c r="R814" t="str">
        <f t="shared" si="102"/>
        <v>Valid Date</v>
      </c>
      <c r="S814" t="s">
        <v>2783</v>
      </c>
      <c r="T814" s="5">
        <v>46052.529988425929</v>
      </c>
      <c r="U814">
        <v>1</v>
      </c>
      <c r="V814" t="str">
        <f t="shared" si="103"/>
        <v>OK</v>
      </c>
      <c r="W814" t="s">
        <v>25</v>
      </c>
      <c r="Y814" t="s">
        <v>30</v>
      </c>
    </row>
    <row r="815" spans="1:25" x14ac:dyDescent="0.25">
      <c r="A815" t="s">
        <v>2784</v>
      </c>
      <c r="B815" t="str">
        <f t="shared" si="97"/>
        <v>Babyof Wivina Fransinsi Bungwa</v>
      </c>
      <c r="C815">
        <v>130056</v>
      </c>
      <c r="D815" t="str">
        <f t="shared" si="96"/>
        <v>Unique</v>
      </c>
      <c r="E815" t="s">
        <v>1172</v>
      </c>
      <c r="F815" s="3" t="str">
        <f t="shared" si="98"/>
        <v>1/12</v>
      </c>
      <c r="G815" t="s">
        <v>32</v>
      </c>
      <c r="H815" t="str">
        <f t="shared" si="99"/>
        <v>Valid</v>
      </c>
      <c r="I815" t="s">
        <v>260</v>
      </c>
      <c r="J815" t="str">
        <f t="shared" si="100"/>
        <v>Kasulu</v>
      </c>
      <c r="K815" t="s">
        <v>21</v>
      </c>
      <c r="L815" t="str" cm="1">
        <f t="array" ref="L815">_xlfn.IFS(
ISNUMBER(SEARCH("ICU",K815)), "ICU",
ISNUMBER(SEARCH("NEONATAL",K815)), PROPER("NEONATAL"),
ISNUMBER(SEARCH("LABOUR",K815)), PROPER("LABOUR"),
ISNUMBER(SEARCH("PAEDIATRIC",K815)), PROPER("PAEDIATRIC"),
ISNUMBER(SEARCH("FEMALE SURGICAL",K815)), PROPER("FEMALE SURG, ORTHO &amp; GYN"),
ISNUMBER(SEARCH("PSYCHIATRIST",K815)), PROPER("PSYCHIATRIST"),
ISNUMBER(SEARCH("GRADE 1",K815)), PROPER("GRADE 1"),
ISNUMBER(SEARCH("MALE SURGICAL",K815)), PROPER("MALE SURG &amp; ORTHOPEDIC"),
ISNUMBER(SEARCH("MALE MEDICAL",K815)), PROPER("MALE MEDICAL"),
ISNUMBER(SEARCH("GRADE 2",K815)), PROPER("GRADE 2"),
ISNUMBER(SEARCH("FEMALE WARD",K815)), PROPER("FEMALE MEDICAL"),
TRUE, "Unmapped: " &amp; K815)</f>
        <v>Neonatal</v>
      </c>
      <c r="M815" t="s">
        <v>22</v>
      </c>
      <c r="O815" t="s">
        <v>2785</v>
      </c>
      <c r="P815" t="str">
        <f t="shared" si="101"/>
        <v>Text Error</v>
      </c>
      <c r="Q815" s="5">
        <v>46051.712071759262</v>
      </c>
      <c r="R815" t="str">
        <f t="shared" si="102"/>
        <v>Valid Date</v>
      </c>
      <c r="S815" t="s">
        <v>2786</v>
      </c>
      <c r="T815" s="5">
        <v>46053.674756944441</v>
      </c>
      <c r="U815">
        <v>1</v>
      </c>
      <c r="V815" t="str">
        <f t="shared" si="103"/>
        <v>OK</v>
      </c>
      <c r="W815" t="s">
        <v>25</v>
      </c>
      <c r="Y815" t="s">
        <v>30</v>
      </c>
    </row>
    <row r="816" spans="1:25" x14ac:dyDescent="0.25">
      <c r="A816" t="s">
        <v>2787</v>
      </c>
      <c r="B816" t="str">
        <f t="shared" si="97"/>
        <v>Sumaiya Hafidhi Ngarambe</v>
      </c>
      <c r="C816">
        <v>130059</v>
      </c>
      <c r="D816" t="str">
        <f t="shared" si="96"/>
        <v>Unique</v>
      </c>
      <c r="E816" t="s">
        <v>18</v>
      </c>
      <c r="F816" s="3">
        <f t="shared" si="98"/>
        <v>1</v>
      </c>
      <c r="G816" t="s">
        <v>32</v>
      </c>
      <c r="H816" t="str">
        <f t="shared" si="99"/>
        <v>Valid</v>
      </c>
      <c r="I816" t="s">
        <v>33</v>
      </c>
      <c r="J816" t="str">
        <f t="shared" si="100"/>
        <v>Kigoma Ujiji Mc</v>
      </c>
      <c r="K816" t="s">
        <v>109</v>
      </c>
      <c r="L816" t="str" cm="1">
        <f t="array" ref="L816">_xlfn.IFS(
ISNUMBER(SEARCH("ICU",K816)), "ICU",
ISNUMBER(SEARCH("NEONATAL",K816)), PROPER("NEONATAL"),
ISNUMBER(SEARCH("LABOUR",K816)), PROPER("LABOUR"),
ISNUMBER(SEARCH("PAEDIATRIC",K816)), PROPER("PAEDIATRIC"),
ISNUMBER(SEARCH("FEMALE SURGICAL",K816)), PROPER("FEMALE SURG, ORTHO &amp; GYN"),
ISNUMBER(SEARCH("PSYCHIATRIST",K816)), PROPER("PSYCHIATRIST"),
ISNUMBER(SEARCH("GRADE 1",K816)), PROPER("GRADE 1"),
ISNUMBER(SEARCH("MALE SURGICAL",K816)), PROPER("MALE SURG &amp; ORTHOPEDIC"),
ISNUMBER(SEARCH("MALE MEDICAL",K816)), PROPER("MALE MEDICAL"),
ISNUMBER(SEARCH("GRADE 2",K816)), PROPER("GRADE 2"),
ISNUMBER(SEARCH("FEMALE WARD",K816)), PROPER("FEMALE MEDICAL"),
TRUE, "Unmapped: " &amp; K816)</f>
        <v>Paediatric</v>
      </c>
      <c r="M816" t="s">
        <v>22</v>
      </c>
      <c r="O816" t="s">
        <v>2788</v>
      </c>
      <c r="P816" t="str">
        <f t="shared" si="101"/>
        <v>Text Error</v>
      </c>
      <c r="Q816" s="5">
        <v>46051.815266203703</v>
      </c>
      <c r="R816" t="str">
        <f t="shared" si="102"/>
        <v>Valid Date</v>
      </c>
      <c r="S816" t="s">
        <v>2789</v>
      </c>
      <c r="T816" s="5">
        <v>46053.741620370369</v>
      </c>
      <c r="U816">
        <v>1</v>
      </c>
      <c r="V816" t="str">
        <f t="shared" si="103"/>
        <v>OK</v>
      </c>
      <c r="W816" t="s">
        <v>112</v>
      </c>
      <c r="Y816" t="s">
        <v>30</v>
      </c>
    </row>
    <row r="817" spans="1:25" x14ac:dyDescent="0.25">
      <c r="A817" t="s">
        <v>2790</v>
      </c>
      <c r="B817" t="str">
        <f t="shared" si="97"/>
        <v>Mwajuma Fikilini Hussein</v>
      </c>
      <c r="C817">
        <v>92684</v>
      </c>
      <c r="D817" t="str">
        <f t="shared" si="96"/>
        <v>Unique</v>
      </c>
      <c r="E817" t="s">
        <v>670</v>
      </c>
      <c r="F817" s="3">
        <f t="shared" si="98"/>
        <v>14</v>
      </c>
      <c r="G817" t="s">
        <v>32</v>
      </c>
      <c r="H817" t="str">
        <f t="shared" si="99"/>
        <v>Valid</v>
      </c>
      <c r="I817" t="s">
        <v>33</v>
      </c>
      <c r="J817" t="str">
        <f t="shared" si="100"/>
        <v>Kigoma Ujiji Mc</v>
      </c>
      <c r="K817" t="s">
        <v>685</v>
      </c>
      <c r="L817" t="str" cm="1">
        <f t="array" ref="L817">_xlfn.IFS(
ISNUMBER(SEARCH("ICU",K817)), "ICU",
ISNUMBER(SEARCH("NEONATAL",K817)), PROPER("NEONATAL"),
ISNUMBER(SEARCH("LABOUR",K817)), PROPER("LABOUR"),
ISNUMBER(SEARCH("PAEDIATRIC",K817)), PROPER("PAEDIATRIC"),
ISNUMBER(SEARCH("FEMALE SURGICAL",K817)), PROPER("FEMALE SURG, ORTHO &amp; GYN"),
ISNUMBER(SEARCH("PSYCHIATRIST",K817)), PROPER("PSYCHIATRIST"),
ISNUMBER(SEARCH("GRADE 1",K817)), PROPER("GRADE 1"),
ISNUMBER(SEARCH("MALE SURGICAL",K817)), PROPER("MALE SURG &amp; ORTHOPEDIC"),
ISNUMBER(SEARCH("MALE MEDICAL",K817)), PROPER("MALE MEDICAL"),
ISNUMBER(SEARCH("GRADE 2",K817)), PROPER("GRADE 2"),
ISNUMBER(SEARCH("FEMALE WARD",K817)), PROPER("FEMALE MEDICAL"),
TRUE, "Unmapped: " &amp; K817)</f>
        <v>Grade 2</v>
      </c>
      <c r="M817" t="s">
        <v>664</v>
      </c>
      <c r="O817" t="s">
        <v>2791</v>
      </c>
      <c r="P817" t="str">
        <f t="shared" si="101"/>
        <v>Text Error</v>
      </c>
      <c r="Q817" s="5">
        <v>46051.872465277775</v>
      </c>
      <c r="R817" t="str">
        <f t="shared" si="102"/>
        <v>Valid Date</v>
      </c>
      <c r="S817" t="s">
        <v>2792</v>
      </c>
      <c r="T817" s="5">
        <v>46053.653715277775</v>
      </c>
      <c r="U817">
        <v>1</v>
      </c>
      <c r="V817" t="str">
        <f t="shared" si="103"/>
        <v>OK</v>
      </c>
      <c r="W817" t="s">
        <v>25</v>
      </c>
      <c r="Y817" t="s">
        <v>30</v>
      </c>
    </row>
    <row r="818" spans="1:25" x14ac:dyDescent="0.25">
      <c r="A818" t="s">
        <v>2344</v>
      </c>
      <c r="B818" t="str">
        <f t="shared" si="97"/>
        <v>Fatuma Tosili Eliasa</v>
      </c>
      <c r="C818">
        <v>126898</v>
      </c>
      <c r="D818" t="str">
        <f t="shared" si="96"/>
        <v>Duplicate</v>
      </c>
      <c r="E818" t="s">
        <v>80</v>
      </c>
      <c r="F818" s="3">
        <f t="shared" si="98"/>
        <v>24</v>
      </c>
      <c r="G818" t="s">
        <v>32</v>
      </c>
      <c r="H818" t="str">
        <f t="shared" si="99"/>
        <v>Valid</v>
      </c>
      <c r="I818" t="s">
        <v>33</v>
      </c>
      <c r="J818" t="str">
        <f t="shared" si="100"/>
        <v>Kigoma Ujiji Mc</v>
      </c>
      <c r="K818" t="s">
        <v>40</v>
      </c>
      <c r="L818" t="str" cm="1">
        <f t="array" ref="L818">_xlfn.IFS(
ISNUMBER(SEARCH("ICU",K818)), "ICU",
ISNUMBER(SEARCH("NEONATAL",K818)), PROPER("NEONATAL"),
ISNUMBER(SEARCH("LABOUR",K818)), PROPER("LABOUR"),
ISNUMBER(SEARCH("PAEDIATRIC",K818)), PROPER("PAEDIATRIC"),
ISNUMBER(SEARCH("FEMALE SURGICAL",K818)), PROPER("FEMALE SURG, ORTHO &amp; GYN"),
ISNUMBER(SEARCH("PSYCHIATRIST",K818)), PROPER("PSYCHIATRIST"),
ISNUMBER(SEARCH("GRADE 1",K818)), PROPER("GRADE 1"),
ISNUMBER(SEARCH("MALE SURGICAL",K818)), PROPER("MALE SURG &amp; ORTHOPEDIC"),
ISNUMBER(SEARCH("MALE MEDICAL",K818)), PROPER("MALE MEDICAL"),
ISNUMBER(SEARCH("GRADE 2",K818)), PROPER("GRADE 2"),
ISNUMBER(SEARCH("FEMALE WARD",K818)), PROPER("FEMALE MEDICAL"),
TRUE, "Unmapped: " &amp; K818)</f>
        <v>Labour</v>
      </c>
      <c r="M818" t="s">
        <v>22</v>
      </c>
      <c r="O818" t="s">
        <v>2793</v>
      </c>
      <c r="P818" t="str">
        <f t="shared" si="101"/>
        <v>Text Error</v>
      </c>
      <c r="Q818" s="5">
        <v>46022.576967592591</v>
      </c>
      <c r="R818" t="str">
        <f t="shared" si="102"/>
        <v>Valid Date</v>
      </c>
      <c r="S818" t="s">
        <v>2794</v>
      </c>
      <c r="T818" s="5">
        <v>46023.421747685185</v>
      </c>
      <c r="U818">
        <v>0</v>
      </c>
      <c r="V818" t="str">
        <f t="shared" si="103"/>
        <v>OK</v>
      </c>
      <c r="W818" t="s">
        <v>25</v>
      </c>
      <c r="Y818" t="s">
        <v>30</v>
      </c>
    </row>
    <row r="819" spans="1:25" x14ac:dyDescent="0.25">
      <c r="A819" t="s">
        <v>2795</v>
      </c>
      <c r="B819" t="str">
        <f t="shared" si="97"/>
        <v>Pudensia Petro Mwaya</v>
      </c>
      <c r="C819">
        <v>126941</v>
      </c>
      <c r="D819" t="str">
        <f t="shared" si="96"/>
        <v>Unique</v>
      </c>
      <c r="E819" t="s">
        <v>869</v>
      </c>
      <c r="F819" s="3">
        <f t="shared" si="98"/>
        <v>73</v>
      </c>
      <c r="G819" t="s">
        <v>32</v>
      </c>
      <c r="H819" t="str">
        <f t="shared" si="99"/>
        <v>Valid</v>
      </c>
      <c r="I819" t="s">
        <v>33</v>
      </c>
      <c r="J819" t="str">
        <f t="shared" si="100"/>
        <v>Kigoma Ujiji Mc</v>
      </c>
      <c r="K819" t="s">
        <v>700</v>
      </c>
      <c r="L819" t="str" cm="1">
        <f t="array" ref="L819">_xlfn.IFS(
ISNUMBER(SEARCH("ICU",K819)), "ICU",
ISNUMBER(SEARCH("NEONATAL",K819)), PROPER("NEONATAL"),
ISNUMBER(SEARCH("LABOUR",K819)), PROPER("LABOUR"),
ISNUMBER(SEARCH("PAEDIATRIC",K819)), PROPER("PAEDIATRIC"),
ISNUMBER(SEARCH("FEMALE SURGICAL",K819)), PROPER("FEMALE SURG, ORTHO &amp; GYN"),
ISNUMBER(SEARCH("PSYCHIATRIST",K819)), PROPER("PSYCHIATRIST"),
ISNUMBER(SEARCH("GRADE 1",K819)), PROPER("GRADE 1"),
ISNUMBER(SEARCH("MALE SURGICAL",K819)), PROPER("MALE SURG &amp; ORTHOPEDIC"),
ISNUMBER(SEARCH("MALE MEDICAL",K819)), PROPER("MALE MEDICAL"),
ISNUMBER(SEARCH("GRADE 2",K819)), PROPER("GRADE 2"),
ISNUMBER(SEARCH("FEMALE WARD",K819)), PROPER("FEMALE MEDICAL"),
TRUE, "Unmapped: " &amp; K819)</f>
        <v>Female Medical</v>
      </c>
      <c r="M819" t="s">
        <v>22</v>
      </c>
      <c r="O819" t="s">
        <v>2796</v>
      </c>
      <c r="P819" t="str">
        <f t="shared" si="101"/>
        <v>Text Error</v>
      </c>
      <c r="Q819" s="5">
        <v>46022.61383101852</v>
      </c>
      <c r="R819" t="str">
        <f t="shared" si="102"/>
        <v>Valid Date</v>
      </c>
      <c r="S819" t="s">
        <v>2797</v>
      </c>
      <c r="T819" s="5">
        <v>46023.543726851851</v>
      </c>
      <c r="U819">
        <v>0</v>
      </c>
      <c r="V819" t="str">
        <f t="shared" si="103"/>
        <v>OK</v>
      </c>
      <c r="W819" t="s">
        <v>25</v>
      </c>
      <c r="Y819" t="s">
        <v>30</v>
      </c>
    </row>
    <row r="820" spans="1:25" x14ac:dyDescent="0.25">
      <c r="A820" t="s">
        <v>2798</v>
      </c>
      <c r="B820" t="str">
        <f t="shared" si="97"/>
        <v>Leah J David</v>
      </c>
      <c r="C820">
        <v>92444</v>
      </c>
      <c r="D820" t="str">
        <f t="shared" si="96"/>
        <v>Unique</v>
      </c>
      <c r="E820" t="s">
        <v>670</v>
      </c>
      <c r="F820" s="3">
        <f t="shared" si="98"/>
        <v>14</v>
      </c>
      <c r="G820" t="s">
        <v>32</v>
      </c>
      <c r="H820" t="str">
        <f t="shared" si="99"/>
        <v>Valid</v>
      </c>
      <c r="I820" t="s">
        <v>62</v>
      </c>
      <c r="J820" t="str">
        <f t="shared" si="100"/>
        <v>Kigoma Vijijini</v>
      </c>
      <c r="K820" t="s">
        <v>685</v>
      </c>
      <c r="L820" t="str" cm="1">
        <f t="array" ref="L820">_xlfn.IFS(
ISNUMBER(SEARCH("ICU",K820)), "ICU",
ISNUMBER(SEARCH("NEONATAL",K820)), PROPER("NEONATAL"),
ISNUMBER(SEARCH("LABOUR",K820)), PROPER("LABOUR"),
ISNUMBER(SEARCH("PAEDIATRIC",K820)), PROPER("PAEDIATRIC"),
ISNUMBER(SEARCH("FEMALE SURGICAL",K820)), PROPER("FEMALE SURG, ORTHO &amp; GYN"),
ISNUMBER(SEARCH("PSYCHIATRIST",K820)), PROPER("PSYCHIATRIST"),
ISNUMBER(SEARCH("GRADE 1",K820)), PROPER("GRADE 1"),
ISNUMBER(SEARCH("MALE SURGICAL",K820)), PROPER("MALE SURG &amp; ORTHOPEDIC"),
ISNUMBER(SEARCH("MALE MEDICAL",K820)), PROPER("MALE MEDICAL"),
ISNUMBER(SEARCH("GRADE 2",K820)), PROPER("GRADE 2"),
ISNUMBER(SEARCH("FEMALE WARD",K820)), PROPER("FEMALE MEDICAL"),
TRUE, "Unmapped: " &amp; K820)</f>
        <v>Grade 2</v>
      </c>
      <c r="M820" t="s">
        <v>394</v>
      </c>
      <c r="O820" t="s">
        <v>2799</v>
      </c>
      <c r="P820" t="str">
        <f t="shared" si="101"/>
        <v>Text Error</v>
      </c>
      <c r="Q820" s="5">
        <v>46022.642951388887</v>
      </c>
      <c r="R820" t="str">
        <f t="shared" si="102"/>
        <v>Valid Date</v>
      </c>
      <c r="S820" t="s">
        <v>2800</v>
      </c>
      <c r="T820" s="5">
        <v>46023.612314814818</v>
      </c>
      <c r="U820">
        <v>0</v>
      </c>
      <c r="V820" t="str">
        <f t="shared" si="103"/>
        <v>OK</v>
      </c>
      <c r="W820" t="s">
        <v>25</v>
      </c>
      <c r="Y820" t="s">
        <v>30</v>
      </c>
    </row>
    <row r="821" spans="1:25" x14ac:dyDescent="0.25">
      <c r="A821" t="s">
        <v>2801</v>
      </c>
      <c r="B821" t="str">
        <f t="shared" si="97"/>
        <v>Kyango Gabriel Gowa</v>
      </c>
      <c r="C821">
        <v>126974</v>
      </c>
      <c r="D821" t="str">
        <f t="shared" si="96"/>
        <v>Unique</v>
      </c>
      <c r="E821" t="s">
        <v>74</v>
      </c>
      <c r="F821" s="3">
        <f t="shared" si="98"/>
        <v>35</v>
      </c>
      <c r="G821" t="s">
        <v>19</v>
      </c>
      <c r="H821" t="str">
        <f t="shared" si="99"/>
        <v>Valid</v>
      </c>
      <c r="I821" t="s">
        <v>33</v>
      </c>
      <c r="J821" t="str">
        <f t="shared" si="100"/>
        <v>Kigoma Ujiji Mc</v>
      </c>
      <c r="K821" t="s">
        <v>393</v>
      </c>
      <c r="L821" t="str" cm="1">
        <f t="array" ref="L821">_xlfn.IFS(
ISNUMBER(SEARCH("ICU",K821)), "ICU",
ISNUMBER(SEARCH("NEONATAL",K821)), PROPER("NEONATAL"),
ISNUMBER(SEARCH("LABOUR",K821)), PROPER("LABOUR"),
ISNUMBER(SEARCH("PAEDIATRIC",K821)), PROPER("PAEDIATRIC"),
ISNUMBER(SEARCH("FEMALE SURGICAL",K821)), PROPER("FEMALE SURG, ORTHO &amp; GYN"),
ISNUMBER(SEARCH("PSYCHIATRIST",K821)), PROPER("PSYCHIATRIST"),
ISNUMBER(SEARCH("GRADE 1",K821)), PROPER("GRADE 1"),
ISNUMBER(SEARCH("MALE SURGICAL",K821)), PROPER("MALE SURG &amp; ORTHOPEDIC"),
ISNUMBER(SEARCH("MALE MEDICAL",K821)), PROPER("MALE MEDICAL"),
ISNUMBER(SEARCH("GRADE 2",K821)), PROPER("GRADE 2"),
ISNUMBER(SEARCH("FEMALE WARD",K821)), PROPER("FEMALE MEDICAL"),
TRUE, "Unmapped: " &amp; K821)</f>
        <v>Grade 1</v>
      </c>
      <c r="M821" t="s">
        <v>22</v>
      </c>
      <c r="O821" t="s">
        <v>2802</v>
      </c>
      <c r="P821" t="str">
        <f t="shared" si="101"/>
        <v>Text Error</v>
      </c>
      <c r="Q821" s="5">
        <v>46023.127974537034</v>
      </c>
      <c r="R821" t="str">
        <f t="shared" si="102"/>
        <v>Valid Date</v>
      </c>
      <c r="S821" t="s">
        <v>2803</v>
      </c>
      <c r="T821" s="5">
        <v>46023.691030092596</v>
      </c>
      <c r="U821">
        <v>0</v>
      </c>
      <c r="V821" t="str">
        <f t="shared" si="103"/>
        <v>OK</v>
      </c>
      <c r="W821" t="s">
        <v>397</v>
      </c>
      <c r="Y821" t="s">
        <v>30</v>
      </c>
    </row>
    <row r="822" spans="1:25" x14ac:dyDescent="0.25">
      <c r="A822" t="s">
        <v>2804</v>
      </c>
      <c r="B822" t="str">
        <f t="shared" si="97"/>
        <v>Amina Ismail Hussein</v>
      </c>
      <c r="C822">
        <v>126982</v>
      </c>
      <c r="D822" t="str">
        <f t="shared" si="96"/>
        <v>Unique</v>
      </c>
      <c r="E822" t="s">
        <v>86</v>
      </c>
      <c r="F822" s="3">
        <f t="shared" si="98"/>
        <v>23</v>
      </c>
      <c r="G822" t="s">
        <v>32</v>
      </c>
      <c r="H822" t="str">
        <f t="shared" si="99"/>
        <v>Valid</v>
      </c>
      <c r="I822" t="s">
        <v>33</v>
      </c>
      <c r="J822" t="str">
        <f t="shared" si="100"/>
        <v>Kigoma Ujiji Mc</v>
      </c>
      <c r="K822" t="s">
        <v>40</v>
      </c>
      <c r="L822" t="str" cm="1">
        <f t="array" ref="L822">_xlfn.IFS(
ISNUMBER(SEARCH("ICU",K822)), "ICU",
ISNUMBER(SEARCH("NEONATAL",K822)), PROPER("NEONATAL"),
ISNUMBER(SEARCH("LABOUR",K822)), PROPER("LABOUR"),
ISNUMBER(SEARCH("PAEDIATRIC",K822)), PROPER("PAEDIATRIC"),
ISNUMBER(SEARCH("FEMALE SURGICAL",K822)), PROPER("FEMALE SURG, ORTHO &amp; GYN"),
ISNUMBER(SEARCH("PSYCHIATRIST",K822)), PROPER("PSYCHIATRIST"),
ISNUMBER(SEARCH("GRADE 1",K822)), PROPER("GRADE 1"),
ISNUMBER(SEARCH("MALE SURGICAL",K822)), PROPER("MALE SURG &amp; ORTHOPEDIC"),
ISNUMBER(SEARCH("MALE MEDICAL",K822)), PROPER("MALE MEDICAL"),
ISNUMBER(SEARCH("GRADE 2",K822)), PROPER("GRADE 2"),
ISNUMBER(SEARCH("FEMALE WARD",K822)), PROPER("FEMALE MEDICAL"),
TRUE, "Unmapped: " &amp; K822)</f>
        <v>Labour</v>
      </c>
      <c r="M822" t="s">
        <v>22</v>
      </c>
      <c r="O822" t="s">
        <v>2805</v>
      </c>
      <c r="P822" t="str">
        <f t="shared" si="101"/>
        <v>Text Error</v>
      </c>
      <c r="Q822" s="5">
        <v>46023.265462962961</v>
      </c>
      <c r="R822" t="str">
        <f t="shared" si="102"/>
        <v>Valid Date</v>
      </c>
      <c r="S822" t="s">
        <v>2806</v>
      </c>
      <c r="T822" s="5">
        <v>46023.730509259258</v>
      </c>
      <c r="U822">
        <v>0</v>
      </c>
      <c r="V822" t="str">
        <f t="shared" si="103"/>
        <v>OK</v>
      </c>
      <c r="W822" t="s">
        <v>25</v>
      </c>
      <c r="Y822" t="s">
        <v>30</v>
      </c>
    </row>
    <row r="823" spans="1:25" x14ac:dyDescent="0.25">
      <c r="A823" t="s">
        <v>2807</v>
      </c>
      <c r="B823" t="str">
        <f t="shared" si="97"/>
        <v>Zena Stefano Musa</v>
      </c>
      <c r="C823">
        <v>121091</v>
      </c>
      <c r="D823" t="str">
        <f t="shared" si="96"/>
        <v>Unique</v>
      </c>
      <c r="E823" t="s">
        <v>61</v>
      </c>
      <c r="F823" s="3">
        <f t="shared" si="98"/>
        <v>29</v>
      </c>
      <c r="G823" t="s">
        <v>32</v>
      </c>
      <c r="H823" t="str">
        <f t="shared" si="99"/>
        <v>Valid</v>
      </c>
      <c r="I823" t="s">
        <v>33</v>
      </c>
      <c r="J823" t="str">
        <f t="shared" si="100"/>
        <v>Kigoma Ujiji Mc</v>
      </c>
      <c r="K823" t="s">
        <v>40</v>
      </c>
      <c r="L823" t="str" cm="1">
        <f t="array" ref="L823">_xlfn.IFS(
ISNUMBER(SEARCH("ICU",K823)), "ICU",
ISNUMBER(SEARCH("NEONATAL",K823)), PROPER("NEONATAL"),
ISNUMBER(SEARCH("LABOUR",K823)), PROPER("LABOUR"),
ISNUMBER(SEARCH("PAEDIATRIC",K823)), PROPER("PAEDIATRIC"),
ISNUMBER(SEARCH("FEMALE SURGICAL",K823)), PROPER("FEMALE SURG, ORTHO &amp; GYN"),
ISNUMBER(SEARCH("PSYCHIATRIST",K823)), PROPER("PSYCHIATRIST"),
ISNUMBER(SEARCH("GRADE 1",K823)), PROPER("GRADE 1"),
ISNUMBER(SEARCH("MALE SURGICAL",K823)), PROPER("MALE SURG &amp; ORTHOPEDIC"),
ISNUMBER(SEARCH("MALE MEDICAL",K823)), PROPER("MALE MEDICAL"),
ISNUMBER(SEARCH("GRADE 2",K823)), PROPER("GRADE 2"),
ISNUMBER(SEARCH("FEMALE WARD",K823)), PROPER("FEMALE MEDICAL"),
TRUE, "Unmapped: " &amp; K823)</f>
        <v>Labour</v>
      </c>
      <c r="M823" t="s">
        <v>22</v>
      </c>
      <c r="O823" t="s">
        <v>2808</v>
      </c>
      <c r="P823" t="str">
        <f t="shared" si="101"/>
        <v>Text Error</v>
      </c>
      <c r="Q823" s="5">
        <v>46023.485162037039</v>
      </c>
      <c r="R823" t="str">
        <f t="shared" si="102"/>
        <v>Valid Date</v>
      </c>
      <c r="S823" t="s">
        <v>2809</v>
      </c>
      <c r="T823" s="5">
        <v>46023.520590277774</v>
      </c>
      <c r="U823">
        <v>0</v>
      </c>
      <c r="V823" t="str">
        <f t="shared" si="103"/>
        <v>OK</v>
      </c>
      <c r="W823" t="s">
        <v>25</v>
      </c>
      <c r="Y823" t="s">
        <v>30</v>
      </c>
    </row>
    <row r="824" spans="1:25" x14ac:dyDescent="0.25">
      <c r="A824" t="s">
        <v>2810</v>
      </c>
      <c r="B824" t="str">
        <f t="shared" si="97"/>
        <v>Shamsa Hamis Omary</v>
      </c>
      <c r="C824">
        <v>126921</v>
      </c>
      <c r="D824" t="str">
        <f t="shared" si="96"/>
        <v>Unique</v>
      </c>
      <c r="E824" t="s">
        <v>188</v>
      </c>
      <c r="F824" s="3">
        <f t="shared" si="98"/>
        <v>28</v>
      </c>
      <c r="G824" t="s">
        <v>32</v>
      </c>
      <c r="H824" t="str">
        <f t="shared" si="99"/>
        <v>Valid</v>
      </c>
      <c r="I824" t="s">
        <v>33</v>
      </c>
      <c r="J824" t="str">
        <f t="shared" si="100"/>
        <v>Kigoma Ujiji Mc</v>
      </c>
      <c r="K824" t="s">
        <v>40</v>
      </c>
      <c r="L824" t="str" cm="1">
        <f t="array" ref="L824">_xlfn.IFS(
ISNUMBER(SEARCH("ICU",K824)), "ICU",
ISNUMBER(SEARCH("NEONATAL",K824)), PROPER("NEONATAL"),
ISNUMBER(SEARCH("LABOUR",K824)), PROPER("LABOUR"),
ISNUMBER(SEARCH("PAEDIATRIC",K824)), PROPER("PAEDIATRIC"),
ISNUMBER(SEARCH("FEMALE SURGICAL",K824)), PROPER("FEMALE SURG, ORTHO &amp; GYN"),
ISNUMBER(SEARCH("PSYCHIATRIST",K824)), PROPER("PSYCHIATRIST"),
ISNUMBER(SEARCH("GRADE 1",K824)), PROPER("GRADE 1"),
ISNUMBER(SEARCH("MALE SURGICAL",K824)), PROPER("MALE SURG &amp; ORTHOPEDIC"),
ISNUMBER(SEARCH("MALE MEDICAL",K824)), PROPER("MALE MEDICAL"),
ISNUMBER(SEARCH("GRADE 2",K824)), PROPER("GRADE 2"),
ISNUMBER(SEARCH("FEMALE WARD",K824)), PROPER("FEMALE MEDICAL"),
TRUE, "Unmapped: " &amp; K824)</f>
        <v>Labour</v>
      </c>
      <c r="M824" t="s">
        <v>22</v>
      </c>
      <c r="O824" t="s">
        <v>2811</v>
      </c>
      <c r="P824" t="str">
        <f t="shared" si="101"/>
        <v>Text Error</v>
      </c>
      <c r="Q824" s="5">
        <v>46023.589004629626</v>
      </c>
      <c r="R824" t="str">
        <f t="shared" si="102"/>
        <v>Valid Date</v>
      </c>
      <c r="S824" t="s">
        <v>2812</v>
      </c>
      <c r="T824" s="5">
        <v>46024.512638888889</v>
      </c>
      <c r="U824">
        <v>0</v>
      </c>
      <c r="V824" t="str">
        <f t="shared" si="103"/>
        <v>OK</v>
      </c>
      <c r="W824" t="s">
        <v>25</v>
      </c>
      <c r="Y824" t="s">
        <v>30</v>
      </c>
    </row>
    <row r="825" spans="1:25" x14ac:dyDescent="0.25">
      <c r="A825" t="s">
        <v>2813</v>
      </c>
      <c r="B825" t="str">
        <f t="shared" si="97"/>
        <v>Subira Shadrack Masogi</v>
      </c>
      <c r="C825">
        <v>86673</v>
      </c>
      <c r="D825" t="str">
        <f t="shared" si="96"/>
        <v>Unique</v>
      </c>
      <c r="E825" t="s">
        <v>61</v>
      </c>
      <c r="F825" s="3">
        <f t="shared" si="98"/>
        <v>29</v>
      </c>
      <c r="G825" t="s">
        <v>32</v>
      </c>
      <c r="H825" t="str">
        <f t="shared" si="99"/>
        <v>Valid</v>
      </c>
      <c r="I825" t="s">
        <v>33</v>
      </c>
      <c r="J825" t="str">
        <f t="shared" si="100"/>
        <v>Kigoma Ujiji Mc</v>
      </c>
      <c r="K825" t="s">
        <v>40</v>
      </c>
      <c r="L825" t="str" cm="1">
        <f t="array" ref="L825">_xlfn.IFS(
ISNUMBER(SEARCH("ICU",K825)), "ICU",
ISNUMBER(SEARCH("NEONATAL",K825)), PROPER("NEONATAL"),
ISNUMBER(SEARCH("LABOUR",K825)), PROPER("LABOUR"),
ISNUMBER(SEARCH("PAEDIATRIC",K825)), PROPER("PAEDIATRIC"),
ISNUMBER(SEARCH("FEMALE SURGICAL",K825)), PROPER("FEMALE SURG, ORTHO &amp; GYN"),
ISNUMBER(SEARCH("PSYCHIATRIST",K825)), PROPER("PSYCHIATRIST"),
ISNUMBER(SEARCH("GRADE 1",K825)), PROPER("GRADE 1"),
ISNUMBER(SEARCH("MALE SURGICAL",K825)), PROPER("MALE SURG &amp; ORTHOPEDIC"),
ISNUMBER(SEARCH("MALE MEDICAL",K825)), PROPER("MALE MEDICAL"),
ISNUMBER(SEARCH("GRADE 2",K825)), PROPER("GRADE 2"),
ISNUMBER(SEARCH("FEMALE WARD",K825)), PROPER("FEMALE MEDICAL"),
TRUE, "Unmapped: " &amp; K825)</f>
        <v>Labour</v>
      </c>
      <c r="M825" t="s">
        <v>394</v>
      </c>
      <c r="O825" t="s">
        <v>2814</v>
      </c>
      <c r="P825" t="str">
        <f t="shared" si="101"/>
        <v>Text Error</v>
      </c>
      <c r="Q825" s="5">
        <v>46023.63181712963</v>
      </c>
      <c r="R825" t="str">
        <f t="shared" si="102"/>
        <v>Valid Date</v>
      </c>
      <c r="S825" t="s">
        <v>2815</v>
      </c>
      <c r="T825" s="5">
        <v>46023.673217592594</v>
      </c>
      <c r="U825">
        <v>0</v>
      </c>
      <c r="V825" t="str">
        <f t="shared" si="103"/>
        <v>OK</v>
      </c>
      <c r="W825" t="s">
        <v>25</v>
      </c>
      <c r="Y825" t="s">
        <v>30</v>
      </c>
    </row>
    <row r="826" spans="1:25" x14ac:dyDescent="0.25">
      <c r="A826" t="s">
        <v>684</v>
      </c>
      <c r="B826" t="str">
        <f t="shared" si="97"/>
        <v>Msafiri J Kihanga</v>
      </c>
      <c r="C826">
        <v>126975</v>
      </c>
      <c r="D826" t="str">
        <f t="shared" si="96"/>
        <v>Duplicate</v>
      </c>
      <c r="E826" t="s">
        <v>374</v>
      </c>
      <c r="F826" s="3">
        <f t="shared" si="98"/>
        <v>37</v>
      </c>
      <c r="G826" t="s">
        <v>19</v>
      </c>
      <c r="H826" t="str">
        <f t="shared" si="99"/>
        <v>Valid</v>
      </c>
      <c r="I826" t="s">
        <v>33</v>
      </c>
      <c r="J826" t="str">
        <f t="shared" si="100"/>
        <v>Kigoma Ujiji Mc</v>
      </c>
      <c r="K826" t="s">
        <v>685</v>
      </c>
      <c r="L826" t="str" cm="1">
        <f t="array" ref="L826">_xlfn.IFS(
ISNUMBER(SEARCH("ICU",K826)), "ICU",
ISNUMBER(SEARCH("NEONATAL",K826)), PROPER("NEONATAL"),
ISNUMBER(SEARCH("LABOUR",K826)), PROPER("LABOUR"),
ISNUMBER(SEARCH("PAEDIATRIC",K826)), PROPER("PAEDIATRIC"),
ISNUMBER(SEARCH("FEMALE SURGICAL",K826)), PROPER("FEMALE SURG, ORTHO &amp; GYN"),
ISNUMBER(SEARCH("PSYCHIATRIST",K826)), PROPER("PSYCHIATRIST"),
ISNUMBER(SEARCH("GRADE 1",K826)), PROPER("GRADE 1"),
ISNUMBER(SEARCH("MALE SURGICAL",K826)), PROPER("MALE SURG &amp; ORTHOPEDIC"),
ISNUMBER(SEARCH("MALE MEDICAL",K826)), PROPER("MALE MEDICAL"),
ISNUMBER(SEARCH("GRADE 2",K826)), PROPER("GRADE 2"),
ISNUMBER(SEARCH("FEMALE WARD",K826)), PROPER("FEMALE MEDICAL"),
TRUE, "Unmapped: " &amp; K826)</f>
        <v>Grade 2</v>
      </c>
      <c r="M826" t="s">
        <v>394</v>
      </c>
      <c r="O826" t="s">
        <v>2816</v>
      </c>
      <c r="P826" t="str">
        <f t="shared" si="101"/>
        <v>Text Error</v>
      </c>
      <c r="Q826" s="5">
        <v>46023.820185185185</v>
      </c>
      <c r="R826" t="str">
        <f t="shared" si="102"/>
        <v>Valid Date</v>
      </c>
      <c r="S826" t="s">
        <v>2817</v>
      </c>
      <c r="T826" s="5">
        <v>46024.577905092592</v>
      </c>
      <c r="U826">
        <v>0</v>
      </c>
      <c r="V826" t="str">
        <f t="shared" si="103"/>
        <v>OK</v>
      </c>
      <c r="W826" t="s">
        <v>25</v>
      </c>
      <c r="Y826" t="s">
        <v>30</v>
      </c>
    </row>
    <row r="827" spans="1:25" x14ac:dyDescent="0.25">
      <c r="A827" t="s">
        <v>2818</v>
      </c>
      <c r="B827" t="str">
        <f t="shared" si="97"/>
        <v>Pendo Paul Sigalo</v>
      </c>
      <c r="C827">
        <v>126888</v>
      </c>
      <c r="D827" t="str">
        <f t="shared" si="96"/>
        <v>Unique</v>
      </c>
      <c r="E827" t="s">
        <v>188</v>
      </c>
      <c r="F827" s="3">
        <f t="shared" si="98"/>
        <v>28</v>
      </c>
      <c r="G827" t="s">
        <v>32</v>
      </c>
      <c r="H827" t="str">
        <f t="shared" si="99"/>
        <v>Valid</v>
      </c>
      <c r="I827" t="s">
        <v>33</v>
      </c>
      <c r="J827" t="str">
        <f t="shared" si="100"/>
        <v>Kigoma Ujiji Mc</v>
      </c>
      <c r="K827" t="s">
        <v>40</v>
      </c>
      <c r="L827" t="str" cm="1">
        <f t="array" ref="L827">_xlfn.IFS(
ISNUMBER(SEARCH("ICU",K827)), "ICU",
ISNUMBER(SEARCH("NEONATAL",K827)), PROPER("NEONATAL"),
ISNUMBER(SEARCH("LABOUR",K827)), PROPER("LABOUR"),
ISNUMBER(SEARCH("PAEDIATRIC",K827)), PROPER("PAEDIATRIC"),
ISNUMBER(SEARCH("FEMALE SURGICAL",K827)), PROPER("FEMALE SURG, ORTHO &amp; GYN"),
ISNUMBER(SEARCH("PSYCHIATRIST",K827)), PROPER("PSYCHIATRIST"),
ISNUMBER(SEARCH("GRADE 1",K827)), PROPER("GRADE 1"),
ISNUMBER(SEARCH("MALE SURGICAL",K827)), PROPER("MALE SURG &amp; ORTHOPEDIC"),
ISNUMBER(SEARCH("MALE MEDICAL",K827)), PROPER("MALE MEDICAL"),
ISNUMBER(SEARCH("GRADE 2",K827)), PROPER("GRADE 2"),
ISNUMBER(SEARCH("FEMALE WARD",K827)), PROPER("FEMALE MEDICAL"),
TRUE, "Unmapped: " &amp; K827)</f>
        <v>Labour</v>
      </c>
      <c r="M827" t="s">
        <v>22</v>
      </c>
      <c r="O827" t="s">
        <v>2819</v>
      </c>
      <c r="P827" t="str">
        <f t="shared" si="101"/>
        <v>Text Error</v>
      </c>
      <c r="Q827" s="5">
        <v>46024.392384259256</v>
      </c>
      <c r="R827" t="str">
        <f t="shared" si="102"/>
        <v>Valid Date</v>
      </c>
      <c r="S827" t="s">
        <v>2820</v>
      </c>
      <c r="T827" s="5">
        <v>46024.735138888886</v>
      </c>
      <c r="U827">
        <v>0</v>
      </c>
      <c r="V827" t="str">
        <f t="shared" si="103"/>
        <v>OK</v>
      </c>
      <c r="W827" t="s">
        <v>25</v>
      </c>
      <c r="Y827" t="s">
        <v>30</v>
      </c>
    </row>
    <row r="828" spans="1:25" x14ac:dyDescent="0.25">
      <c r="A828" t="s">
        <v>2821</v>
      </c>
      <c r="B828" t="str">
        <f t="shared" si="97"/>
        <v>Denis Amon Nyalusage</v>
      </c>
      <c r="C828">
        <v>23221</v>
      </c>
      <c r="D828" t="str">
        <f t="shared" si="96"/>
        <v>Unique</v>
      </c>
      <c r="E828" t="s">
        <v>1041</v>
      </c>
      <c r="F828" s="3">
        <f t="shared" si="98"/>
        <v>57</v>
      </c>
      <c r="G828" t="s">
        <v>19</v>
      </c>
      <c r="H828" t="str">
        <f t="shared" si="99"/>
        <v>Valid</v>
      </c>
      <c r="I828" t="s">
        <v>62</v>
      </c>
      <c r="J828" t="str">
        <f t="shared" si="100"/>
        <v>Kigoma Vijijini</v>
      </c>
      <c r="K828" t="s">
        <v>685</v>
      </c>
      <c r="L828" t="str" cm="1">
        <f t="array" ref="L828">_xlfn.IFS(
ISNUMBER(SEARCH("ICU",K828)), "ICU",
ISNUMBER(SEARCH("NEONATAL",K828)), PROPER("NEONATAL"),
ISNUMBER(SEARCH("LABOUR",K828)), PROPER("LABOUR"),
ISNUMBER(SEARCH("PAEDIATRIC",K828)), PROPER("PAEDIATRIC"),
ISNUMBER(SEARCH("FEMALE SURGICAL",K828)), PROPER("FEMALE SURG, ORTHO &amp; GYN"),
ISNUMBER(SEARCH("PSYCHIATRIST",K828)), PROPER("PSYCHIATRIST"),
ISNUMBER(SEARCH("GRADE 1",K828)), PROPER("GRADE 1"),
ISNUMBER(SEARCH("MALE SURGICAL",K828)), PROPER("MALE SURG &amp; ORTHOPEDIC"),
ISNUMBER(SEARCH("MALE MEDICAL",K828)), PROPER("MALE MEDICAL"),
ISNUMBER(SEARCH("GRADE 2",K828)), PROPER("GRADE 2"),
ISNUMBER(SEARCH("FEMALE WARD",K828)), PROPER("FEMALE MEDICAL"),
TRUE, "Unmapped: " &amp; K828)</f>
        <v>Grade 2</v>
      </c>
      <c r="M828" t="s">
        <v>394</v>
      </c>
      <c r="O828" t="s">
        <v>2822</v>
      </c>
      <c r="P828" t="str">
        <f t="shared" si="101"/>
        <v>Text Error</v>
      </c>
      <c r="Q828" s="5">
        <v>46024.614849537036</v>
      </c>
      <c r="R828" t="str">
        <f t="shared" si="102"/>
        <v>Valid Date</v>
      </c>
      <c r="S828" t="s">
        <v>2823</v>
      </c>
      <c r="T828" s="5">
        <v>46025.543240740742</v>
      </c>
      <c r="U828">
        <v>0</v>
      </c>
      <c r="V828" t="str">
        <f t="shared" si="103"/>
        <v>OK</v>
      </c>
      <c r="W828" t="s">
        <v>25</v>
      </c>
      <c r="Y828" t="s">
        <v>30</v>
      </c>
    </row>
    <row r="829" spans="1:25" x14ac:dyDescent="0.25">
      <c r="A829" t="s">
        <v>2824</v>
      </c>
      <c r="B829" t="str">
        <f t="shared" si="97"/>
        <v>Judith Thimotheo Mbiha</v>
      </c>
      <c r="C829">
        <v>22336</v>
      </c>
      <c r="D829" t="str">
        <f t="shared" si="96"/>
        <v>Unique</v>
      </c>
      <c r="E829" t="s">
        <v>374</v>
      </c>
      <c r="F829" s="3">
        <f t="shared" si="98"/>
        <v>37</v>
      </c>
      <c r="G829" t="s">
        <v>32</v>
      </c>
      <c r="H829" t="str">
        <f t="shared" si="99"/>
        <v>Valid</v>
      </c>
      <c r="I829" t="s">
        <v>227</v>
      </c>
      <c r="J829" t="str">
        <f t="shared" si="100"/>
        <v>KGG</v>
      </c>
      <c r="K829" t="s">
        <v>40</v>
      </c>
      <c r="L829" t="str" cm="1">
        <f t="array" ref="L829">_xlfn.IFS(
ISNUMBER(SEARCH("ICU",K829)), "ICU",
ISNUMBER(SEARCH("NEONATAL",K829)), PROPER("NEONATAL"),
ISNUMBER(SEARCH("LABOUR",K829)), PROPER("LABOUR"),
ISNUMBER(SEARCH("PAEDIATRIC",K829)), PROPER("PAEDIATRIC"),
ISNUMBER(SEARCH("FEMALE SURGICAL",K829)), PROPER("FEMALE SURG, ORTHO &amp; GYN"),
ISNUMBER(SEARCH("PSYCHIATRIST",K829)), PROPER("PSYCHIATRIST"),
ISNUMBER(SEARCH("GRADE 1",K829)), PROPER("GRADE 1"),
ISNUMBER(SEARCH("MALE SURGICAL",K829)), PROPER("MALE SURG &amp; ORTHOPEDIC"),
ISNUMBER(SEARCH("MALE MEDICAL",K829)), PROPER("MALE MEDICAL"),
ISNUMBER(SEARCH("GRADE 2",K829)), PROPER("GRADE 2"),
ISNUMBER(SEARCH("FEMALE WARD",K829)), PROPER("FEMALE MEDICAL"),
TRUE, "Unmapped: " &amp; K829)</f>
        <v>Labour</v>
      </c>
      <c r="M829" t="s">
        <v>394</v>
      </c>
      <c r="O829" t="s">
        <v>2825</v>
      </c>
      <c r="P829" t="str">
        <f t="shared" si="101"/>
        <v>Text Error</v>
      </c>
      <c r="Q829" s="5">
        <v>46024.775567129633</v>
      </c>
      <c r="R829" t="str">
        <f t="shared" si="102"/>
        <v>Valid Date</v>
      </c>
      <c r="S829" t="s">
        <v>2826</v>
      </c>
      <c r="T829" s="5">
        <v>46025.519189814811</v>
      </c>
      <c r="U829">
        <v>0</v>
      </c>
      <c r="V829" t="str">
        <f t="shared" si="103"/>
        <v>OK</v>
      </c>
      <c r="W829" t="s">
        <v>25</v>
      </c>
      <c r="Y829" t="s">
        <v>30</v>
      </c>
    </row>
    <row r="830" spans="1:25" x14ac:dyDescent="0.25">
      <c r="A830" t="s">
        <v>2828</v>
      </c>
      <c r="B830" t="str">
        <f t="shared" si="97"/>
        <v>Moses Selemani Mgoo</v>
      </c>
      <c r="C830">
        <v>127126</v>
      </c>
      <c r="D830" t="str">
        <f t="shared" si="96"/>
        <v>Unique</v>
      </c>
      <c r="E830" t="s">
        <v>601</v>
      </c>
      <c r="F830" s="3">
        <f t="shared" si="98"/>
        <v>17</v>
      </c>
      <c r="G830" t="s">
        <v>19</v>
      </c>
      <c r="H830" t="str">
        <f t="shared" si="99"/>
        <v>Valid</v>
      </c>
      <c r="I830" t="s">
        <v>33</v>
      </c>
      <c r="J830" t="str">
        <f t="shared" si="100"/>
        <v>Kigoma Ujiji Mc</v>
      </c>
      <c r="K830" t="s">
        <v>393</v>
      </c>
      <c r="L830" t="str" cm="1">
        <f t="array" ref="L830">_xlfn.IFS(
ISNUMBER(SEARCH("ICU",K830)), "ICU",
ISNUMBER(SEARCH("NEONATAL",K830)), PROPER("NEONATAL"),
ISNUMBER(SEARCH("LABOUR",K830)), PROPER("LABOUR"),
ISNUMBER(SEARCH("PAEDIATRIC",K830)), PROPER("PAEDIATRIC"),
ISNUMBER(SEARCH("FEMALE SURGICAL",K830)), PROPER("FEMALE SURG, ORTHO &amp; GYN"),
ISNUMBER(SEARCH("PSYCHIATRIST",K830)), PROPER("PSYCHIATRIST"),
ISNUMBER(SEARCH("GRADE 1",K830)), PROPER("GRADE 1"),
ISNUMBER(SEARCH("MALE SURGICAL",K830)), PROPER("MALE SURG &amp; ORTHOPEDIC"),
ISNUMBER(SEARCH("MALE MEDICAL",K830)), PROPER("MALE MEDICAL"),
ISNUMBER(SEARCH("GRADE 2",K830)), PROPER("GRADE 2"),
ISNUMBER(SEARCH("FEMALE WARD",K830)), PROPER("FEMALE MEDICAL"),
TRUE, "Unmapped: " &amp; K830)</f>
        <v>Grade 1</v>
      </c>
      <c r="M830" t="s">
        <v>22</v>
      </c>
      <c r="O830" t="s">
        <v>2829</v>
      </c>
      <c r="P830" t="str">
        <f t="shared" si="101"/>
        <v>Text Error</v>
      </c>
      <c r="Q830" s="5">
        <v>46024.889687499999</v>
      </c>
      <c r="R830" t="str">
        <f t="shared" si="102"/>
        <v>Valid Date</v>
      </c>
      <c r="S830" t="s">
        <v>2830</v>
      </c>
      <c r="T830" s="5">
        <v>46025.793692129628</v>
      </c>
      <c r="U830">
        <v>0</v>
      </c>
      <c r="V830" t="str">
        <f t="shared" si="103"/>
        <v>OK</v>
      </c>
      <c r="W830" t="s">
        <v>25</v>
      </c>
      <c r="Y830" t="s">
        <v>30</v>
      </c>
    </row>
    <row r="831" spans="1:25" x14ac:dyDescent="0.25">
      <c r="A831" t="s">
        <v>2831</v>
      </c>
      <c r="B831" t="str">
        <f t="shared" si="97"/>
        <v>Anitha Moshi Kishanga</v>
      </c>
      <c r="C831">
        <v>127135</v>
      </c>
      <c r="D831" t="str">
        <f t="shared" si="96"/>
        <v>Unique</v>
      </c>
      <c r="E831" t="s">
        <v>142</v>
      </c>
      <c r="F831" s="3">
        <f t="shared" si="98"/>
        <v>20</v>
      </c>
      <c r="G831" t="s">
        <v>32</v>
      </c>
      <c r="H831" t="str">
        <f t="shared" si="99"/>
        <v>Valid</v>
      </c>
      <c r="I831" t="s">
        <v>130</v>
      </c>
      <c r="J831" t="str">
        <f t="shared" si="100"/>
        <v>Buhigwe</v>
      </c>
      <c r="K831" t="s">
        <v>700</v>
      </c>
      <c r="L831" t="str" cm="1">
        <f t="array" ref="L831">_xlfn.IFS(
ISNUMBER(SEARCH("ICU",K831)), "ICU",
ISNUMBER(SEARCH("NEONATAL",K831)), PROPER("NEONATAL"),
ISNUMBER(SEARCH("LABOUR",K831)), PROPER("LABOUR"),
ISNUMBER(SEARCH("PAEDIATRIC",K831)), PROPER("PAEDIATRIC"),
ISNUMBER(SEARCH("FEMALE SURGICAL",K831)), PROPER("FEMALE SURG, ORTHO &amp; GYN"),
ISNUMBER(SEARCH("PSYCHIATRIST",K831)), PROPER("PSYCHIATRIST"),
ISNUMBER(SEARCH("GRADE 1",K831)), PROPER("GRADE 1"),
ISNUMBER(SEARCH("MALE SURGICAL",K831)), PROPER("MALE SURG &amp; ORTHOPEDIC"),
ISNUMBER(SEARCH("MALE MEDICAL",K831)), PROPER("MALE MEDICAL"),
ISNUMBER(SEARCH("GRADE 2",K831)), PROPER("GRADE 2"),
ISNUMBER(SEARCH("FEMALE WARD",K831)), PROPER("FEMALE MEDICAL"),
TRUE, "Unmapped: " &amp; K831)</f>
        <v>Female Medical</v>
      </c>
      <c r="M831" t="s">
        <v>22</v>
      </c>
      <c r="O831" t="s">
        <v>2832</v>
      </c>
      <c r="P831" t="str">
        <f t="shared" si="101"/>
        <v>Text Error</v>
      </c>
      <c r="Q831" s="5">
        <v>46025.041574074072</v>
      </c>
      <c r="R831" t="str">
        <f t="shared" si="102"/>
        <v>Valid Date</v>
      </c>
      <c r="S831" t="s">
        <v>2833</v>
      </c>
      <c r="T831" s="5">
        <v>46025.621145833335</v>
      </c>
      <c r="U831">
        <v>0</v>
      </c>
      <c r="V831" t="str">
        <f t="shared" si="103"/>
        <v>OK</v>
      </c>
      <c r="W831" t="s">
        <v>25</v>
      </c>
      <c r="Y831" t="s">
        <v>30</v>
      </c>
    </row>
    <row r="832" spans="1:25" x14ac:dyDescent="0.25">
      <c r="A832" t="s">
        <v>2834</v>
      </c>
      <c r="B832" t="str">
        <f t="shared" si="97"/>
        <v>Hadija Nuhu Lameki</v>
      </c>
      <c r="C832">
        <v>127242</v>
      </c>
      <c r="D832" t="str">
        <f t="shared" si="96"/>
        <v>Unique</v>
      </c>
      <c r="E832" t="s">
        <v>61</v>
      </c>
      <c r="F832" s="3">
        <f t="shared" si="98"/>
        <v>29</v>
      </c>
      <c r="G832" t="s">
        <v>32</v>
      </c>
      <c r="H832" t="str">
        <f t="shared" si="99"/>
        <v>Valid</v>
      </c>
      <c r="I832" t="s">
        <v>33</v>
      </c>
      <c r="J832" t="str">
        <f t="shared" si="100"/>
        <v>Kigoma Ujiji Mc</v>
      </c>
      <c r="K832" t="s">
        <v>700</v>
      </c>
      <c r="L832" t="str" cm="1">
        <f t="array" ref="L832">_xlfn.IFS(
ISNUMBER(SEARCH("ICU",K832)), "ICU",
ISNUMBER(SEARCH("NEONATAL",K832)), PROPER("NEONATAL"),
ISNUMBER(SEARCH("LABOUR",K832)), PROPER("LABOUR"),
ISNUMBER(SEARCH("PAEDIATRIC",K832)), PROPER("PAEDIATRIC"),
ISNUMBER(SEARCH("FEMALE SURGICAL",K832)), PROPER("FEMALE SURG, ORTHO &amp; GYN"),
ISNUMBER(SEARCH("PSYCHIATRIST",K832)), PROPER("PSYCHIATRIST"),
ISNUMBER(SEARCH("GRADE 1",K832)), PROPER("GRADE 1"),
ISNUMBER(SEARCH("MALE SURGICAL",K832)), PROPER("MALE SURG &amp; ORTHOPEDIC"),
ISNUMBER(SEARCH("MALE MEDICAL",K832)), PROPER("MALE MEDICAL"),
ISNUMBER(SEARCH("GRADE 2",K832)), PROPER("GRADE 2"),
ISNUMBER(SEARCH("FEMALE WARD",K832)), PROPER("FEMALE MEDICAL"),
TRUE, "Unmapped: " &amp; K832)</f>
        <v>Female Medical</v>
      </c>
      <c r="M832" t="s">
        <v>394</v>
      </c>
      <c r="O832" t="s">
        <v>2835</v>
      </c>
      <c r="P832" t="str">
        <f t="shared" si="101"/>
        <v>Text Error</v>
      </c>
      <c r="Q832" s="5">
        <v>46026.834976851853</v>
      </c>
      <c r="R832" t="str">
        <f t="shared" si="102"/>
        <v>Valid Date</v>
      </c>
      <c r="S832" t="s">
        <v>2836</v>
      </c>
      <c r="T832" s="5">
        <v>46027.578969907408</v>
      </c>
      <c r="U832">
        <v>0</v>
      </c>
      <c r="V832" t="str">
        <f t="shared" si="103"/>
        <v>OK</v>
      </c>
      <c r="W832" t="s">
        <v>25</v>
      </c>
      <c r="Y832" t="s">
        <v>30</v>
      </c>
    </row>
    <row r="833" spans="1:25" x14ac:dyDescent="0.25">
      <c r="A833" t="s">
        <v>2837</v>
      </c>
      <c r="B833" t="str">
        <f t="shared" si="97"/>
        <v>Veronica Juma Malendeja</v>
      </c>
      <c r="C833">
        <v>127212</v>
      </c>
      <c r="D833" t="str">
        <f t="shared" si="96"/>
        <v>Unique</v>
      </c>
      <c r="E833" t="s">
        <v>138</v>
      </c>
      <c r="F833" s="3">
        <f t="shared" si="98"/>
        <v>18</v>
      </c>
      <c r="G833" t="s">
        <v>32</v>
      </c>
      <c r="H833" t="str">
        <f t="shared" si="99"/>
        <v>Valid</v>
      </c>
      <c r="I833" t="s">
        <v>20</v>
      </c>
      <c r="J833" t="str">
        <f t="shared" si="100"/>
        <v>Uvinza</v>
      </c>
      <c r="K833" t="s">
        <v>40</v>
      </c>
      <c r="L833" t="str" cm="1">
        <f t="array" ref="L833">_xlfn.IFS(
ISNUMBER(SEARCH("ICU",K833)), "ICU",
ISNUMBER(SEARCH("NEONATAL",K833)), PROPER("NEONATAL"),
ISNUMBER(SEARCH("LABOUR",K833)), PROPER("LABOUR"),
ISNUMBER(SEARCH("PAEDIATRIC",K833)), PROPER("PAEDIATRIC"),
ISNUMBER(SEARCH("FEMALE SURGICAL",K833)), PROPER("FEMALE SURG, ORTHO &amp; GYN"),
ISNUMBER(SEARCH("PSYCHIATRIST",K833)), PROPER("PSYCHIATRIST"),
ISNUMBER(SEARCH("GRADE 1",K833)), PROPER("GRADE 1"),
ISNUMBER(SEARCH("MALE SURGICAL",K833)), PROPER("MALE SURG &amp; ORTHOPEDIC"),
ISNUMBER(SEARCH("MALE MEDICAL",K833)), PROPER("MALE MEDICAL"),
ISNUMBER(SEARCH("GRADE 2",K833)), PROPER("GRADE 2"),
ISNUMBER(SEARCH("FEMALE WARD",K833)), PROPER("FEMALE MEDICAL"),
TRUE, "Unmapped: " &amp; K833)</f>
        <v>Labour</v>
      </c>
      <c r="M833" t="s">
        <v>22</v>
      </c>
      <c r="O833" t="s">
        <v>2838</v>
      </c>
      <c r="P833" t="str">
        <f t="shared" si="101"/>
        <v>Text Error</v>
      </c>
      <c r="Q833" s="5">
        <v>46026.869444444441</v>
      </c>
      <c r="R833" t="str">
        <f t="shared" si="102"/>
        <v>Valid Date</v>
      </c>
      <c r="S833" t="s">
        <v>2839</v>
      </c>
      <c r="T833" s="5">
        <v>46027.688726851855</v>
      </c>
      <c r="U833">
        <v>0</v>
      </c>
      <c r="V833" t="str">
        <f t="shared" si="103"/>
        <v>OK</v>
      </c>
      <c r="W833" t="s">
        <v>25</v>
      </c>
      <c r="Y833" t="s">
        <v>30</v>
      </c>
    </row>
    <row r="834" spans="1:25" x14ac:dyDescent="0.25">
      <c r="A834" t="s">
        <v>2840</v>
      </c>
      <c r="B834" t="str">
        <f t="shared" si="97"/>
        <v>Said M Shaban</v>
      </c>
      <c r="C834">
        <v>125397</v>
      </c>
      <c r="D834" t="str">
        <f t="shared" ref="D834:D897" si="104">IF(COUNTIF($C$2:$C$905,C834)&gt;1,"Duplicate","Unique")</f>
        <v>Unique</v>
      </c>
      <c r="E834" t="s">
        <v>285</v>
      </c>
      <c r="F834" s="3">
        <f t="shared" si="98"/>
        <v>38</v>
      </c>
      <c r="G834" t="s">
        <v>19</v>
      </c>
      <c r="H834" t="str">
        <f t="shared" si="99"/>
        <v>Valid</v>
      </c>
      <c r="I834" t="s">
        <v>33</v>
      </c>
      <c r="J834" t="str">
        <f t="shared" si="100"/>
        <v>Kigoma Ujiji Mc</v>
      </c>
      <c r="K834" t="s">
        <v>685</v>
      </c>
      <c r="L834" t="str" cm="1">
        <f t="array" ref="L834">_xlfn.IFS(
ISNUMBER(SEARCH("ICU",K834)), "ICU",
ISNUMBER(SEARCH("NEONATAL",K834)), PROPER("NEONATAL"),
ISNUMBER(SEARCH("LABOUR",K834)), PROPER("LABOUR"),
ISNUMBER(SEARCH("PAEDIATRIC",K834)), PROPER("PAEDIATRIC"),
ISNUMBER(SEARCH("FEMALE SURGICAL",K834)), PROPER("FEMALE SURG, ORTHO &amp; GYN"),
ISNUMBER(SEARCH("PSYCHIATRIST",K834)), PROPER("PSYCHIATRIST"),
ISNUMBER(SEARCH("GRADE 1",K834)), PROPER("GRADE 1"),
ISNUMBER(SEARCH("MALE SURGICAL",K834)), PROPER("MALE SURG &amp; ORTHOPEDIC"),
ISNUMBER(SEARCH("MALE MEDICAL",K834)), PROPER("MALE MEDICAL"),
ISNUMBER(SEARCH("GRADE 2",K834)), PROPER("GRADE 2"),
ISNUMBER(SEARCH("FEMALE WARD",K834)), PROPER("FEMALE MEDICAL"),
TRUE, "Unmapped: " &amp; K834)</f>
        <v>Grade 2</v>
      </c>
      <c r="M834" t="s">
        <v>394</v>
      </c>
      <c r="O834" t="s">
        <v>2841</v>
      </c>
      <c r="P834" t="str">
        <f t="shared" si="101"/>
        <v>Text Error</v>
      </c>
      <c r="Q834" s="5">
        <v>46027.460694444446</v>
      </c>
      <c r="R834" t="str">
        <f t="shared" si="102"/>
        <v>Valid Date</v>
      </c>
      <c r="S834" t="s">
        <v>2842</v>
      </c>
      <c r="T834" s="5">
        <v>46028.454212962963</v>
      </c>
      <c r="U834">
        <v>0</v>
      </c>
      <c r="V834" t="str">
        <f t="shared" si="103"/>
        <v>OK</v>
      </c>
      <c r="W834" t="s">
        <v>25</v>
      </c>
      <c r="Y834" t="s">
        <v>30</v>
      </c>
    </row>
    <row r="835" spans="1:25" x14ac:dyDescent="0.25">
      <c r="A835" t="s">
        <v>2843</v>
      </c>
      <c r="B835" t="str">
        <f t="shared" ref="B835:B897" si="105">IF(LEN(TRIM(A835))-LEN(SUBSTITUTE(TRIM(A835)," ",""))&gt;=1,TRIM(A835),"⚠ Only 1 name: "&amp;TRIM(A835))</f>
        <v>Boazi Moshi Midarasto</v>
      </c>
      <c r="C835">
        <v>127401</v>
      </c>
      <c r="D835" t="str">
        <f t="shared" si="104"/>
        <v>Unique</v>
      </c>
      <c r="E835" t="s">
        <v>622</v>
      </c>
      <c r="F835" s="3" t="str">
        <f t="shared" ref="F835:F898" si="106">IF(ISNUMBER(SEARCH("month",E835)), LEFT(E835,FIND(" ",E835)-1)&amp;"/12", VALUE(LEFT(E835,FIND(" ",E835)-1)))</f>
        <v>2/12</v>
      </c>
      <c r="G835" t="s">
        <v>19</v>
      </c>
      <c r="H835" t="str">
        <f t="shared" ref="H835:H898" si="107">IF(OR(TRIM(G835)="Male", TRIM(G835)="Female"), "Valid", "Inconsistent")</f>
        <v>Valid</v>
      </c>
      <c r="I835" t="s">
        <v>260</v>
      </c>
      <c r="J835" t="str">
        <f t="shared" ref="J835:J898" si="108">SUBSTITUTE(SUBSTITUTE(TRIM(CLEAN(I835)),"Manisipaa ya kigoma ujiji","Kigoma Ujiji Mc"),"Buhingwe","Buhigwe")</f>
        <v>Kasulu</v>
      </c>
      <c r="K835" t="s">
        <v>21</v>
      </c>
      <c r="L835" t="str" cm="1">
        <f t="array" ref="L835">_xlfn.IFS(
ISNUMBER(SEARCH("ICU",K835)), "ICU",
ISNUMBER(SEARCH("NEONATAL",K835)), PROPER("NEONATAL"),
ISNUMBER(SEARCH("LABOUR",K835)), PROPER("LABOUR"),
ISNUMBER(SEARCH("PAEDIATRIC",K835)), PROPER("PAEDIATRIC"),
ISNUMBER(SEARCH("FEMALE SURGICAL",K835)), PROPER("FEMALE SURG, ORTHO &amp; GYN"),
ISNUMBER(SEARCH("PSYCHIATRIST",K835)), PROPER("PSYCHIATRIST"),
ISNUMBER(SEARCH("GRADE 1",K835)), PROPER("GRADE 1"),
ISNUMBER(SEARCH("MALE SURGICAL",K835)), PROPER("MALE SURG &amp; ORTHOPEDIC"),
ISNUMBER(SEARCH("MALE MEDICAL",K835)), PROPER("MALE MEDICAL"),
ISNUMBER(SEARCH("GRADE 2",K835)), PROPER("GRADE 2"),
ISNUMBER(SEARCH("FEMALE WARD",K835)), PROPER("FEMALE MEDICAL"),
TRUE, "Unmapped: " &amp; K835)</f>
        <v>Neonatal</v>
      </c>
      <c r="M835" t="s">
        <v>22</v>
      </c>
      <c r="O835" t="s">
        <v>2844</v>
      </c>
      <c r="P835" t="str">
        <f t="shared" ref="P835:P898" si="109">IF(ISNUMBER(O835), "Valid Date", "Text Error")</f>
        <v>Text Error</v>
      </c>
      <c r="Q835" s="5">
        <v>46027.682743055557</v>
      </c>
      <c r="R835" t="str">
        <f t="shared" ref="R835:R898" si="110">IF(ISNUMBER(Q835), "Valid Date", "Text Error")</f>
        <v>Valid Date</v>
      </c>
      <c r="S835" t="s">
        <v>2845</v>
      </c>
      <c r="T835" s="5">
        <v>46028.668564814812</v>
      </c>
      <c r="U835">
        <v>0</v>
      </c>
      <c r="V835" t="str">
        <f t="shared" ref="V835:V898" si="111">IF(NOT(ISNUMBER(U835)), "Text Error", IF(U835&lt;0, "Negative", "OK"))</f>
        <v>OK</v>
      </c>
      <c r="W835" t="s">
        <v>211</v>
      </c>
      <c r="Y835" t="s">
        <v>30</v>
      </c>
    </row>
    <row r="836" spans="1:25" x14ac:dyDescent="0.25">
      <c r="A836" t="s">
        <v>2846</v>
      </c>
      <c r="B836" t="str">
        <f t="shared" si="105"/>
        <v>Tatu Yahaya Kilola</v>
      </c>
      <c r="C836">
        <v>127251</v>
      </c>
      <c r="D836" t="str">
        <f t="shared" si="104"/>
        <v>Unique</v>
      </c>
      <c r="E836" t="s">
        <v>530</v>
      </c>
      <c r="F836" s="3">
        <f t="shared" si="106"/>
        <v>34</v>
      </c>
      <c r="G836" t="s">
        <v>32</v>
      </c>
      <c r="H836" t="str">
        <f t="shared" si="107"/>
        <v>Valid</v>
      </c>
      <c r="I836" t="s">
        <v>62</v>
      </c>
      <c r="J836" t="str">
        <f t="shared" si="108"/>
        <v>Kigoma Vijijini</v>
      </c>
      <c r="K836" t="s">
        <v>40</v>
      </c>
      <c r="L836" t="str" cm="1">
        <f t="array" ref="L836">_xlfn.IFS(
ISNUMBER(SEARCH("ICU",K836)), "ICU",
ISNUMBER(SEARCH("NEONATAL",K836)), PROPER("NEONATAL"),
ISNUMBER(SEARCH("LABOUR",K836)), PROPER("LABOUR"),
ISNUMBER(SEARCH("PAEDIATRIC",K836)), PROPER("PAEDIATRIC"),
ISNUMBER(SEARCH("FEMALE SURGICAL",K836)), PROPER("FEMALE SURG, ORTHO &amp; GYN"),
ISNUMBER(SEARCH("PSYCHIATRIST",K836)), PROPER("PSYCHIATRIST"),
ISNUMBER(SEARCH("GRADE 1",K836)), PROPER("GRADE 1"),
ISNUMBER(SEARCH("MALE SURGICAL",K836)), PROPER("MALE SURG &amp; ORTHOPEDIC"),
ISNUMBER(SEARCH("MALE MEDICAL",K836)), PROPER("MALE MEDICAL"),
ISNUMBER(SEARCH("GRADE 2",K836)), PROPER("GRADE 2"),
ISNUMBER(SEARCH("FEMALE WARD",K836)), PROPER("FEMALE MEDICAL"),
TRUE, "Unmapped: " &amp; K836)</f>
        <v>Labour</v>
      </c>
      <c r="M836" t="s">
        <v>22</v>
      </c>
      <c r="O836" t="s">
        <v>2847</v>
      </c>
      <c r="P836" t="str">
        <f t="shared" si="109"/>
        <v>Text Error</v>
      </c>
      <c r="Q836" s="5">
        <v>46027.69462962963</v>
      </c>
      <c r="R836" t="str">
        <f t="shared" si="110"/>
        <v>Valid Date</v>
      </c>
      <c r="S836" t="s">
        <v>2848</v>
      </c>
      <c r="T836" s="5">
        <v>46028.576944444445</v>
      </c>
      <c r="U836">
        <v>0</v>
      </c>
      <c r="V836" t="str">
        <f t="shared" si="111"/>
        <v>OK</v>
      </c>
      <c r="W836" t="s">
        <v>25</v>
      </c>
      <c r="Y836" t="s">
        <v>30</v>
      </c>
    </row>
    <row r="837" spans="1:25" x14ac:dyDescent="0.25">
      <c r="A837" t="s">
        <v>2849</v>
      </c>
      <c r="B837" t="str">
        <f t="shared" si="105"/>
        <v>Swalehe Amrani Nduhiye</v>
      </c>
      <c r="C837">
        <v>127405</v>
      </c>
      <c r="D837" t="str">
        <f t="shared" si="104"/>
        <v>Unique</v>
      </c>
      <c r="E837" t="s">
        <v>922</v>
      </c>
      <c r="F837" s="3">
        <f t="shared" si="106"/>
        <v>65</v>
      </c>
      <c r="G837" t="s">
        <v>19</v>
      </c>
      <c r="H837" t="str">
        <f t="shared" si="107"/>
        <v>Valid</v>
      </c>
      <c r="I837" t="s">
        <v>62</v>
      </c>
      <c r="J837" t="str">
        <f t="shared" si="108"/>
        <v>Kigoma Vijijini</v>
      </c>
      <c r="K837" t="s">
        <v>484</v>
      </c>
      <c r="L837" t="str" cm="1">
        <f t="array" ref="L837">_xlfn.IFS(
ISNUMBER(SEARCH("ICU",K837)), "ICU",
ISNUMBER(SEARCH("NEONATAL",K837)), PROPER("NEONATAL"),
ISNUMBER(SEARCH("LABOUR",K837)), PROPER("LABOUR"),
ISNUMBER(SEARCH("PAEDIATRIC",K837)), PROPER("PAEDIATRIC"),
ISNUMBER(SEARCH("FEMALE SURGICAL",K837)), PROPER("FEMALE SURG, ORTHO &amp; GYN"),
ISNUMBER(SEARCH("PSYCHIATRIST",K837)), PROPER("PSYCHIATRIST"),
ISNUMBER(SEARCH("GRADE 1",K837)), PROPER("GRADE 1"),
ISNUMBER(SEARCH("MALE SURGICAL",K837)), PROPER("MALE SURG &amp; ORTHOPEDIC"),
ISNUMBER(SEARCH("MALE MEDICAL",K837)), PROPER("MALE MEDICAL"),
ISNUMBER(SEARCH("GRADE 2",K837)), PROPER("GRADE 2"),
ISNUMBER(SEARCH("FEMALE WARD",K837)), PROPER("FEMALE MEDICAL"),
TRUE, "Unmapped: " &amp; K837)</f>
        <v>Male Medical</v>
      </c>
      <c r="M837" t="s">
        <v>22</v>
      </c>
      <c r="O837" t="s">
        <v>2850</v>
      </c>
      <c r="P837" t="str">
        <f t="shared" si="109"/>
        <v>Text Error</v>
      </c>
      <c r="Q837" s="5">
        <v>46027.799641203703</v>
      </c>
      <c r="R837" t="str">
        <f t="shared" si="110"/>
        <v>Valid Date</v>
      </c>
      <c r="S837" t="s">
        <v>2851</v>
      </c>
      <c r="T837" s="5">
        <v>46028.499664351853</v>
      </c>
      <c r="U837">
        <v>0</v>
      </c>
      <c r="V837" t="str">
        <f t="shared" si="111"/>
        <v>OK</v>
      </c>
      <c r="W837" t="s">
        <v>211</v>
      </c>
      <c r="Y837" t="s">
        <v>30</v>
      </c>
    </row>
    <row r="838" spans="1:25" x14ac:dyDescent="0.25">
      <c r="A838" t="s">
        <v>2852</v>
      </c>
      <c r="B838" t="str">
        <f t="shared" si="105"/>
        <v>Omari Saidi Kamalanyi</v>
      </c>
      <c r="C838">
        <v>127417</v>
      </c>
      <c r="D838" t="str">
        <f t="shared" si="104"/>
        <v>Unique</v>
      </c>
      <c r="E838" t="s">
        <v>188</v>
      </c>
      <c r="F838" s="3">
        <f t="shared" si="106"/>
        <v>28</v>
      </c>
      <c r="G838" t="s">
        <v>19</v>
      </c>
      <c r="H838" t="str">
        <f t="shared" si="107"/>
        <v>Valid</v>
      </c>
      <c r="I838" t="s">
        <v>260</v>
      </c>
      <c r="J838" t="str">
        <f t="shared" si="108"/>
        <v>Kasulu</v>
      </c>
      <c r="K838" t="s">
        <v>428</v>
      </c>
      <c r="L838" t="str" cm="1">
        <f t="array" ref="L838">_xlfn.IFS(
ISNUMBER(SEARCH("ICU",K838)), "ICU",
ISNUMBER(SEARCH("NEONATAL",K838)), PROPER("NEONATAL"),
ISNUMBER(SEARCH("LABOUR",K838)), PROPER("LABOUR"),
ISNUMBER(SEARCH("PAEDIATRIC",K838)), PROPER("PAEDIATRIC"),
ISNUMBER(SEARCH("FEMALE SURGICAL",K838)), PROPER("FEMALE SURG, ORTHO &amp; GYN"),
ISNUMBER(SEARCH("PSYCHIATRIST",K838)), PROPER("PSYCHIATRIST"),
ISNUMBER(SEARCH("GRADE 1",K838)), PROPER("GRADE 1"),
ISNUMBER(SEARCH("MALE SURGICAL",K838)), PROPER("MALE SURG &amp; ORTHOPEDIC"),
ISNUMBER(SEARCH("MALE MEDICAL",K838)), PROPER("MALE MEDICAL"),
ISNUMBER(SEARCH("GRADE 2",K838)), PROPER("GRADE 2"),
ISNUMBER(SEARCH("FEMALE WARD",K838)), PROPER("FEMALE MEDICAL"),
TRUE, "Unmapped: " &amp; K838)</f>
        <v>Male Surg &amp; Orthopedic</v>
      </c>
      <c r="M838" t="s">
        <v>22</v>
      </c>
      <c r="O838" t="s">
        <v>2853</v>
      </c>
      <c r="P838" t="str">
        <f t="shared" si="109"/>
        <v>Text Error</v>
      </c>
      <c r="Q838" s="5">
        <v>46027.80232638889</v>
      </c>
      <c r="R838" t="str">
        <f t="shared" si="110"/>
        <v>Valid Date</v>
      </c>
      <c r="S838" t="s">
        <v>2854</v>
      </c>
      <c r="T838" s="5">
        <v>46028.680208333331</v>
      </c>
      <c r="U838">
        <v>0</v>
      </c>
      <c r="V838" t="str">
        <f t="shared" si="111"/>
        <v>OK</v>
      </c>
      <c r="W838" t="s">
        <v>25</v>
      </c>
      <c r="Y838" t="s">
        <v>30</v>
      </c>
    </row>
    <row r="839" spans="1:25" x14ac:dyDescent="0.25">
      <c r="A839" t="s">
        <v>2855</v>
      </c>
      <c r="B839" t="str">
        <f t="shared" si="105"/>
        <v>Agness Gunga Tarie</v>
      </c>
      <c r="C839">
        <v>127422</v>
      </c>
      <c r="D839" t="str">
        <f t="shared" si="104"/>
        <v>Unique</v>
      </c>
      <c r="E839" t="s">
        <v>1061</v>
      </c>
      <c r="F839" s="3">
        <f t="shared" si="106"/>
        <v>66</v>
      </c>
      <c r="G839" t="s">
        <v>32</v>
      </c>
      <c r="H839" t="str">
        <f t="shared" si="107"/>
        <v>Valid</v>
      </c>
      <c r="I839" t="s">
        <v>62</v>
      </c>
      <c r="J839" t="str">
        <f t="shared" si="108"/>
        <v>Kigoma Vijijini</v>
      </c>
      <c r="K839" t="s">
        <v>700</v>
      </c>
      <c r="L839" t="str" cm="1">
        <f t="array" ref="L839">_xlfn.IFS(
ISNUMBER(SEARCH("ICU",K839)), "ICU",
ISNUMBER(SEARCH("NEONATAL",K839)), PROPER("NEONATAL"),
ISNUMBER(SEARCH("LABOUR",K839)), PROPER("LABOUR"),
ISNUMBER(SEARCH("PAEDIATRIC",K839)), PROPER("PAEDIATRIC"),
ISNUMBER(SEARCH("FEMALE SURGICAL",K839)), PROPER("FEMALE SURG, ORTHO &amp; GYN"),
ISNUMBER(SEARCH("PSYCHIATRIST",K839)), PROPER("PSYCHIATRIST"),
ISNUMBER(SEARCH("GRADE 1",K839)), PROPER("GRADE 1"),
ISNUMBER(SEARCH("MALE SURGICAL",K839)), PROPER("MALE SURG &amp; ORTHOPEDIC"),
ISNUMBER(SEARCH("MALE MEDICAL",K839)), PROPER("MALE MEDICAL"),
ISNUMBER(SEARCH("GRADE 2",K839)), PROPER("GRADE 2"),
ISNUMBER(SEARCH("FEMALE WARD",K839)), PROPER("FEMALE MEDICAL"),
TRUE, "Unmapped: " &amp; K839)</f>
        <v>Female Medical</v>
      </c>
      <c r="M839" t="s">
        <v>22</v>
      </c>
      <c r="O839" t="s">
        <v>2856</v>
      </c>
      <c r="P839" t="str">
        <f t="shared" si="109"/>
        <v>Text Error</v>
      </c>
      <c r="Q839" s="5">
        <v>46027.903275462966</v>
      </c>
      <c r="R839" t="str">
        <f t="shared" si="110"/>
        <v>Valid Date</v>
      </c>
      <c r="S839" t="s">
        <v>2857</v>
      </c>
      <c r="T839" s="5">
        <v>46028.6953587963</v>
      </c>
      <c r="U839">
        <v>0</v>
      </c>
      <c r="V839" t="str">
        <f t="shared" si="111"/>
        <v>OK</v>
      </c>
      <c r="W839" t="s">
        <v>211</v>
      </c>
      <c r="Y839" t="s">
        <v>30</v>
      </c>
    </row>
    <row r="840" spans="1:25" x14ac:dyDescent="0.25">
      <c r="A840" t="s">
        <v>2858</v>
      </c>
      <c r="B840" t="str">
        <f t="shared" si="105"/>
        <v>Irene Emmanuel Mbwiliza</v>
      </c>
      <c r="C840">
        <v>127255</v>
      </c>
      <c r="D840" t="str">
        <f t="shared" si="104"/>
        <v>Unique</v>
      </c>
      <c r="E840" t="s">
        <v>74</v>
      </c>
      <c r="F840" s="3">
        <f t="shared" si="106"/>
        <v>35</v>
      </c>
      <c r="G840" t="s">
        <v>32</v>
      </c>
      <c r="H840" t="str">
        <f t="shared" si="107"/>
        <v>Valid</v>
      </c>
      <c r="I840" t="s">
        <v>33</v>
      </c>
      <c r="J840" t="str">
        <f t="shared" si="108"/>
        <v>Kigoma Ujiji Mc</v>
      </c>
      <c r="K840" t="s">
        <v>123</v>
      </c>
      <c r="L840" t="str" cm="1">
        <f t="array" ref="L840">_xlfn.IFS(
ISNUMBER(SEARCH("ICU",K840)), "ICU",
ISNUMBER(SEARCH("NEONATAL",K840)), PROPER("NEONATAL"),
ISNUMBER(SEARCH("LABOUR",K840)), PROPER("LABOUR"),
ISNUMBER(SEARCH("PAEDIATRIC",K840)), PROPER("PAEDIATRIC"),
ISNUMBER(SEARCH("FEMALE SURGICAL",K840)), PROPER("FEMALE SURG, ORTHO &amp; GYN"),
ISNUMBER(SEARCH("PSYCHIATRIST",K840)), PROPER("PSYCHIATRIST"),
ISNUMBER(SEARCH("GRADE 1",K840)), PROPER("GRADE 1"),
ISNUMBER(SEARCH("MALE SURGICAL",K840)), PROPER("MALE SURG &amp; ORTHOPEDIC"),
ISNUMBER(SEARCH("MALE MEDICAL",K840)), PROPER("MALE MEDICAL"),
ISNUMBER(SEARCH("GRADE 2",K840)), PROPER("GRADE 2"),
ISNUMBER(SEARCH("FEMALE WARD",K840)), PROPER("FEMALE MEDICAL"),
TRUE, "Unmapped: " &amp; K840)</f>
        <v>Female Surg, Ortho &amp; Gyn</v>
      </c>
      <c r="M840" t="s">
        <v>394</v>
      </c>
      <c r="O840" t="s">
        <v>2859</v>
      </c>
      <c r="P840" t="str">
        <f t="shared" si="109"/>
        <v>Text Error</v>
      </c>
      <c r="Q840" s="5">
        <v>46028.543009259258</v>
      </c>
      <c r="R840" t="str">
        <f t="shared" si="110"/>
        <v>Valid Date</v>
      </c>
      <c r="S840" t="s">
        <v>2860</v>
      </c>
      <c r="T840" s="5">
        <v>46028.550752314812</v>
      </c>
      <c r="U840">
        <v>0</v>
      </c>
      <c r="V840" t="str">
        <f t="shared" si="111"/>
        <v>OK</v>
      </c>
      <c r="W840" t="s">
        <v>25</v>
      </c>
      <c r="Y840" t="s">
        <v>30</v>
      </c>
    </row>
    <row r="841" spans="1:25" x14ac:dyDescent="0.25">
      <c r="A841" t="s">
        <v>2861</v>
      </c>
      <c r="B841" t="str">
        <f t="shared" si="105"/>
        <v>Yusuph Idd Omary</v>
      </c>
      <c r="C841">
        <v>127572</v>
      </c>
      <c r="D841" t="str">
        <f t="shared" si="104"/>
        <v>Unique</v>
      </c>
      <c r="E841" t="s">
        <v>151</v>
      </c>
      <c r="F841" s="3">
        <f t="shared" si="106"/>
        <v>22</v>
      </c>
      <c r="G841" t="s">
        <v>19</v>
      </c>
      <c r="H841" t="str">
        <f t="shared" si="107"/>
        <v>Valid</v>
      </c>
      <c r="I841" t="s">
        <v>62</v>
      </c>
      <c r="J841" t="str">
        <f t="shared" si="108"/>
        <v>Kigoma Vijijini</v>
      </c>
      <c r="K841" t="s">
        <v>428</v>
      </c>
      <c r="L841" t="str" cm="1">
        <f t="array" ref="L841">_xlfn.IFS(
ISNUMBER(SEARCH("ICU",K841)), "ICU",
ISNUMBER(SEARCH("NEONATAL",K841)), PROPER("NEONATAL"),
ISNUMBER(SEARCH("LABOUR",K841)), PROPER("LABOUR"),
ISNUMBER(SEARCH("PAEDIATRIC",K841)), PROPER("PAEDIATRIC"),
ISNUMBER(SEARCH("FEMALE SURGICAL",K841)), PROPER("FEMALE SURG, ORTHO &amp; GYN"),
ISNUMBER(SEARCH("PSYCHIATRIST",K841)), PROPER("PSYCHIATRIST"),
ISNUMBER(SEARCH("GRADE 1",K841)), PROPER("GRADE 1"),
ISNUMBER(SEARCH("MALE SURGICAL",K841)), PROPER("MALE SURG &amp; ORTHOPEDIC"),
ISNUMBER(SEARCH("MALE MEDICAL",K841)), PROPER("MALE MEDICAL"),
ISNUMBER(SEARCH("GRADE 2",K841)), PROPER("GRADE 2"),
ISNUMBER(SEARCH("FEMALE WARD",K841)), PROPER("FEMALE MEDICAL"),
TRUE, "Unmapped: " &amp; K841)</f>
        <v>Male Surg &amp; Orthopedic</v>
      </c>
      <c r="M841" t="s">
        <v>22</v>
      </c>
      <c r="O841" t="s">
        <v>2862</v>
      </c>
      <c r="P841" t="str">
        <f t="shared" si="109"/>
        <v>Text Error</v>
      </c>
      <c r="Q841" s="5">
        <v>46029.164502314816</v>
      </c>
      <c r="R841" t="str">
        <f t="shared" si="110"/>
        <v>Valid Date</v>
      </c>
      <c r="S841" t="s">
        <v>2863</v>
      </c>
      <c r="T841" s="5">
        <v>46029.702118055553</v>
      </c>
      <c r="U841">
        <v>0</v>
      </c>
      <c r="V841" t="str">
        <f t="shared" si="111"/>
        <v>OK</v>
      </c>
      <c r="W841" t="s">
        <v>112</v>
      </c>
      <c r="Y841" t="s">
        <v>30</v>
      </c>
    </row>
    <row r="842" spans="1:25" x14ac:dyDescent="0.25">
      <c r="A842" t="s">
        <v>2864</v>
      </c>
      <c r="B842" t="str">
        <f t="shared" si="105"/>
        <v>Hawa Abubakari Amrani</v>
      </c>
      <c r="C842">
        <v>127592</v>
      </c>
      <c r="D842" t="str">
        <f t="shared" si="104"/>
        <v>Unique</v>
      </c>
      <c r="E842" t="s">
        <v>315</v>
      </c>
      <c r="F842" s="3">
        <f t="shared" si="106"/>
        <v>31</v>
      </c>
      <c r="G842" t="s">
        <v>32</v>
      </c>
      <c r="H842" t="str">
        <f t="shared" si="107"/>
        <v>Valid</v>
      </c>
      <c r="I842" t="s">
        <v>33</v>
      </c>
      <c r="J842" t="str">
        <f t="shared" si="108"/>
        <v>Kigoma Ujiji Mc</v>
      </c>
      <c r="K842" t="s">
        <v>40</v>
      </c>
      <c r="L842" t="str" cm="1">
        <f t="array" ref="L842">_xlfn.IFS(
ISNUMBER(SEARCH("ICU",K842)), "ICU",
ISNUMBER(SEARCH("NEONATAL",K842)), PROPER("NEONATAL"),
ISNUMBER(SEARCH("LABOUR",K842)), PROPER("LABOUR"),
ISNUMBER(SEARCH("PAEDIATRIC",K842)), PROPER("PAEDIATRIC"),
ISNUMBER(SEARCH("FEMALE SURGICAL",K842)), PROPER("FEMALE SURG, ORTHO &amp; GYN"),
ISNUMBER(SEARCH("PSYCHIATRIST",K842)), PROPER("PSYCHIATRIST"),
ISNUMBER(SEARCH("GRADE 1",K842)), PROPER("GRADE 1"),
ISNUMBER(SEARCH("MALE SURGICAL",K842)), PROPER("MALE SURG &amp; ORTHOPEDIC"),
ISNUMBER(SEARCH("MALE MEDICAL",K842)), PROPER("MALE MEDICAL"),
ISNUMBER(SEARCH("GRADE 2",K842)), PROPER("GRADE 2"),
ISNUMBER(SEARCH("FEMALE WARD",K842)), PROPER("FEMALE MEDICAL"),
TRUE, "Unmapped: " &amp; K842)</f>
        <v>Labour</v>
      </c>
      <c r="M842" t="s">
        <v>22</v>
      </c>
      <c r="O842" t="s">
        <v>2865</v>
      </c>
      <c r="P842" t="str">
        <f t="shared" si="109"/>
        <v>Text Error</v>
      </c>
      <c r="Q842" s="5">
        <v>46029.715763888889</v>
      </c>
      <c r="R842" t="str">
        <f t="shared" si="110"/>
        <v>Valid Date</v>
      </c>
      <c r="S842" t="s">
        <v>2866</v>
      </c>
      <c r="T842" s="5">
        <v>46030.667326388888</v>
      </c>
      <c r="U842">
        <v>0</v>
      </c>
      <c r="V842" t="str">
        <f t="shared" si="111"/>
        <v>OK</v>
      </c>
      <c r="W842" t="s">
        <v>25</v>
      </c>
      <c r="Y842" t="s">
        <v>30</v>
      </c>
    </row>
    <row r="843" spans="1:25" x14ac:dyDescent="0.25">
      <c r="A843" t="s">
        <v>2867</v>
      </c>
      <c r="B843" t="str">
        <f t="shared" si="105"/>
        <v>Lucy A Mpantwa</v>
      </c>
      <c r="C843">
        <v>127801</v>
      </c>
      <c r="D843" t="str">
        <f t="shared" si="104"/>
        <v>Unique</v>
      </c>
      <c r="E843" t="s">
        <v>281</v>
      </c>
      <c r="F843" s="3">
        <f t="shared" si="106"/>
        <v>36</v>
      </c>
      <c r="G843" t="s">
        <v>32</v>
      </c>
      <c r="H843" t="str">
        <f t="shared" si="107"/>
        <v>Valid</v>
      </c>
      <c r="I843" t="s">
        <v>33</v>
      </c>
      <c r="J843" t="str">
        <f t="shared" si="108"/>
        <v>Kigoma Ujiji Mc</v>
      </c>
      <c r="K843" t="s">
        <v>40</v>
      </c>
      <c r="L843" t="str" cm="1">
        <f t="array" ref="L843">_xlfn.IFS(
ISNUMBER(SEARCH("ICU",K843)), "ICU",
ISNUMBER(SEARCH("NEONATAL",K843)), PROPER("NEONATAL"),
ISNUMBER(SEARCH("LABOUR",K843)), PROPER("LABOUR"),
ISNUMBER(SEARCH("PAEDIATRIC",K843)), PROPER("PAEDIATRIC"),
ISNUMBER(SEARCH("FEMALE SURGICAL",K843)), PROPER("FEMALE SURG, ORTHO &amp; GYN"),
ISNUMBER(SEARCH("PSYCHIATRIST",K843)), PROPER("PSYCHIATRIST"),
ISNUMBER(SEARCH("GRADE 1",K843)), PROPER("GRADE 1"),
ISNUMBER(SEARCH("MALE SURGICAL",K843)), PROPER("MALE SURG &amp; ORTHOPEDIC"),
ISNUMBER(SEARCH("MALE MEDICAL",K843)), PROPER("MALE MEDICAL"),
ISNUMBER(SEARCH("GRADE 2",K843)), PROPER("GRADE 2"),
ISNUMBER(SEARCH("FEMALE WARD",K843)), PROPER("FEMALE MEDICAL"),
TRUE, "Unmapped: " &amp; K843)</f>
        <v>Labour</v>
      </c>
      <c r="M843" t="s">
        <v>394</v>
      </c>
      <c r="O843" t="s">
        <v>2868</v>
      </c>
      <c r="P843" t="str">
        <f t="shared" si="109"/>
        <v>Text Error</v>
      </c>
      <c r="Q843" s="5">
        <v>46030.941435185188</v>
      </c>
      <c r="R843" t="str">
        <f t="shared" si="110"/>
        <v>Valid Date</v>
      </c>
      <c r="S843" t="s">
        <v>2869</v>
      </c>
      <c r="T843" s="5">
        <v>46031.730694444443</v>
      </c>
      <c r="U843">
        <v>0</v>
      </c>
      <c r="V843" t="str">
        <f t="shared" si="111"/>
        <v>OK</v>
      </c>
      <c r="W843" t="s">
        <v>25</v>
      </c>
      <c r="Y843" t="s">
        <v>30</v>
      </c>
    </row>
    <row r="844" spans="1:25" x14ac:dyDescent="0.25">
      <c r="A844" t="s">
        <v>2870</v>
      </c>
      <c r="B844" t="str">
        <f t="shared" si="105"/>
        <v>Athuman Rashid Athuman</v>
      </c>
      <c r="C844">
        <v>127806</v>
      </c>
      <c r="D844" t="str">
        <f t="shared" si="104"/>
        <v>Unique</v>
      </c>
      <c r="E844" t="s">
        <v>122</v>
      </c>
      <c r="F844" s="3">
        <f t="shared" si="106"/>
        <v>40</v>
      </c>
      <c r="G844" t="s">
        <v>19</v>
      </c>
      <c r="H844" t="str">
        <f t="shared" si="107"/>
        <v>Valid</v>
      </c>
      <c r="I844" t="s">
        <v>33</v>
      </c>
      <c r="J844" t="str">
        <f t="shared" si="108"/>
        <v>Kigoma Ujiji Mc</v>
      </c>
      <c r="K844" t="s">
        <v>428</v>
      </c>
      <c r="L844" t="str" cm="1">
        <f t="array" ref="L844">_xlfn.IFS(
ISNUMBER(SEARCH("ICU",K844)), "ICU",
ISNUMBER(SEARCH("NEONATAL",K844)), PROPER("NEONATAL"),
ISNUMBER(SEARCH("LABOUR",K844)), PROPER("LABOUR"),
ISNUMBER(SEARCH("PAEDIATRIC",K844)), PROPER("PAEDIATRIC"),
ISNUMBER(SEARCH("FEMALE SURGICAL",K844)), PROPER("FEMALE SURG, ORTHO &amp; GYN"),
ISNUMBER(SEARCH("PSYCHIATRIST",K844)), PROPER("PSYCHIATRIST"),
ISNUMBER(SEARCH("GRADE 1",K844)), PROPER("GRADE 1"),
ISNUMBER(SEARCH("MALE SURGICAL",K844)), PROPER("MALE SURG &amp; ORTHOPEDIC"),
ISNUMBER(SEARCH("MALE MEDICAL",K844)), PROPER("MALE MEDICAL"),
ISNUMBER(SEARCH("GRADE 2",K844)), PROPER("GRADE 2"),
ISNUMBER(SEARCH("FEMALE WARD",K844)), PROPER("FEMALE MEDICAL"),
TRUE, "Unmapped: " &amp; K844)</f>
        <v>Male Surg &amp; Orthopedic</v>
      </c>
      <c r="M844" t="s">
        <v>22</v>
      </c>
      <c r="O844" t="s">
        <v>2871</v>
      </c>
      <c r="P844" t="str">
        <f t="shared" si="109"/>
        <v>Text Error</v>
      </c>
      <c r="Q844" s="5">
        <v>46031.194212962961</v>
      </c>
      <c r="R844" t="str">
        <f t="shared" si="110"/>
        <v>Valid Date</v>
      </c>
      <c r="S844" t="s">
        <v>2872</v>
      </c>
      <c r="T844" s="5">
        <v>46031.64571759259</v>
      </c>
      <c r="U844">
        <v>0</v>
      </c>
      <c r="V844" t="str">
        <f t="shared" si="111"/>
        <v>OK</v>
      </c>
      <c r="W844" t="s">
        <v>25</v>
      </c>
      <c r="Y844" t="s">
        <v>30</v>
      </c>
    </row>
    <row r="845" spans="1:25" x14ac:dyDescent="0.25">
      <c r="A845" t="s">
        <v>2873</v>
      </c>
      <c r="B845" t="str">
        <f t="shared" si="105"/>
        <v>Martha John Michael</v>
      </c>
      <c r="C845">
        <v>49123</v>
      </c>
      <c r="D845" t="str">
        <f t="shared" si="104"/>
        <v>Unique</v>
      </c>
      <c r="E845" t="s">
        <v>147</v>
      </c>
      <c r="F845" s="3">
        <f t="shared" si="106"/>
        <v>30</v>
      </c>
      <c r="G845" t="s">
        <v>32</v>
      </c>
      <c r="H845" t="str">
        <f t="shared" si="107"/>
        <v>Valid</v>
      </c>
      <c r="I845" t="s">
        <v>227</v>
      </c>
      <c r="J845" t="str">
        <f t="shared" si="108"/>
        <v>KGG</v>
      </c>
      <c r="K845" t="s">
        <v>40</v>
      </c>
      <c r="L845" t="str" cm="1">
        <f t="array" ref="L845">_xlfn.IFS(
ISNUMBER(SEARCH("ICU",K845)), "ICU",
ISNUMBER(SEARCH("NEONATAL",K845)), PROPER("NEONATAL"),
ISNUMBER(SEARCH("LABOUR",K845)), PROPER("LABOUR"),
ISNUMBER(SEARCH("PAEDIATRIC",K845)), PROPER("PAEDIATRIC"),
ISNUMBER(SEARCH("FEMALE SURGICAL",K845)), PROPER("FEMALE SURG, ORTHO &amp; GYN"),
ISNUMBER(SEARCH("PSYCHIATRIST",K845)), PROPER("PSYCHIATRIST"),
ISNUMBER(SEARCH("GRADE 1",K845)), PROPER("GRADE 1"),
ISNUMBER(SEARCH("MALE SURGICAL",K845)), PROPER("MALE SURG &amp; ORTHOPEDIC"),
ISNUMBER(SEARCH("MALE MEDICAL",K845)), PROPER("MALE MEDICAL"),
ISNUMBER(SEARCH("GRADE 2",K845)), PROPER("GRADE 2"),
ISNUMBER(SEARCH("FEMALE WARD",K845)), PROPER("FEMALE MEDICAL"),
TRUE, "Unmapped: " &amp; K845)</f>
        <v>Labour</v>
      </c>
      <c r="M845" t="s">
        <v>22</v>
      </c>
      <c r="O845" t="s">
        <v>2874</v>
      </c>
      <c r="P845" t="str">
        <f t="shared" si="109"/>
        <v>Text Error</v>
      </c>
      <c r="Q845" s="5">
        <v>46031.700462962966</v>
      </c>
      <c r="R845" t="str">
        <f t="shared" si="110"/>
        <v>Valid Date</v>
      </c>
      <c r="S845" t="s">
        <v>2875</v>
      </c>
      <c r="T845" s="5">
        <v>46031.75613425926</v>
      </c>
      <c r="U845">
        <v>0</v>
      </c>
      <c r="V845" t="str">
        <f t="shared" si="111"/>
        <v>OK</v>
      </c>
      <c r="W845" t="s">
        <v>25</v>
      </c>
      <c r="Y845" t="s">
        <v>30</v>
      </c>
    </row>
    <row r="846" spans="1:25" x14ac:dyDescent="0.25">
      <c r="A846" t="s">
        <v>2876</v>
      </c>
      <c r="B846" t="str">
        <f t="shared" si="105"/>
        <v>Fatuma Hassan Ntayogola</v>
      </c>
      <c r="C846">
        <v>127896</v>
      </c>
      <c r="D846" t="str">
        <f t="shared" si="104"/>
        <v>Unique</v>
      </c>
      <c r="E846" t="s">
        <v>142</v>
      </c>
      <c r="F846" s="3">
        <f t="shared" si="106"/>
        <v>20</v>
      </c>
      <c r="G846" t="s">
        <v>32</v>
      </c>
      <c r="H846" t="str">
        <f t="shared" si="107"/>
        <v>Valid</v>
      </c>
      <c r="I846" t="s">
        <v>62</v>
      </c>
      <c r="J846" t="str">
        <f t="shared" si="108"/>
        <v>Kigoma Vijijini</v>
      </c>
      <c r="K846" t="s">
        <v>40</v>
      </c>
      <c r="L846" t="str" cm="1">
        <f t="array" ref="L846">_xlfn.IFS(
ISNUMBER(SEARCH("ICU",K846)), "ICU",
ISNUMBER(SEARCH("NEONATAL",K846)), PROPER("NEONATAL"),
ISNUMBER(SEARCH("LABOUR",K846)), PROPER("LABOUR"),
ISNUMBER(SEARCH("PAEDIATRIC",K846)), PROPER("PAEDIATRIC"),
ISNUMBER(SEARCH("FEMALE SURGICAL",K846)), PROPER("FEMALE SURG, ORTHO &amp; GYN"),
ISNUMBER(SEARCH("PSYCHIATRIST",K846)), PROPER("PSYCHIATRIST"),
ISNUMBER(SEARCH("GRADE 1",K846)), PROPER("GRADE 1"),
ISNUMBER(SEARCH("MALE SURGICAL",K846)), PROPER("MALE SURG &amp; ORTHOPEDIC"),
ISNUMBER(SEARCH("MALE MEDICAL",K846)), PROPER("MALE MEDICAL"),
ISNUMBER(SEARCH("GRADE 2",K846)), PROPER("GRADE 2"),
ISNUMBER(SEARCH("FEMALE WARD",K846)), PROPER("FEMALE MEDICAL"),
TRUE, "Unmapped: " &amp; K846)</f>
        <v>Labour</v>
      </c>
      <c r="M846" t="s">
        <v>22</v>
      </c>
      <c r="O846" t="s">
        <v>2877</v>
      </c>
      <c r="P846" t="str">
        <f t="shared" si="109"/>
        <v>Text Error</v>
      </c>
      <c r="Q846" s="5">
        <v>46031.817372685182</v>
      </c>
      <c r="R846" t="str">
        <f t="shared" si="110"/>
        <v>Valid Date</v>
      </c>
      <c r="S846" t="s">
        <v>2878</v>
      </c>
      <c r="T846" s="5">
        <v>46032.658182870371</v>
      </c>
      <c r="U846">
        <v>0</v>
      </c>
      <c r="V846" t="str">
        <f t="shared" si="111"/>
        <v>OK</v>
      </c>
      <c r="W846" t="s">
        <v>25</v>
      </c>
      <c r="Y846" t="s">
        <v>30</v>
      </c>
    </row>
    <row r="847" spans="1:25" x14ac:dyDescent="0.25">
      <c r="A847" t="s">
        <v>2879</v>
      </c>
      <c r="B847" t="str">
        <f t="shared" si="105"/>
        <v>Neema Frank Masuba</v>
      </c>
      <c r="C847">
        <v>27514</v>
      </c>
      <c r="D847" t="str">
        <f t="shared" si="104"/>
        <v>Unique</v>
      </c>
      <c r="E847" t="s">
        <v>188</v>
      </c>
      <c r="F847" s="3">
        <f t="shared" si="106"/>
        <v>28</v>
      </c>
      <c r="G847" t="s">
        <v>32</v>
      </c>
      <c r="H847" t="str">
        <f t="shared" si="107"/>
        <v>Valid</v>
      </c>
      <c r="I847" t="s">
        <v>33</v>
      </c>
      <c r="J847" t="str">
        <f t="shared" si="108"/>
        <v>Kigoma Ujiji Mc</v>
      </c>
      <c r="K847" t="s">
        <v>40</v>
      </c>
      <c r="L847" t="str" cm="1">
        <f t="array" ref="L847">_xlfn.IFS(
ISNUMBER(SEARCH("ICU",K847)), "ICU",
ISNUMBER(SEARCH("NEONATAL",K847)), PROPER("NEONATAL"),
ISNUMBER(SEARCH("LABOUR",K847)), PROPER("LABOUR"),
ISNUMBER(SEARCH("PAEDIATRIC",K847)), PROPER("PAEDIATRIC"),
ISNUMBER(SEARCH("FEMALE SURGICAL",K847)), PROPER("FEMALE SURG, ORTHO &amp; GYN"),
ISNUMBER(SEARCH("PSYCHIATRIST",K847)), PROPER("PSYCHIATRIST"),
ISNUMBER(SEARCH("GRADE 1",K847)), PROPER("GRADE 1"),
ISNUMBER(SEARCH("MALE SURGICAL",K847)), PROPER("MALE SURG &amp; ORTHOPEDIC"),
ISNUMBER(SEARCH("MALE MEDICAL",K847)), PROPER("MALE MEDICAL"),
ISNUMBER(SEARCH("GRADE 2",K847)), PROPER("GRADE 2"),
ISNUMBER(SEARCH("FEMALE WARD",K847)), PROPER("FEMALE MEDICAL"),
TRUE, "Unmapped: " &amp; K847)</f>
        <v>Labour</v>
      </c>
      <c r="M847" t="s">
        <v>394</v>
      </c>
      <c r="O847" t="s">
        <v>2880</v>
      </c>
      <c r="P847" t="str">
        <f t="shared" si="109"/>
        <v>Text Error</v>
      </c>
      <c r="Q847" s="5">
        <v>46033.654942129629</v>
      </c>
      <c r="R847" t="str">
        <f t="shared" si="110"/>
        <v>Valid Date</v>
      </c>
      <c r="S847" t="s">
        <v>2881</v>
      </c>
      <c r="T847" s="5">
        <v>46033.661238425928</v>
      </c>
      <c r="U847">
        <v>0</v>
      </c>
      <c r="V847" t="str">
        <f t="shared" si="111"/>
        <v>OK</v>
      </c>
      <c r="W847" t="s">
        <v>25</v>
      </c>
      <c r="Y847" t="s">
        <v>30</v>
      </c>
    </row>
    <row r="848" spans="1:25" x14ac:dyDescent="0.25">
      <c r="A848" t="s">
        <v>2882</v>
      </c>
      <c r="B848" t="str">
        <f t="shared" si="105"/>
        <v>Joyce Josephat Buhaga</v>
      </c>
      <c r="C848">
        <v>24020</v>
      </c>
      <c r="D848" t="str">
        <f t="shared" si="104"/>
        <v>Unique</v>
      </c>
      <c r="E848" t="s">
        <v>281</v>
      </c>
      <c r="F848" s="3">
        <f t="shared" si="106"/>
        <v>36</v>
      </c>
      <c r="G848" t="s">
        <v>32</v>
      </c>
      <c r="H848" t="str">
        <f t="shared" si="107"/>
        <v>Valid</v>
      </c>
      <c r="I848" t="s">
        <v>227</v>
      </c>
      <c r="J848" t="str">
        <f t="shared" si="108"/>
        <v>KGG</v>
      </c>
      <c r="K848" t="s">
        <v>40</v>
      </c>
      <c r="L848" t="str" cm="1">
        <f t="array" ref="L848">_xlfn.IFS(
ISNUMBER(SEARCH("ICU",K848)), "ICU",
ISNUMBER(SEARCH("NEONATAL",K848)), PROPER("NEONATAL"),
ISNUMBER(SEARCH("LABOUR",K848)), PROPER("LABOUR"),
ISNUMBER(SEARCH("PAEDIATRIC",K848)), PROPER("PAEDIATRIC"),
ISNUMBER(SEARCH("FEMALE SURGICAL",K848)), PROPER("FEMALE SURG, ORTHO &amp; GYN"),
ISNUMBER(SEARCH("PSYCHIATRIST",K848)), PROPER("PSYCHIATRIST"),
ISNUMBER(SEARCH("GRADE 1",K848)), PROPER("GRADE 1"),
ISNUMBER(SEARCH("MALE SURGICAL",K848)), PROPER("MALE SURG &amp; ORTHOPEDIC"),
ISNUMBER(SEARCH("MALE MEDICAL",K848)), PROPER("MALE MEDICAL"),
ISNUMBER(SEARCH("GRADE 2",K848)), PROPER("GRADE 2"),
ISNUMBER(SEARCH("FEMALE WARD",K848)), PROPER("FEMALE MEDICAL"),
TRUE, "Unmapped: " &amp; K848)</f>
        <v>Labour</v>
      </c>
      <c r="M848" t="s">
        <v>394</v>
      </c>
      <c r="O848" t="s">
        <v>2883</v>
      </c>
      <c r="P848" t="str">
        <f t="shared" si="109"/>
        <v>Text Error</v>
      </c>
      <c r="Q848" s="5">
        <v>46034.559016203704</v>
      </c>
      <c r="R848" t="str">
        <f t="shared" si="110"/>
        <v>Valid Date</v>
      </c>
      <c r="S848" t="s">
        <v>2884</v>
      </c>
      <c r="T848" s="5">
        <v>46034.599861111114</v>
      </c>
      <c r="U848">
        <v>0</v>
      </c>
      <c r="V848" t="str">
        <f t="shared" si="111"/>
        <v>OK</v>
      </c>
      <c r="W848" t="s">
        <v>25</v>
      </c>
      <c r="Y848" t="s">
        <v>30</v>
      </c>
    </row>
    <row r="849" spans="1:25" x14ac:dyDescent="0.25">
      <c r="A849" t="s">
        <v>2885</v>
      </c>
      <c r="B849" t="str">
        <f t="shared" si="105"/>
        <v>Rahabu Amani Hiza</v>
      </c>
      <c r="C849">
        <v>56128</v>
      </c>
      <c r="D849" t="str">
        <f t="shared" si="104"/>
        <v>Unique</v>
      </c>
      <c r="E849" t="s">
        <v>614</v>
      </c>
      <c r="F849" s="3">
        <f t="shared" si="106"/>
        <v>43</v>
      </c>
      <c r="G849" t="s">
        <v>32</v>
      </c>
      <c r="H849" t="str">
        <f t="shared" si="107"/>
        <v>Valid</v>
      </c>
      <c r="I849" t="s">
        <v>227</v>
      </c>
      <c r="J849" t="str">
        <f t="shared" si="108"/>
        <v>KGG</v>
      </c>
      <c r="K849" t="s">
        <v>700</v>
      </c>
      <c r="L849" t="str" cm="1">
        <f t="array" ref="L849">_xlfn.IFS(
ISNUMBER(SEARCH("ICU",K849)), "ICU",
ISNUMBER(SEARCH("NEONATAL",K849)), PROPER("NEONATAL"),
ISNUMBER(SEARCH("LABOUR",K849)), PROPER("LABOUR"),
ISNUMBER(SEARCH("PAEDIATRIC",K849)), PROPER("PAEDIATRIC"),
ISNUMBER(SEARCH("FEMALE SURGICAL",K849)), PROPER("FEMALE SURG, ORTHO &amp; GYN"),
ISNUMBER(SEARCH("PSYCHIATRIST",K849)), PROPER("PSYCHIATRIST"),
ISNUMBER(SEARCH("GRADE 1",K849)), PROPER("GRADE 1"),
ISNUMBER(SEARCH("MALE SURGICAL",K849)), PROPER("MALE SURG &amp; ORTHOPEDIC"),
ISNUMBER(SEARCH("MALE MEDICAL",K849)), PROPER("MALE MEDICAL"),
ISNUMBER(SEARCH("GRADE 2",K849)), PROPER("GRADE 2"),
ISNUMBER(SEARCH("FEMALE WARD",K849)), PROPER("FEMALE MEDICAL"),
TRUE, "Unmapped: " &amp; K849)</f>
        <v>Female Medical</v>
      </c>
      <c r="M849" t="s">
        <v>22</v>
      </c>
      <c r="O849" t="s">
        <v>2886</v>
      </c>
      <c r="P849" t="str">
        <f t="shared" si="109"/>
        <v>Text Error</v>
      </c>
      <c r="Q849" s="5">
        <v>46034.713483796295</v>
      </c>
      <c r="R849" t="str">
        <f t="shared" si="110"/>
        <v>Valid Date</v>
      </c>
      <c r="S849" t="s">
        <v>2887</v>
      </c>
      <c r="T849" s="5">
        <v>46035.638796296298</v>
      </c>
      <c r="U849">
        <v>0</v>
      </c>
      <c r="V849" t="str">
        <f t="shared" si="111"/>
        <v>OK</v>
      </c>
      <c r="W849" t="s">
        <v>25</v>
      </c>
      <c r="Y849" t="s">
        <v>30</v>
      </c>
    </row>
    <row r="850" spans="1:25" x14ac:dyDescent="0.25">
      <c r="A850" t="s">
        <v>2889</v>
      </c>
      <c r="B850" t="str">
        <f t="shared" si="105"/>
        <v>Nyanzala Lusesa Mahahila</v>
      </c>
      <c r="C850">
        <v>69691</v>
      </c>
      <c r="D850" t="str">
        <f t="shared" si="104"/>
        <v>Unique</v>
      </c>
      <c r="E850" t="s">
        <v>86</v>
      </c>
      <c r="F850" s="3">
        <f t="shared" si="106"/>
        <v>23</v>
      </c>
      <c r="G850" t="s">
        <v>32</v>
      </c>
      <c r="H850" t="str">
        <f t="shared" si="107"/>
        <v>Valid</v>
      </c>
      <c r="I850" t="s">
        <v>227</v>
      </c>
      <c r="J850" t="str">
        <f t="shared" si="108"/>
        <v>KGG</v>
      </c>
      <c r="K850" t="s">
        <v>40</v>
      </c>
      <c r="L850" t="str" cm="1">
        <f t="array" ref="L850">_xlfn.IFS(
ISNUMBER(SEARCH("ICU",K850)), "ICU",
ISNUMBER(SEARCH("NEONATAL",K850)), PROPER("NEONATAL"),
ISNUMBER(SEARCH("LABOUR",K850)), PROPER("LABOUR"),
ISNUMBER(SEARCH("PAEDIATRIC",K850)), PROPER("PAEDIATRIC"),
ISNUMBER(SEARCH("FEMALE SURGICAL",K850)), PROPER("FEMALE SURG, ORTHO &amp; GYN"),
ISNUMBER(SEARCH("PSYCHIATRIST",K850)), PROPER("PSYCHIATRIST"),
ISNUMBER(SEARCH("GRADE 1",K850)), PROPER("GRADE 1"),
ISNUMBER(SEARCH("MALE SURGICAL",K850)), PROPER("MALE SURG &amp; ORTHOPEDIC"),
ISNUMBER(SEARCH("MALE MEDICAL",K850)), PROPER("MALE MEDICAL"),
ISNUMBER(SEARCH("GRADE 2",K850)), PROPER("GRADE 2"),
ISNUMBER(SEARCH("FEMALE WARD",K850)), PROPER("FEMALE MEDICAL"),
TRUE, "Unmapped: " &amp; K850)</f>
        <v>Labour</v>
      </c>
      <c r="M850" t="s">
        <v>22</v>
      </c>
      <c r="O850" t="s">
        <v>2890</v>
      </c>
      <c r="P850" t="str">
        <f t="shared" si="109"/>
        <v>Text Error</v>
      </c>
      <c r="Q850" s="5">
        <v>46034.852511574078</v>
      </c>
      <c r="R850" t="str">
        <f t="shared" si="110"/>
        <v>Valid Date</v>
      </c>
      <c r="S850" t="s">
        <v>2891</v>
      </c>
      <c r="T850" s="5">
        <v>46035.680775462963</v>
      </c>
      <c r="U850">
        <v>0</v>
      </c>
      <c r="V850" t="str">
        <f t="shared" si="111"/>
        <v>OK</v>
      </c>
      <c r="W850" t="s">
        <v>25</v>
      </c>
      <c r="Y850" t="s">
        <v>30</v>
      </c>
    </row>
    <row r="851" spans="1:25" x14ac:dyDescent="0.25">
      <c r="A851" t="s">
        <v>2892</v>
      </c>
      <c r="B851" t="str">
        <f t="shared" si="105"/>
        <v>Mariam Juma Rashid</v>
      </c>
      <c r="C851">
        <v>17142</v>
      </c>
      <c r="D851" t="str">
        <f t="shared" si="104"/>
        <v>Unique</v>
      </c>
      <c r="E851" t="s">
        <v>530</v>
      </c>
      <c r="F851" s="3">
        <f t="shared" si="106"/>
        <v>34</v>
      </c>
      <c r="G851" t="s">
        <v>32</v>
      </c>
      <c r="H851" t="str">
        <f t="shared" si="107"/>
        <v>Valid</v>
      </c>
      <c r="I851" t="s">
        <v>33</v>
      </c>
      <c r="J851" t="str">
        <f t="shared" si="108"/>
        <v>Kigoma Ujiji Mc</v>
      </c>
      <c r="K851" t="s">
        <v>700</v>
      </c>
      <c r="L851" t="str" cm="1">
        <f t="array" ref="L851">_xlfn.IFS(
ISNUMBER(SEARCH("ICU",K851)), "ICU",
ISNUMBER(SEARCH("NEONATAL",K851)), PROPER("NEONATAL"),
ISNUMBER(SEARCH("LABOUR",K851)), PROPER("LABOUR"),
ISNUMBER(SEARCH("PAEDIATRIC",K851)), PROPER("PAEDIATRIC"),
ISNUMBER(SEARCH("FEMALE SURGICAL",K851)), PROPER("FEMALE SURG, ORTHO &amp; GYN"),
ISNUMBER(SEARCH("PSYCHIATRIST",K851)), PROPER("PSYCHIATRIST"),
ISNUMBER(SEARCH("GRADE 1",K851)), PROPER("GRADE 1"),
ISNUMBER(SEARCH("MALE SURGICAL",K851)), PROPER("MALE SURG &amp; ORTHOPEDIC"),
ISNUMBER(SEARCH("MALE MEDICAL",K851)), PROPER("MALE MEDICAL"),
ISNUMBER(SEARCH("GRADE 2",K851)), PROPER("GRADE 2"),
ISNUMBER(SEARCH("FEMALE WARD",K851)), PROPER("FEMALE MEDICAL"),
TRUE, "Unmapped: " &amp; K851)</f>
        <v>Female Medical</v>
      </c>
      <c r="M851" t="s">
        <v>22</v>
      </c>
      <c r="O851" t="s">
        <v>2893</v>
      </c>
      <c r="P851" t="str">
        <f t="shared" si="109"/>
        <v>Text Error</v>
      </c>
      <c r="Q851" s="5">
        <v>46034.953217592592</v>
      </c>
      <c r="R851" t="str">
        <f t="shared" si="110"/>
        <v>Valid Date</v>
      </c>
      <c r="S851" t="s">
        <v>2894</v>
      </c>
      <c r="T851" s="5">
        <v>46035.825949074075</v>
      </c>
      <c r="U851">
        <v>0</v>
      </c>
      <c r="V851" t="str">
        <f t="shared" si="111"/>
        <v>OK</v>
      </c>
      <c r="W851" t="s">
        <v>25</v>
      </c>
      <c r="Y851" t="s">
        <v>30</v>
      </c>
    </row>
    <row r="852" spans="1:25" x14ac:dyDescent="0.25">
      <c r="A852" t="s">
        <v>2895</v>
      </c>
      <c r="B852" t="str">
        <f t="shared" si="105"/>
        <v>Rahabu Richard Abednego</v>
      </c>
      <c r="C852">
        <v>89965</v>
      </c>
      <c r="D852" t="str">
        <f t="shared" si="104"/>
        <v>Unique</v>
      </c>
      <c r="E852" t="s">
        <v>296</v>
      </c>
      <c r="F852" s="3">
        <f t="shared" si="106"/>
        <v>26</v>
      </c>
      <c r="G852" t="s">
        <v>32</v>
      </c>
      <c r="H852" t="str">
        <f t="shared" si="107"/>
        <v>Valid</v>
      </c>
      <c r="I852" t="s">
        <v>260</v>
      </c>
      <c r="J852" t="str">
        <f t="shared" si="108"/>
        <v>Kasulu</v>
      </c>
      <c r="K852" t="s">
        <v>40</v>
      </c>
      <c r="L852" t="str" cm="1">
        <f t="array" ref="L852">_xlfn.IFS(
ISNUMBER(SEARCH("ICU",K852)), "ICU",
ISNUMBER(SEARCH("NEONATAL",K852)), PROPER("NEONATAL"),
ISNUMBER(SEARCH("LABOUR",K852)), PROPER("LABOUR"),
ISNUMBER(SEARCH("PAEDIATRIC",K852)), PROPER("PAEDIATRIC"),
ISNUMBER(SEARCH("FEMALE SURGICAL",K852)), PROPER("FEMALE SURG, ORTHO &amp; GYN"),
ISNUMBER(SEARCH("PSYCHIATRIST",K852)), PROPER("PSYCHIATRIST"),
ISNUMBER(SEARCH("GRADE 1",K852)), PROPER("GRADE 1"),
ISNUMBER(SEARCH("MALE SURGICAL",K852)), PROPER("MALE SURG &amp; ORTHOPEDIC"),
ISNUMBER(SEARCH("MALE MEDICAL",K852)), PROPER("MALE MEDICAL"),
ISNUMBER(SEARCH("GRADE 2",K852)), PROPER("GRADE 2"),
ISNUMBER(SEARCH("FEMALE WARD",K852)), PROPER("FEMALE MEDICAL"),
TRUE, "Unmapped: " &amp; K852)</f>
        <v>Labour</v>
      </c>
      <c r="M852" t="s">
        <v>22</v>
      </c>
      <c r="O852" t="s">
        <v>2896</v>
      </c>
      <c r="P852" t="str">
        <f t="shared" si="109"/>
        <v>Text Error</v>
      </c>
      <c r="Q852" s="5">
        <v>46034.960266203707</v>
      </c>
      <c r="R852" t="str">
        <f t="shared" si="110"/>
        <v>Valid Date</v>
      </c>
      <c r="S852" t="s">
        <v>2897</v>
      </c>
      <c r="T852" s="5">
        <v>46035.703553240739</v>
      </c>
      <c r="U852">
        <v>0</v>
      </c>
      <c r="V852" t="str">
        <f t="shared" si="111"/>
        <v>OK</v>
      </c>
      <c r="W852" t="s">
        <v>25</v>
      </c>
      <c r="Y852" t="s">
        <v>30</v>
      </c>
    </row>
    <row r="853" spans="1:25" x14ac:dyDescent="0.25">
      <c r="A853" t="s">
        <v>2898</v>
      </c>
      <c r="B853" t="str">
        <f t="shared" si="105"/>
        <v>Josephine S Kanyomeye</v>
      </c>
      <c r="C853">
        <v>128176</v>
      </c>
      <c r="D853" t="str">
        <f t="shared" si="104"/>
        <v>Unique</v>
      </c>
      <c r="E853" t="s">
        <v>400</v>
      </c>
      <c r="F853" s="3">
        <f t="shared" si="106"/>
        <v>39</v>
      </c>
      <c r="G853" t="s">
        <v>32</v>
      </c>
      <c r="H853" t="str">
        <f t="shared" si="107"/>
        <v>Valid</v>
      </c>
      <c r="I853" t="s">
        <v>33</v>
      </c>
      <c r="J853" t="str">
        <f t="shared" si="108"/>
        <v>Kigoma Ujiji Mc</v>
      </c>
      <c r="K853" t="s">
        <v>40</v>
      </c>
      <c r="L853" t="str" cm="1">
        <f t="array" ref="L853">_xlfn.IFS(
ISNUMBER(SEARCH("ICU",K853)), "ICU",
ISNUMBER(SEARCH("NEONATAL",K853)), PROPER("NEONATAL"),
ISNUMBER(SEARCH("LABOUR",K853)), PROPER("LABOUR"),
ISNUMBER(SEARCH("PAEDIATRIC",K853)), PROPER("PAEDIATRIC"),
ISNUMBER(SEARCH("FEMALE SURGICAL",K853)), PROPER("FEMALE SURG, ORTHO &amp; GYN"),
ISNUMBER(SEARCH("PSYCHIATRIST",K853)), PROPER("PSYCHIATRIST"),
ISNUMBER(SEARCH("GRADE 1",K853)), PROPER("GRADE 1"),
ISNUMBER(SEARCH("MALE SURGICAL",K853)), PROPER("MALE SURG &amp; ORTHOPEDIC"),
ISNUMBER(SEARCH("MALE MEDICAL",K853)), PROPER("MALE MEDICAL"),
ISNUMBER(SEARCH("GRADE 2",K853)), PROPER("GRADE 2"),
ISNUMBER(SEARCH("FEMALE WARD",K853)), PROPER("FEMALE MEDICAL"),
TRUE, "Unmapped: " &amp; K853)</f>
        <v>Labour</v>
      </c>
      <c r="M853" t="s">
        <v>394</v>
      </c>
      <c r="O853" t="s">
        <v>2899</v>
      </c>
      <c r="P853" t="str">
        <f t="shared" si="109"/>
        <v>Text Error</v>
      </c>
      <c r="Q853" s="5">
        <v>46035.036898148152</v>
      </c>
      <c r="R853" t="str">
        <f t="shared" si="110"/>
        <v>Valid Date</v>
      </c>
      <c r="S853" t="s">
        <v>2900</v>
      </c>
      <c r="T853" s="5">
        <v>46035.723749999997</v>
      </c>
      <c r="U853">
        <v>0</v>
      </c>
      <c r="V853" t="str">
        <f t="shared" si="111"/>
        <v>OK</v>
      </c>
      <c r="W853" t="s">
        <v>25</v>
      </c>
      <c r="Y853" t="s">
        <v>30</v>
      </c>
    </row>
    <row r="854" spans="1:25" x14ac:dyDescent="0.25">
      <c r="A854" t="s">
        <v>2901</v>
      </c>
      <c r="B854" t="str">
        <f t="shared" si="105"/>
        <v>Baby Of Rahma Juma Juma</v>
      </c>
      <c r="C854">
        <v>128225</v>
      </c>
      <c r="D854" t="str">
        <f t="shared" si="104"/>
        <v>Unique</v>
      </c>
      <c r="E854" t="s">
        <v>622</v>
      </c>
      <c r="F854" s="3" t="str">
        <f t="shared" si="106"/>
        <v>2/12</v>
      </c>
      <c r="G854" t="s">
        <v>32</v>
      </c>
      <c r="H854" t="str">
        <f t="shared" si="107"/>
        <v>Valid</v>
      </c>
      <c r="I854" t="s">
        <v>33</v>
      </c>
      <c r="J854" t="str">
        <f t="shared" si="108"/>
        <v>Kigoma Ujiji Mc</v>
      </c>
      <c r="K854" t="s">
        <v>21</v>
      </c>
      <c r="L854" t="str" cm="1">
        <f t="array" ref="L854">_xlfn.IFS(
ISNUMBER(SEARCH("ICU",K854)), "ICU",
ISNUMBER(SEARCH("NEONATAL",K854)), PROPER("NEONATAL"),
ISNUMBER(SEARCH("LABOUR",K854)), PROPER("LABOUR"),
ISNUMBER(SEARCH("PAEDIATRIC",K854)), PROPER("PAEDIATRIC"),
ISNUMBER(SEARCH("FEMALE SURGICAL",K854)), PROPER("FEMALE SURG, ORTHO &amp; GYN"),
ISNUMBER(SEARCH("PSYCHIATRIST",K854)), PROPER("PSYCHIATRIST"),
ISNUMBER(SEARCH("GRADE 1",K854)), PROPER("GRADE 1"),
ISNUMBER(SEARCH("MALE SURGICAL",K854)), PROPER("MALE SURG &amp; ORTHOPEDIC"),
ISNUMBER(SEARCH("MALE MEDICAL",K854)), PROPER("MALE MEDICAL"),
ISNUMBER(SEARCH("GRADE 2",K854)), PROPER("GRADE 2"),
ISNUMBER(SEARCH("FEMALE WARD",K854)), PROPER("FEMALE MEDICAL"),
TRUE, "Unmapped: " &amp; K854)</f>
        <v>Neonatal</v>
      </c>
      <c r="M854" t="s">
        <v>22</v>
      </c>
      <c r="O854" t="s">
        <v>2902</v>
      </c>
      <c r="P854" t="str">
        <f t="shared" si="109"/>
        <v>Text Error</v>
      </c>
      <c r="Q854" s="5">
        <v>46035.67359953704</v>
      </c>
      <c r="R854" t="str">
        <f t="shared" si="110"/>
        <v>Valid Date</v>
      </c>
      <c r="S854" t="s">
        <v>2903</v>
      </c>
      <c r="T854" s="5">
        <v>46035.737233796295</v>
      </c>
      <c r="U854">
        <v>0</v>
      </c>
      <c r="V854" t="str">
        <f t="shared" si="111"/>
        <v>OK</v>
      </c>
      <c r="W854" t="s">
        <v>25</v>
      </c>
      <c r="Y854" t="s">
        <v>30</v>
      </c>
    </row>
    <row r="855" spans="1:25" x14ac:dyDescent="0.25">
      <c r="A855" t="s">
        <v>2904</v>
      </c>
      <c r="B855" t="str">
        <f t="shared" si="105"/>
        <v>Ramla H Kubebo</v>
      </c>
      <c r="C855">
        <v>50801</v>
      </c>
      <c r="D855" t="str">
        <f t="shared" si="104"/>
        <v>Unique</v>
      </c>
      <c r="E855" t="s">
        <v>61</v>
      </c>
      <c r="F855" s="3">
        <f t="shared" si="106"/>
        <v>29</v>
      </c>
      <c r="G855" t="s">
        <v>32</v>
      </c>
      <c r="H855" t="str">
        <f t="shared" si="107"/>
        <v>Valid</v>
      </c>
      <c r="I855" t="s">
        <v>227</v>
      </c>
      <c r="J855" t="str">
        <f t="shared" si="108"/>
        <v>KGG</v>
      </c>
      <c r="K855" t="s">
        <v>700</v>
      </c>
      <c r="L855" t="str" cm="1">
        <f t="array" ref="L855">_xlfn.IFS(
ISNUMBER(SEARCH("ICU",K855)), "ICU",
ISNUMBER(SEARCH("NEONATAL",K855)), PROPER("NEONATAL"),
ISNUMBER(SEARCH("LABOUR",K855)), PROPER("LABOUR"),
ISNUMBER(SEARCH("PAEDIATRIC",K855)), PROPER("PAEDIATRIC"),
ISNUMBER(SEARCH("FEMALE SURGICAL",K855)), PROPER("FEMALE SURG, ORTHO &amp; GYN"),
ISNUMBER(SEARCH("PSYCHIATRIST",K855)), PROPER("PSYCHIATRIST"),
ISNUMBER(SEARCH("GRADE 1",K855)), PROPER("GRADE 1"),
ISNUMBER(SEARCH("MALE SURGICAL",K855)), PROPER("MALE SURG &amp; ORTHOPEDIC"),
ISNUMBER(SEARCH("MALE MEDICAL",K855)), PROPER("MALE MEDICAL"),
ISNUMBER(SEARCH("GRADE 2",K855)), PROPER("GRADE 2"),
ISNUMBER(SEARCH("FEMALE WARD",K855)), PROPER("FEMALE MEDICAL"),
TRUE, "Unmapped: " &amp; K855)</f>
        <v>Female Medical</v>
      </c>
      <c r="M855" t="s">
        <v>394</v>
      </c>
      <c r="O855" t="s">
        <v>2905</v>
      </c>
      <c r="P855" t="str">
        <f t="shared" si="109"/>
        <v>Text Error</v>
      </c>
      <c r="Q855" s="5">
        <v>46035.891168981485</v>
      </c>
      <c r="R855" t="str">
        <f t="shared" si="110"/>
        <v>Valid Date</v>
      </c>
      <c r="S855" t="s">
        <v>2906</v>
      </c>
      <c r="T855" s="5">
        <v>46036.557256944441</v>
      </c>
      <c r="U855">
        <v>0</v>
      </c>
      <c r="V855" t="str">
        <f t="shared" si="111"/>
        <v>OK</v>
      </c>
      <c r="W855" t="s">
        <v>25</v>
      </c>
      <c r="Y855" t="s">
        <v>30</v>
      </c>
    </row>
    <row r="856" spans="1:25" x14ac:dyDescent="0.25">
      <c r="A856" t="s">
        <v>2907</v>
      </c>
      <c r="B856" t="str">
        <f t="shared" si="105"/>
        <v>Naudela E Gama</v>
      </c>
      <c r="C856">
        <v>128320</v>
      </c>
      <c r="D856" t="str">
        <f t="shared" si="104"/>
        <v>Unique</v>
      </c>
      <c r="E856" t="s">
        <v>374</v>
      </c>
      <c r="F856" s="3">
        <f t="shared" si="106"/>
        <v>37</v>
      </c>
      <c r="G856" t="s">
        <v>32</v>
      </c>
      <c r="H856" t="str">
        <f t="shared" si="107"/>
        <v>Valid</v>
      </c>
      <c r="I856" t="s">
        <v>33</v>
      </c>
      <c r="J856" t="str">
        <f t="shared" si="108"/>
        <v>Kigoma Ujiji Mc</v>
      </c>
      <c r="K856" t="s">
        <v>40</v>
      </c>
      <c r="L856" t="str" cm="1">
        <f t="array" ref="L856">_xlfn.IFS(
ISNUMBER(SEARCH("ICU",K856)), "ICU",
ISNUMBER(SEARCH("NEONATAL",K856)), PROPER("NEONATAL"),
ISNUMBER(SEARCH("LABOUR",K856)), PROPER("LABOUR"),
ISNUMBER(SEARCH("PAEDIATRIC",K856)), PROPER("PAEDIATRIC"),
ISNUMBER(SEARCH("FEMALE SURGICAL",K856)), PROPER("FEMALE SURG, ORTHO &amp; GYN"),
ISNUMBER(SEARCH("PSYCHIATRIST",K856)), PROPER("PSYCHIATRIST"),
ISNUMBER(SEARCH("GRADE 1",K856)), PROPER("GRADE 1"),
ISNUMBER(SEARCH("MALE SURGICAL",K856)), PROPER("MALE SURG &amp; ORTHOPEDIC"),
ISNUMBER(SEARCH("MALE MEDICAL",K856)), PROPER("MALE MEDICAL"),
ISNUMBER(SEARCH("GRADE 2",K856)), PROPER("GRADE 2"),
ISNUMBER(SEARCH("FEMALE WARD",K856)), PROPER("FEMALE MEDICAL"),
TRUE, "Unmapped: " &amp; K856)</f>
        <v>Labour</v>
      </c>
      <c r="M856" t="s">
        <v>394</v>
      </c>
      <c r="O856" t="s">
        <v>2908</v>
      </c>
      <c r="P856" t="str">
        <f t="shared" si="109"/>
        <v>Text Error</v>
      </c>
      <c r="Q856" s="5">
        <v>46036.198622685188</v>
      </c>
      <c r="R856" t="str">
        <f t="shared" si="110"/>
        <v>Valid Date</v>
      </c>
      <c r="S856" t="s">
        <v>2909</v>
      </c>
      <c r="T856" s="5">
        <v>46036.643078703702</v>
      </c>
      <c r="U856">
        <v>0</v>
      </c>
      <c r="V856" t="str">
        <f t="shared" si="111"/>
        <v>OK</v>
      </c>
      <c r="W856" t="s">
        <v>25</v>
      </c>
      <c r="Y856" t="s">
        <v>30</v>
      </c>
    </row>
    <row r="857" spans="1:25" x14ac:dyDescent="0.25">
      <c r="A857" t="s">
        <v>2917</v>
      </c>
      <c r="B857" t="str">
        <f t="shared" si="105"/>
        <v>Happy Nahitaji Ahazi</v>
      </c>
      <c r="C857">
        <v>128146</v>
      </c>
      <c r="D857" t="str">
        <f t="shared" si="104"/>
        <v>Unique</v>
      </c>
      <c r="E857" t="s">
        <v>86</v>
      </c>
      <c r="F857" s="3">
        <f t="shared" si="106"/>
        <v>23</v>
      </c>
      <c r="G857" t="s">
        <v>32</v>
      </c>
      <c r="H857" t="str">
        <f t="shared" si="107"/>
        <v>Valid</v>
      </c>
      <c r="I857" t="s">
        <v>33</v>
      </c>
      <c r="J857" t="str">
        <f t="shared" si="108"/>
        <v>Kigoma Ujiji Mc</v>
      </c>
      <c r="K857" t="s">
        <v>40</v>
      </c>
      <c r="L857" t="str" cm="1">
        <f t="array" ref="L857">_xlfn.IFS(
ISNUMBER(SEARCH("ICU",K857)), "ICU",
ISNUMBER(SEARCH("NEONATAL",K857)), PROPER("NEONATAL"),
ISNUMBER(SEARCH("LABOUR",K857)), PROPER("LABOUR"),
ISNUMBER(SEARCH("PAEDIATRIC",K857)), PROPER("PAEDIATRIC"),
ISNUMBER(SEARCH("FEMALE SURGICAL",K857)), PROPER("FEMALE SURG, ORTHO &amp; GYN"),
ISNUMBER(SEARCH("PSYCHIATRIST",K857)), PROPER("PSYCHIATRIST"),
ISNUMBER(SEARCH("GRADE 1",K857)), PROPER("GRADE 1"),
ISNUMBER(SEARCH("MALE SURGICAL",K857)), PROPER("MALE SURG &amp; ORTHOPEDIC"),
ISNUMBER(SEARCH("MALE MEDICAL",K857)), PROPER("MALE MEDICAL"),
ISNUMBER(SEARCH("GRADE 2",K857)), PROPER("GRADE 2"),
ISNUMBER(SEARCH("FEMALE WARD",K857)), PROPER("FEMALE MEDICAL"),
TRUE, "Unmapped: " &amp; K857)</f>
        <v>Labour</v>
      </c>
      <c r="M857" t="s">
        <v>22</v>
      </c>
      <c r="O857" t="s">
        <v>2918</v>
      </c>
      <c r="P857" t="str">
        <f t="shared" si="109"/>
        <v>Text Error</v>
      </c>
      <c r="Q857" s="5">
        <v>46036.504305555558</v>
      </c>
      <c r="R857" t="str">
        <f t="shared" si="110"/>
        <v>Valid Date</v>
      </c>
      <c r="S857" t="s">
        <v>2919</v>
      </c>
      <c r="T857" s="5">
        <v>46037.374641203707</v>
      </c>
      <c r="U857">
        <v>0</v>
      </c>
      <c r="V857" t="str">
        <f t="shared" si="111"/>
        <v>OK</v>
      </c>
      <c r="W857" t="s">
        <v>25</v>
      </c>
      <c r="Y857" t="s">
        <v>30</v>
      </c>
    </row>
    <row r="858" spans="1:25" x14ac:dyDescent="0.25">
      <c r="A858" t="s">
        <v>2920</v>
      </c>
      <c r="B858" t="str">
        <f t="shared" si="105"/>
        <v>Kesi S Kamdanga</v>
      </c>
      <c r="C858">
        <v>37502</v>
      </c>
      <c r="D858" t="str">
        <f t="shared" si="104"/>
        <v>Unique</v>
      </c>
      <c r="E858" t="s">
        <v>713</v>
      </c>
      <c r="F858" s="3">
        <f t="shared" si="106"/>
        <v>55</v>
      </c>
      <c r="G858" t="s">
        <v>19</v>
      </c>
      <c r="H858" t="str">
        <f t="shared" si="107"/>
        <v>Valid</v>
      </c>
      <c r="I858" t="s">
        <v>227</v>
      </c>
      <c r="J858" t="str">
        <f t="shared" si="108"/>
        <v>KGG</v>
      </c>
      <c r="K858" t="s">
        <v>685</v>
      </c>
      <c r="L858" t="str" cm="1">
        <f t="array" ref="L858">_xlfn.IFS(
ISNUMBER(SEARCH("ICU",K858)), "ICU",
ISNUMBER(SEARCH("NEONATAL",K858)), PROPER("NEONATAL"),
ISNUMBER(SEARCH("LABOUR",K858)), PROPER("LABOUR"),
ISNUMBER(SEARCH("PAEDIATRIC",K858)), PROPER("PAEDIATRIC"),
ISNUMBER(SEARCH("FEMALE SURGICAL",K858)), PROPER("FEMALE SURG, ORTHO &amp; GYN"),
ISNUMBER(SEARCH("PSYCHIATRIST",K858)), PROPER("PSYCHIATRIST"),
ISNUMBER(SEARCH("GRADE 1",K858)), PROPER("GRADE 1"),
ISNUMBER(SEARCH("MALE SURGICAL",K858)), PROPER("MALE SURG &amp; ORTHOPEDIC"),
ISNUMBER(SEARCH("MALE MEDICAL",K858)), PROPER("MALE MEDICAL"),
ISNUMBER(SEARCH("GRADE 2",K858)), PROPER("GRADE 2"),
ISNUMBER(SEARCH("FEMALE WARD",K858)), PROPER("FEMALE MEDICAL"),
TRUE, "Unmapped: " &amp; K858)</f>
        <v>Grade 2</v>
      </c>
      <c r="M858" t="s">
        <v>394</v>
      </c>
      <c r="O858" t="s">
        <v>2921</v>
      </c>
      <c r="P858" t="str">
        <f t="shared" si="109"/>
        <v>Text Error</v>
      </c>
      <c r="Q858" s="5">
        <v>46036.542650462965</v>
      </c>
      <c r="R858" t="str">
        <f t="shared" si="110"/>
        <v>Valid Date</v>
      </c>
      <c r="S858" t="s">
        <v>2922</v>
      </c>
      <c r="T858" s="5">
        <v>46037.388460648152</v>
      </c>
      <c r="U858">
        <v>0</v>
      </c>
      <c r="V858" t="str">
        <f t="shared" si="111"/>
        <v>OK</v>
      </c>
      <c r="W858" t="s">
        <v>25</v>
      </c>
      <c r="Y858" t="s">
        <v>30</v>
      </c>
    </row>
    <row r="859" spans="1:25" x14ac:dyDescent="0.25">
      <c r="A859" t="s">
        <v>2923</v>
      </c>
      <c r="B859" t="str">
        <f t="shared" si="105"/>
        <v>Teresia Kashindi Hamisi</v>
      </c>
      <c r="C859">
        <v>128388</v>
      </c>
      <c r="D859" t="str">
        <f t="shared" si="104"/>
        <v>Unique</v>
      </c>
      <c r="E859" t="s">
        <v>353</v>
      </c>
      <c r="F859" s="3">
        <f t="shared" si="106"/>
        <v>4</v>
      </c>
      <c r="G859" t="s">
        <v>32</v>
      </c>
      <c r="H859" t="str">
        <f t="shared" si="107"/>
        <v>Valid</v>
      </c>
      <c r="I859" t="s">
        <v>62</v>
      </c>
      <c r="J859" t="str">
        <f t="shared" si="108"/>
        <v>Kigoma Vijijini</v>
      </c>
      <c r="K859" t="s">
        <v>109</v>
      </c>
      <c r="L859" t="str" cm="1">
        <f t="array" ref="L859">_xlfn.IFS(
ISNUMBER(SEARCH("ICU",K859)), "ICU",
ISNUMBER(SEARCH("NEONATAL",K859)), PROPER("NEONATAL"),
ISNUMBER(SEARCH("LABOUR",K859)), PROPER("LABOUR"),
ISNUMBER(SEARCH("PAEDIATRIC",K859)), PROPER("PAEDIATRIC"),
ISNUMBER(SEARCH("FEMALE SURGICAL",K859)), PROPER("FEMALE SURG, ORTHO &amp; GYN"),
ISNUMBER(SEARCH("PSYCHIATRIST",K859)), PROPER("PSYCHIATRIST"),
ISNUMBER(SEARCH("GRADE 1",K859)), PROPER("GRADE 1"),
ISNUMBER(SEARCH("MALE SURGICAL",K859)), PROPER("MALE SURG &amp; ORTHOPEDIC"),
ISNUMBER(SEARCH("MALE MEDICAL",K859)), PROPER("MALE MEDICAL"),
ISNUMBER(SEARCH("GRADE 2",K859)), PROPER("GRADE 2"),
ISNUMBER(SEARCH("FEMALE WARD",K859)), PROPER("FEMALE MEDICAL"),
TRUE, "Unmapped: " &amp; K859)</f>
        <v>Paediatric</v>
      </c>
      <c r="M859" t="s">
        <v>22</v>
      </c>
      <c r="O859" t="s">
        <v>2924</v>
      </c>
      <c r="P859" t="str">
        <f t="shared" si="109"/>
        <v>Text Error</v>
      </c>
      <c r="Q859" s="5">
        <v>46036.698449074072</v>
      </c>
      <c r="R859" t="str">
        <f t="shared" si="110"/>
        <v>Valid Date</v>
      </c>
      <c r="S859" t="s">
        <v>2925</v>
      </c>
      <c r="T859" s="5">
        <v>46037.464918981481</v>
      </c>
      <c r="U859">
        <v>0</v>
      </c>
      <c r="V859" t="str">
        <f t="shared" si="111"/>
        <v>OK</v>
      </c>
      <c r="W859" t="s">
        <v>211</v>
      </c>
      <c r="Y859" t="s">
        <v>30</v>
      </c>
    </row>
    <row r="860" spans="1:25" x14ac:dyDescent="0.25">
      <c r="A860" t="s">
        <v>2926</v>
      </c>
      <c r="B860" t="str">
        <f t="shared" si="105"/>
        <v>Prisca Thomas Raulent</v>
      </c>
      <c r="C860">
        <v>121377</v>
      </c>
      <c r="D860" t="str">
        <f t="shared" si="104"/>
        <v>Unique</v>
      </c>
      <c r="E860" t="s">
        <v>61</v>
      </c>
      <c r="F860" s="3">
        <f t="shared" si="106"/>
        <v>29</v>
      </c>
      <c r="G860" t="s">
        <v>32</v>
      </c>
      <c r="H860" t="str">
        <f t="shared" si="107"/>
        <v>Valid</v>
      </c>
      <c r="I860" t="s">
        <v>33</v>
      </c>
      <c r="J860" t="str">
        <f t="shared" si="108"/>
        <v>Kigoma Ujiji Mc</v>
      </c>
      <c r="K860" t="s">
        <v>40</v>
      </c>
      <c r="L860" t="str" cm="1">
        <f t="array" ref="L860">_xlfn.IFS(
ISNUMBER(SEARCH("ICU",K860)), "ICU",
ISNUMBER(SEARCH("NEONATAL",K860)), PROPER("NEONATAL"),
ISNUMBER(SEARCH("LABOUR",K860)), PROPER("LABOUR"),
ISNUMBER(SEARCH("PAEDIATRIC",K860)), PROPER("PAEDIATRIC"),
ISNUMBER(SEARCH("FEMALE SURGICAL",K860)), PROPER("FEMALE SURG, ORTHO &amp; GYN"),
ISNUMBER(SEARCH("PSYCHIATRIST",K860)), PROPER("PSYCHIATRIST"),
ISNUMBER(SEARCH("GRADE 1",K860)), PROPER("GRADE 1"),
ISNUMBER(SEARCH("MALE SURGICAL",K860)), PROPER("MALE SURG &amp; ORTHOPEDIC"),
ISNUMBER(SEARCH("MALE MEDICAL",K860)), PROPER("MALE MEDICAL"),
ISNUMBER(SEARCH("GRADE 2",K860)), PROPER("GRADE 2"),
ISNUMBER(SEARCH("FEMALE WARD",K860)), PROPER("FEMALE MEDICAL"),
TRUE, "Unmapped: " &amp; K860)</f>
        <v>Labour</v>
      </c>
      <c r="M860" t="s">
        <v>22</v>
      </c>
      <c r="O860" t="s">
        <v>2927</v>
      </c>
      <c r="P860" t="str">
        <f t="shared" si="109"/>
        <v>Text Error</v>
      </c>
      <c r="Q860" s="5">
        <v>46036.977037037039</v>
      </c>
      <c r="R860" t="str">
        <f t="shared" si="110"/>
        <v>Valid Date</v>
      </c>
      <c r="S860" t="s">
        <v>2928</v>
      </c>
      <c r="T860" s="5">
        <v>46037.634409722225</v>
      </c>
      <c r="U860">
        <v>0</v>
      </c>
      <c r="V860" t="str">
        <f t="shared" si="111"/>
        <v>OK</v>
      </c>
      <c r="W860" t="s">
        <v>25</v>
      </c>
      <c r="Y860" t="s">
        <v>30</v>
      </c>
    </row>
    <row r="861" spans="1:25" x14ac:dyDescent="0.25">
      <c r="A861" t="s">
        <v>2929</v>
      </c>
      <c r="B861" t="str">
        <f t="shared" si="105"/>
        <v>Odetha Noah Michael</v>
      </c>
      <c r="C861">
        <v>128471</v>
      </c>
      <c r="D861" t="str">
        <f t="shared" si="104"/>
        <v>Unique</v>
      </c>
      <c r="E861" t="s">
        <v>374</v>
      </c>
      <c r="F861" s="3">
        <f t="shared" si="106"/>
        <v>37</v>
      </c>
      <c r="G861" t="s">
        <v>32</v>
      </c>
      <c r="H861" t="str">
        <f t="shared" si="107"/>
        <v>Valid</v>
      </c>
      <c r="I861" t="s">
        <v>33</v>
      </c>
      <c r="J861" t="str">
        <f t="shared" si="108"/>
        <v>Kigoma Ujiji Mc</v>
      </c>
      <c r="K861" t="s">
        <v>40</v>
      </c>
      <c r="L861" t="str" cm="1">
        <f t="array" ref="L861">_xlfn.IFS(
ISNUMBER(SEARCH("ICU",K861)), "ICU",
ISNUMBER(SEARCH("NEONATAL",K861)), PROPER("NEONATAL"),
ISNUMBER(SEARCH("LABOUR",K861)), PROPER("LABOUR"),
ISNUMBER(SEARCH("PAEDIATRIC",K861)), PROPER("PAEDIATRIC"),
ISNUMBER(SEARCH("FEMALE SURGICAL",K861)), PROPER("FEMALE SURG, ORTHO &amp; GYN"),
ISNUMBER(SEARCH("PSYCHIATRIST",K861)), PROPER("PSYCHIATRIST"),
ISNUMBER(SEARCH("GRADE 1",K861)), PROPER("GRADE 1"),
ISNUMBER(SEARCH("MALE SURGICAL",K861)), PROPER("MALE SURG &amp; ORTHOPEDIC"),
ISNUMBER(SEARCH("MALE MEDICAL",K861)), PROPER("MALE MEDICAL"),
ISNUMBER(SEARCH("GRADE 2",K861)), PROPER("GRADE 2"),
ISNUMBER(SEARCH("FEMALE WARD",K861)), PROPER("FEMALE MEDICAL"),
TRUE, "Unmapped: " &amp; K861)</f>
        <v>Labour</v>
      </c>
      <c r="M861" t="s">
        <v>22</v>
      </c>
      <c r="O861" t="s">
        <v>2930</v>
      </c>
      <c r="P861" t="str">
        <f t="shared" si="109"/>
        <v>Text Error</v>
      </c>
      <c r="Q861" s="5">
        <v>46037.018333333333</v>
      </c>
      <c r="R861" t="str">
        <f t="shared" si="110"/>
        <v>Valid Date</v>
      </c>
      <c r="S861" t="s">
        <v>2931</v>
      </c>
      <c r="T861" s="5">
        <v>46037.696250000001</v>
      </c>
      <c r="U861">
        <v>0</v>
      </c>
      <c r="V861" t="str">
        <f t="shared" si="111"/>
        <v>OK</v>
      </c>
      <c r="W861" t="s">
        <v>25</v>
      </c>
      <c r="Y861" t="s">
        <v>30</v>
      </c>
    </row>
    <row r="862" spans="1:25" x14ac:dyDescent="0.25">
      <c r="A862" t="s">
        <v>1464</v>
      </c>
      <c r="B862" t="str">
        <f t="shared" si="105"/>
        <v>Aman Hamis Baruti</v>
      </c>
      <c r="C862">
        <v>13901</v>
      </c>
      <c r="D862" t="str">
        <f t="shared" si="104"/>
        <v>Duplicate</v>
      </c>
      <c r="E862" t="s">
        <v>74</v>
      </c>
      <c r="F862" s="3">
        <f t="shared" si="106"/>
        <v>35</v>
      </c>
      <c r="G862" t="s">
        <v>19</v>
      </c>
      <c r="H862" t="str">
        <f t="shared" si="107"/>
        <v>Valid</v>
      </c>
      <c r="I862" t="s">
        <v>754</v>
      </c>
      <c r="J862" t="str">
        <f t="shared" si="108"/>
        <v>KG</v>
      </c>
      <c r="K862" t="s">
        <v>685</v>
      </c>
      <c r="L862" t="str" cm="1">
        <f t="array" ref="L862">_xlfn.IFS(
ISNUMBER(SEARCH("ICU",K862)), "ICU",
ISNUMBER(SEARCH("NEONATAL",K862)), PROPER("NEONATAL"),
ISNUMBER(SEARCH("LABOUR",K862)), PROPER("LABOUR"),
ISNUMBER(SEARCH("PAEDIATRIC",K862)), PROPER("PAEDIATRIC"),
ISNUMBER(SEARCH("FEMALE SURGICAL",K862)), PROPER("FEMALE SURG, ORTHO &amp; GYN"),
ISNUMBER(SEARCH("PSYCHIATRIST",K862)), PROPER("PSYCHIATRIST"),
ISNUMBER(SEARCH("GRADE 1",K862)), PROPER("GRADE 1"),
ISNUMBER(SEARCH("MALE SURGICAL",K862)), PROPER("MALE SURG &amp; ORTHOPEDIC"),
ISNUMBER(SEARCH("MALE MEDICAL",K862)), PROPER("MALE MEDICAL"),
ISNUMBER(SEARCH("GRADE 2",K862)), PROPER("GRADE 2"),
ISNUMBER(SEARCH("FEMALE WARD",K862)), PROPER("FEMALE MEDICAL"),
TRUE, "Unmapped: " &amp; K862)</f>
        <v>Grade 2</v>
      </c>
      <c r="M862" t="s">
        <v>394</v>
      </c>
      <c r="O862" t="s">
        <v>2932</v>
      </c>
      <c r="P862" t="str">
        <f t="shared" si="109"/>
        <v>Text Error</v>
      </c>
      <c r="Q862" s="5">
        <v>46037.047986111109</v>
      </c>
      <c r="R862" t="str">
        <f t="shared" si="110"/>
        <v>Valid Date</v>
      </c>
      <c r="S862" t="s">
        <v>2933</v>
      </c>
      <c r="T862" s="5">
        <v>46037.659189814818</v>
      </c>
      <c r="U862">
        <v>0</v>
      </c>
      <c r="V862" t="str">
        <f t="shared" si="111"/>
        <v>OK</v>
      </c>
      <c r="W862" t="s">
        <v>25</v>
      </c>
      <c r="Y862" t="s">
        <v>30</v>
      </c>
    </row>
    <row r="863" spans="1:25" x14ac:dyDescent="0.25">
      <c r="A863" t="s">
        <v>2934</v>
      </c>
      <c r="B863" t="str">
        <f t="shared" si="105"/>
        <v>Heris Kalumbe Laulent</v>
      </c>
      <c r="C863">
        <v>128549</v>
      </c>
      <c r="D863" t="str">
        <f t="shared" si="104"/>
        <v>Unique</v>
      </c>
      <c r="E863" t="s">
        <v>622</v>
      </c>
      <c r="F863" s="3" t="str">
        <f t="shared" si="106"/>
        <v>2/12</v>
      </c>
      <c r="G863" t="s">
        <v>19</v>
      </c>
      <c r="H863" t="str">
        <f t="shared" si="107"/>
        <v>Valid</v>
      </c>
      <c r="I863" t="s">
        <v>33</v>
      </c>
      <c r="J863" t="str">
        <f t="shared" si="108"/>
        <v>Kigoma Ujiji Mc</v>
      </c>
      <c r="K863" t="s">
        <v>21</v>
      </c>
      <c r="L863" t="str" cm="1">
        <f t="array" ref="L863">_xlfn.IFS(
ISNUMBER(SEARCH("ICU",K863)), "ICU",
ISNUMBER(SEARCH("NEONATAL",K863)), PROPER("NEONATAL"),
ISNUMBER(SEARCH("LABOUR",K863)), PROPER("LABOUR"),
ISNUMBER(SEARCH("PAEDIATRIC",K863)), PROPER("PAEDIATRIC"),
ISNUMBER(SEARCH("FEMALE SURGICAL",K863)), PROPER("FEMALE SURG, ORTHO &amp; GYN"),
ISNUMBER(SEARCH("PSYCHIATRIST",K863)), PROPER("PSYCHIATRIST"),
ISNUMBER(SEARCH("GRADE 1",K863)), PROPER("GRADE 1"),
ISNUMBER(SEARCH("MALE SURGICAL",K863)), PROPER("MALE SURG &amp; ORTHOPEDIC"),
ISNUMBER(SEARCH("MALE MEDICAL",K863)), PROPER("MALE MEDICAL"),
ISNUMBER(SEARCH("GRADE 2",K863)), PROPER("GRADE 2"),
ISNUMBER(SEARCH("FEMALE WARD",K863)), PROPER("FEMALE MEDICAL"),
TRUE, "Unmapped: " &amp; K863)</f>
        <v>Neonatal</v>
      </c>
      <c r="M863" t="s">
        <v>22</v>
      </c>
      <c r="O863" t="s">
        <v>2935</v>
      </c>
      <c r="P863" t="str">
        <f t="shared" si="109"/>
        <v>Text Error</v>
      </c>
      <c r="Q863" s="5">
        <v>46037.723379629628</v>
      </c>
      <c r="R863" t="str">
        <f t="shared" si="110"/>
        <v>Valid Date</v>
      </c>
      <c r="S863" t="s">
        <v>2936</v>
      </c>
      <c r="T863" s="5">
        <v>46038.61991898148</v>
      </c>
      <c r="U863">
        <v>0</v>
      </c>
      <c r="V863" t="str">
        <f t="shared" si="111"/>
        <v>OK</v>
      </c>
      <c r="W863" t="s">
        <v>25</v>
      </c>
      <c r="Y863" t="s">
        <v>30</v>
      </c>
    </row>
    <row r="864" spans="1:25" x14ac:dyDescent="0.25">
      <c r="A864" t="s">
        <v>2937</v>
      </c>
      <c r="B864" t="str">
        <f t="shared" si="105"/>
        <v>Majaliwa Alhaji Rashidi</v>
      </c>
      <c r="C864">
        <v>16644</v>
      </c>
      <c r="D864" t="str">
        <f t="shared" si="104"/>
        <v>Unique</v>
      </c>
      <c r="E864" t="s">
        <v>1217</v>
      </c>
      <c r="F864" s="3">
        <f t="shared" si="106"/>
        <v>9</v>
      </c>
      <c r="G864" t="s">
        <v>19</v>
      </c>
      <c r="H864" t="str">
        <f t="shared" si="107"/>
        <v>Valid</v>
      </c>
      <c r="I864" t="s">
        <v>227</v>
      </c>
      <c r="J864" t="str">
        <f t="shared" si="108"/>
        <v>KGG</v>
      </c>
      <c r="K864" t="s">
        <v>109</v>
      </c>
      <c r="L864" t="str" cm="1">
        <f t="array" ref="L864">_xlfn.IFS(
ISNUMBER(SEARCH("ICU",K864)), "ICU",
ISNUMBER(SEARCH("NEONATAL",K864)), PROPER("NEONATAL"),
ISNUMBER(SEARCH("LABOUR",K864)), PROPER("LABOUR"),
ISNUMBER(SEARCH("PAEDIATRIC",K864)), PROPER("PAEDIATRIC"),
ISNUMBER(SEARCH("FEMALE SURGICAL",K864)), PROPER("FEMALE SURG, ORTHO &amp; GYN"),
ISNUMBER(SEARCH("PSYCHIATRIST",K864)), PROPER("PSYCHIATRIST"),
ISNUMBER(SEARCH("GRADE 1",K864)), PROPER("GRADE 1"),
ISNUMBER(SEARCH("MALE SURGICAL",K864)), PROPER("MALE SURG &amp; ORTHOPEDIC"),
ISNUMBER(SEARCH("MALE MEDICAL",K864)), PROPER("MALE MEDICAL"),
ISNUMBER(SEARCH("GRADE 2",K864)), PROPER("GRADE 2"),
ISNUMBER(SEARCH("FEMALE WARD",K864)), PROPER("FEMALE MEDICAL"),
TRUE, "Unmapped: " &amp; K864)</f>
        <v>Paediatric</v>
      </c>
      <c r="M864" t="s">
        <v>394</v>
      </c>
      <c r="O864" t="s">
        <v>2938</v>
      </c>
      <c r="P864" t="str">
        <f t="shared" si="109"/>
        <v>Text Error</v>
      </c>
      <c r="Q864" s="5">
        <v>46038.698923611111</v>
      </c>
      <c r="R864" t="str">
        <f t="shared" si="110"/>
        <v>Valid Date</v>
      </c>
      <c r="S864" t="s">
        <v>2939</v>
      </c>
      <c r="T864" s="5">
        <v>46039.599629629629</v>
      </c>
      <c r="U864">
        <v>0</v>
      </c>
      <c r="V864" t="str">
        <f t="shared" si="111"/>
        <v>OK</v>
      </c>
      <c r="W864" t="s">
        <v>25</v>
      </c>
      <c r="Y864" t="s">
        <v>30</v>
      </c>
    </row>
    <row r="865" spans="1:25" x14ac:dyDescent="0.25">
      <c r="A865" t="s">
        <v>2940</v>
      </c>
      <c r="B865" t="str">
        <f t="shared" si="105"/>
        <v>Gian Emmanuel Maganga</v>
      </c>
      <c r="C865">
        <v>112505</v>
      </c>
      <c r="D865" t="str">
        <f t="shared" si="104"/>
        <v>Unique</v>
      </c>
      <c r="E865" t="s">
        <v>18</v>
      </c>
      <c r="F865" s="3">
        <f t="shared" si="106"/>
        <v>1</v>
      </c>
      <c r="G865" t="s">
        <v>19</v>
      </c>
      <c r="H865" t="str">
        <f t="shared" si="107"/>
        <v>Valid</v>
      </c>
      <c r="I865" t="s">
        <v>62</v>
      </c>
      <c r="J865" t="str">
        <f t="shared" si="108"/>
        <v>Kigoma Vijijini</v>
      </c>
      <c r="K865" t="s">
        <v>109</v>
      </c>
      <c r="L865" t="str" cm="1">
        <f t="array" ref="L865">_xlfn.IFS(
ISNUMBER(SEARCH("ICU",K865)), "ICU",
ISNUMBER(SEARCH("NEONATAL",K865)), PROPER("NEONATAL"),
ISNUMBER(SEARCH("LABOUR",K865)), PROPER("LABOUR"),
ISNUMBER(SEARCH("PAEDIATRIC",K865)), PROPER("PAEDIATRIC"),
ISNUMBER(SEARCH("FEMALE SURGICAL",K865)), PROPER("FEMALE SURG, ORTHO &amp; GYN"),
ISNUMBER(SEARCH("PSYCHIATRIST",K865)), PROPER("PSYCHIATRIST"),
ISNUMBER(SEARCH("GRADE 1",K865)), PROPER("GRADE 1"),
ISNUMBER(SEARCH("MALE SURGICAL",K865)), PROPER("MALE SURG &amp; ORTHOPEDIC"),
ISNUMBER(SEARCH("MALE MEDICAL",K865)), PROPER("MALE MEDICAL"),
ISNUMBER(SEARCH("GRADE 2",K865)), PROPER("GRADE 2"),
ISNUMBER(SEARCH("FEMALE WARD",K865)), PROPER("FEMALE MEDICAL"),
TRUE, "Unmapped: " &amp; K865)</f>
        <v>Paediatric</v>
      </c>
      <c r="M865" t="s">
        <v>394</v>
      </c>
      <c r="O865" t="s">
        <v>2941</v>
      </c>
      <c r="P865" t="str">
        <f t="shared" si="109"/>
        <v>Text Error</v>
      </c>
      <c r="Q865" s="5">
        <v>46038.712650462963</v>
      </c>
      <c r="R865" t="str">
        <f t="shared" si="110"/>
        <v>Valid Date</v>
      </c>
      <c r="S865" t="s">
        <v>2942</v>
      </c>
      <c r="T865" s="5">
        <v>46039.62122685185</v>
      </c>
      <c r="U865">
        <v>0</v>
      </c>
      <c r="V865" t="str">
        <f t="shared" si="111"/>
        <v>OK</v>
      </c>
      <c r="W865" t="s">
        <v>25</v>
      </c>
      <c r="Y865" t="s">
        <v>30</v>
      </c>
    </row>
    <row r="866" spans="1:25" x14ac:dyDescent="0.25">
      <c r="A866" t="s">
        <v>2943</v>
      </c>
      <c r="B866" t="str">
        <f t="shared" si="105"/>
        <v>Retisia Peter Chipunugu</v>
      </c>
      <c r="C866">
        <v>128737</v>
      </c>
      <c r="D866" t="str">
        <f t="shared" si="104"/>
        <v>Unique</v>
      </c>
      <c r="E866" t="s">
        <v>554</v>
      </c>
      <c r="F866" s="3">
        <f t="shared" si="106"/>
        <v>56</v>
      </c>
      <c r="G866" t="s">
        <v>32</v>
      </c>
      <c r="H866" t="str">
        <f t="shared" si="107"/>
        <v>Valid</v>
      </c>
      <c r="I866" t="s">
        <v>20</v>
      </c>
      <c r="J866" t="str">
        <f t="shared" si="108"/>
        <v>Uvinza</v>
      </c>
      <c r="K866" t="s">
        <v>123</v>
      </c>
      <c r="L866" t="str" cm="1">
        <f t="array" ref="L866">_xlfn.IFS(
ISNUMBER(SEARCH("ICU",K866)), "ICU",
ISNUMBER(SEARCH("NEONATAL",K866)), PROPER("NEONATAL"),
ISNUMBER(SEARCH("LABOUR",K866)), PROPER("LABOUR"),
ISNUMBER(SEARCH("PAEDIATRIC",K866)), PROPER("PAEDIATRIC"),
ISNUMBER(SEARCH("FEMALE SURGICAL",K866)), PROPER("FEMALE SURG, ORTHO &amp; GYN"),
ISNUMBER(SEARCH("PSYCHIATRIST",K866)), PROPER("PSYCHIATRIST"),
ISNUMBER(SEARCH("GRADE 1",K866)), PROPER("GRADE 1"),
ISNUMBER(SEARCH("MALE SURGICAL",K866)), PROPER("MALE SURG &amp; ORTHOPEDIC"),
ISNUMBER(SEARCH("MALE MEDICAL",K866)), PROPER("MALE MEDICAL"),
ISNUMBER(SEARCH("GRADE 2",K866)), PROPER("GRADE 2"),
ISNUMBER(SEARCH("FEMALE WARD",K866)), PROPER("FEMALE MEDICAL"),
TRUE, "Unmapped: " &amp; K866)</f>
        <v>Female Surg, Ortho &amp; Gyn</v>
      </c>
      <c r="M866" t="s">
        <v>22</v>
      </c>
      <c r="O866" t="s">
        <v>2944</v>
      </c>
      <c r="P866" t="str">
        <f t="shared" si="109"/>
        <v>Text Error</v>
      </c>
      <c r="Q866" s="5">
        <v>46039.970150462963</v>
      </c>
      <c r="R866" t="str">
        <f t="shared" si="110"/>
        <v>Valid Date</v>
      </c>
      <c r="S866" t="s">
        <v>2945</v>
      </c>
      <c r="T866" s="5">
        <v>46040.761493055557</v>
      </c>
      <c r="U866">
        <v>0</v>
      </c>
      <c r="V866" t="str">
        <f t="shared" si="111"/>
        <v>OK</v>
      </c>
      <c r="W866" t="s">
        <v>25</v>
      </c>
      <c r="Y866" t="s">
        <v>30</v>
      </c>
    </row>
    <row r="867" spans="1:25" x14ac:dyDescent="0.25">
      <c r="A867" t="s">
        <v>2946</v>
      </c>
      <c r="B867" t="str">
        <f t="shared" si="105"/>
        <v>Edna J Makala</v>
      </c>
      <c r="C867">
        <v>128748</v>
      </c>
      <c r="D867" t="str">
        <f t="shared" si="104"/>
        <v>Unique</v>
      </c>
      <c r="E867" t="s">
        <v>122</v>
      </c>
      <c r="F867" s="3">
        <f t="shared" si="106"/>
        <v>40</v>
      </c>
      <c r="G867" t="s">
        <v>32</v>
      </c>
      <c r="H867" t="str">
        <f t="shared" si="107"/>
        <v>Valid</v>
      </c>
      <c r="I867" t="s">
        <v>33</v>
      </c>
      <c r="J867" t="str">
        <f t="shared" si="108"/>
        <v>Kigoma Ujiji Mc</v>
      </c>
      <c r="K867" t="s">
        <v>123</v>
      </c>
      <c r="L867" t="str" cm="1">
        <f t="array" ref="L867">_xlfn.IFS(
ISNUMBER(SEARCH("ICU",K867)), "ICU",
ISNUMBER(SEARCH("NEONATAL",K867)), PROPER("NEONATAL"),
ISNUMBER(SEARCH("LABOUR",K867)), PROPER("LABOUR"),
ISNUMBER(SEARCH("PAEDIATRIC",K867)), PROPER("PAEDIATRIC"),
ISNUMBER(SEARCH("FEMALE SURGICAL",K867)), PROPER("FEMALE SURG, ORTHO &amp; GYN"),
ISNUMBER(SEARCH("PSYCHIATRIST",K867)), PROPER("PSYCHIATRIST"),
ISNUMBER(SEARCH("GRADE 1",K867)), PROPER("GRADE 1"),
ISNUMBER(SEARCH("MALE SURGICAL",K867)), PROPER("MALE SURG &amp; ORTHOPEDIC"),
ISNUMBER(SEARCH("MALE MEDICAL",K867)), PROPER("MALE MEDICAL"),
ISNUMBER(SEARCH("GRADE 2",K867)), PROPER("GRADE 2"),
ISNUMBER(SEARCH("FEMALE WARD",K867)), PROPER("FEMALE MEDICAL"),
TRUE, "Unmapped: " &amp; K867)</f>
        <v>Female Surg, Ortho &amp; Gyn</v>
      </c>
      <c r="M867" t="s">
        <v>394</v>
      </c>
      <c r="O867" t="s">
        <v>2947</v>
      </c>
      <c r="P867" t="str">
        <f t="shared" si="109"/>
        <v>Text Error</v>
      </c>
      <c r="Q867" s="5">
        <v>46040.202303240738</v>
      </c>
      <c r="R867" t="str">
        <f t="shared" si="110"/>
        <v>Valid Date</v>
      </c>
      <c r="S867" t="s">
        <v>2948</v>
      </c>
      <c r="T867" s="5">
        <v>46040.76494212963</v>
      </c>
      <c r="U867">
        <v>0</v>
      </c>
      <c r="V867" t="str">
        <f t="shared" si="111"/>
        <v>OK</v>
      </c>
      <c r="W867" t="s">
        <v>25</v>
      </c>
      <c r="Y867" t="s">
        <v>30</v>
      </c>
    </row>
    <row r="868" spans="1:25" x14ac:dyDescent="0.25">
      <c r="A868" t="s">
        <v>2949</v>
      </c>
      <c r="B868" t="str">
        <f t="shared" si="105"/>
        <v>Selemani Mtumo Kasimu</v>
      </c>
      <c r="C868">
        <v>16268</v>
      </c>
      <c r="D868" t="str">
        <f t="shared" si="104"/>
        <v>Unique</v>
      </c>
      <c r="E868" t="s">
        <v>601</v>
      </c>
      <c r="F868" s="3">
        <f t="shared" si="106"/>
        <v>17</v>
      </c>
      <c r="G868" t="s">
        <v>19</v>
      </c>
      <c r="H868" t="str">
        <f t="shared" si="107"/>
        <v>Valid</v>
      </c>
      <c r="I868" t="s">
        <v>227</v>
      </c>
      <c r="J868" t="str">
        <f t="shared" si="108"/>
        <v>KGG</v>
      </c>
      <c r="K868" t="s">
        <v>484</v>
      </c>
      <c r="L868" t="str" cm="1">
        <f t="array" ref="L868">_xlfn.IFS(
ISNUMBER(SEARCH("ICU",K868)), "ICU",
ISNUMBER(SEARCH("NEONATAL",K868)), PROPER("NEONATAL"),
ISNUMBER(SEARCH("LABOUR",K868)), PROPER("LABOUR"),
ISNUMBER(SEARCH("PAEDIATRIC",K868)), PROPER("PAEDIATRIC"),
ISNUMBER(SEARCH("FEMALE SURGICAL",K868)), PROPER("FEMALE SURG, ORTHO &amp; GYN"),
ISNUMBER(SEARCH("PSYCHIATRIST",K868)), PROPER("PSYCHIATRIST"),
ISNUMBER(SEARCH("GRADE 1",K868)), PROPER("GRADE 1"),
ISNUMBER(SEARCH("MALE SURGICAL",K868)), PROPER("MALE SURG &amp; ORTHOPEDIC"),
ISNUMBER(SEARCH("MALE MEDICAL",K868)), PROPER("MALE MEDICAL"),
ISNUMBER(SEARCH("GRADE 2",K868)), PROPER("GRADE 2"),
ISNUMBER(SEARCH("FEMALE WARD",K868)), PROPER("FEMALE MEDICAL"),
TRUE, "Unmapped: " &amp; K868)</f>
        <v>Male Medical</v>
      </c>
      <c r="M868" t="s">
        <v>22</v>
      </c>
      <c r="O868" t="s">
        <v>2950</v>
      </c>
      <c r="P868" t="str">
        <f t="shared" si="109"/>
        <v>Text Error</v>
      </c>
      <c r="Q868" s="5">
        <v>46040.647245370368</v>
      </c>
      <c r="R868" t="str">
        <f t="shared" si="110"/>
        <v>Valid Date</v>
      </c>
      <c r="S868" t="s">
        <v>2951</v>
      </c>
      <c r="T868" s="5">
        <v>46041.585150462961</v>
      </c>
      <c r="U868">
        <v>0</v>
      </c>
      <c r="V868" t="str">
        <f t="shared" si="111"/>
        <v>OK</v>
      </c>
      <c r="W868" t="s">
        <v>25</v>
      </c>
      <c r="Y868" t="s">
        <v>30</v>
      </c>
    </row>
    <row r="869" spans="1:25" x14ac:dyDescent="0.25">
      <c r="A869" t="s">
        <v>2238</v>
      </c>
      <c r="B869" t="str">
        <f t="shared" si="105"/>
        <v>Agnes M Maingu</v>
      </c>
      <c r="C869">
        <v>31160</v>
      </c>
      <c r="D869" t="str">
        <f t="shared" si="104"/>
        <v>Duplicate</v>
      </c>
      <c r="E869" t="s">
        <v>454</v>
      </c>
      <c r="F869" s="3">
        <f t="shared" si="106"/>
        <v>3</v>
      </c>
      <c r="G869" t="s">
        <v>32</v>
      </c>
      <c r="H869" t="str">
        <f t="shared" si="107"/>
        <v>Valid</v>
      </c>
      <c r="I869" t="s">
        <v>227</v>
      </c>
      <c r="J869" t="str">
        <f t="shared" si="108"/>
        <v>KGG</v>
      </c>
      <c r="K869" t="s">
        <v>109</v>
      </c>
      <c r="L869" t="str" cm="1">
        <f t="array" ref="L869">_xlfn.IFS(
ISNUMBER(SEARCH("ICU",K869)), "ICU",
ISNUMBER(SEARCH("NEONATAL",K869)), PROPER("NEONATAL"),
ISNUMBER(SEARCH("LABOUR",K869)), PROPER("LABOUR"),
ISNUMBER(SEARCH("PAEDIATRIC",K869)), PROPER("PAEDIATRIC"),
ISNUMBER(SEARCH("FEMALE SURGICAL",K869)), PROPER("FEMALE SURG, ORTHO &amp; GYN"),
ISNUMBER(SEARCH("PSYCHIATRIST",K869)), PROPER("PSYCHIATRIST"),
ISNUMBER(SEARCH("GRADE 1",K869)), PROPER("GRADE 1"),
ISNUMBER(SEARCH("MALE SURGICAL",K869)), PROPER("MALE SURG &amp; ORTHOPEDIC"),
ISNUMBER(SEARCH("MALE MEDICAL",K869)), PROPER("MALE MEDICAL"),
ISNUMBER(SEARCH("GRADE 2",K869)), PROPER("GRADE 2"),
ISNUMBER(SEARCH("FEMALE WARD",K869)), PROPER("FEMALE MEDICAL"),
TRUE, "Unmapped: " &amp; K869)</f>
        <v>Paediatric</v>
      </c>
      <c r="M869" t="s">
        <v>394</v>
      </c>
      <c r="O869" t="s">
        <v>2952</v>
      </c>
      <c r="P869" t="str">
        <f t="shared" si="109"/>
        <v>Text Error</v>
      </c>
      <c r="Q869" s="5">
        <v>46040.772465277776</v>
      </c>
      <c r="R869" t="str">
        <f t="shared" si="110"/>
        <v>Valid Date</v>
      </c>
      <c r="S869" t="s">
        <v>2953</v>
      </c>
      <c r="T869" s="5">
        <v>46041.314097222225</v>
      </c>
      <c r="U869">
        <v>0</v>
      </c>
      <c r="V869" t="str">
        <f t="shared" si="111"/>
        <v>OK</v>
      </c>
      <c r="W869" t="s">
        <v>25</v>
      </c>
      <c r="Y869" t="s">
        <v>30</v>
      </c>
    </row>
    <row r="870" spans="1:25" x14ac:dyDescent="0.25">
      <c r="A870" t="s">
        <v>2954</v>
      </c>
      <c r="B870" t="str">
        <f t="shared" si="105"/>
        <v>Babyof Fatuma Mustafa Bagamika</v>
      </c>
      <c r="C870">
        <v>128783</v>
      </c>
      <c r="D870" t="str">
        <f t="shared" si="104"/>
        <v>Unique</v>
      </c>
      <c r="E870" t="s">
        <v>622</v>
      </c>
      <c r="F870" s="3" t="str">
        <f t="shared" si="106"/>
        <v>2/12</v>
      </c>
      <c r="G870" t="s">
        <v>19</v>
      </c>
      <c r="H870" t="str">
        <f t="shared" si="107"/>
        <v>Valid</v>
      </c>
      <c r="I870" t="s">
        <v>62</v>
      </c>
      <c r="J870" t="str">
        <f t="shared" si="108"/>
        <v>Kigoma Vijijini</v>
      </c>
      <c r="K870" t="s">
        <v>21</v>
      </c>
      <c r="L870" t="str" cm="1">
        <f t="array" ref="L870">_xlfn.IFS(
ISNUMBER(SEARCH("ICU",K870)), "ICU",
ISNUMBER(SEARCH("NEONATAL",K870)), PROPER("NEONATAL"),
ISNUMBER(SEARCH("LABOUR",K870)), PROPER("LABOUR"),
ISNUMBER(SEARCH("PAEDIATRIC",K870)), PROPER("PAEDIATRIC"),
ISNUMBER(SEARCH("FEMALE SURGICAL",K870)), PROPER("FEMALE SURG, ORTHO &amp; GYN"),
ISNUMBER(SEARCH("PSYCHIATRIST",K870)), PROPER("PSYCHIATRIST"),
ISNUMBER(SEARCH("GRADE 1",K870)), PROPER("GRADE 1"),
ISNUMBER(SEARCH("MALE SURGICAL",K870)), PROPER("MALE SURG &amp; ORTHOPEDIC"),
ISNUMBER(SEARCH("MALE MEDICAL",K870)), PROPER("MALE MEDICAL"),
ISNUMBER(SEARCH("GRADE 2",K870)), PROPER("GRADE 2"),
ISNUMBER(SEARCH("FEMALE WARD",K870)), PROPER("FEMALE MEDICAL"),
TRUE, "Unmapped: " &amp; K870)</f>
        <v>Neonatal</v>
      </c>
      <c r="M870" t="s">
        <v>22</v>
      </c>
      <c r="O870" t="s">
        <v>2955</v>
      </c>
      <c r="P870" t="str">
        <f t="shared" si="109"/>
        <v>Text Error</v>
      </c>
      <c r="Q870" s="5">
        <v>46040.852303240739</v>
      </c>
      <c r="R870" t="str">
        <f t="shared" si="110"/>
        <v>Valid Date</v>
      </c>
      <c r="S870" t="s">
        <v>2956</v>
      </c>
      <c r="T870" s="5">
        <v>46041.520370370374</v>
      </c>
      <c r="U870">
        <v>0</v>
      </c>
      <c r="V870" t="str">
        <f t="shared" si="111"/>
        <v>OK</v>
      </c>
      <c r="W870" t="s">
        <v>211</v>
      </c>
      <c r="Y870" t="s">
        <v>30</v>
      </c>
    </row>
    <row r="871" spans="1:25" x14ac:dyDescent="0.25">
      <c r="A871" t="s">
        <v>2957</v>
      </c>
      <c r="B871" t="str">
        <f t="shared" si="105"/>
        <v>Rose Akas Shayo</v>
      </c>
      <c r="C871">
        <v>34152</v>
      </c>
      <c r="D871" t="str">
        <f t="shared" si="104"/>
        <v>Unique</v>
      </c>
      <c r="E871" t="s">
        <v>54</v>
      </c>
      <c r="F871" s="3">
        <f t="shared" si="106"/>
        <v>21</v>
      </c>
      <c r="G871" t="s">
        <v>32</v>
      </c>
      <c r="H871" t="str">
        <f t="shared" si="107"/>
        <v>Valid</v>
      </c>
      <c r="I871" t="s">
        <v>227</v>
      </c>
      <c r="J871" t="str">
        <f t="shared" si="108"/>
        <v>KGG</v>
      </c>
      <c r="K871" t="s">
        <v>40</v>
      </c>
      <c r="L871" t="str" cm="1">
        <f t="array" ref="L871">_xlfn.IFS(
ISNUMBER(SEARCH("ICU",K871)), "ICU",
ISNUMBER(SEARCH("NEONATAL",K871)), PROPER("NEONATAL"),
ISNUMBER(SEARCH("LABOUR",K871)), PROPER("LABOUR"),
ISNUMBER(SEARCH("PAEDIATRIC",K871)), PROPER("PAEDIATRIC"),
ISNUMBER(SEARCH("FEMALE SURGICAL",K871)), PROPER("FEMALE SURG, ORTHO &amp; GYN"),
ISNUMBER(SEARCH("PSYCHIATRIST",K871)), PROPER("PSYCHIATRIST"),
ISNUMBER(SEARCH("GRADE 1",K871)), PROPER("GRADE 1"),
ISNUMBER(SEARCH("MALE SURGICAL",K871)), PROPER("MALE SURG &amp; ORTHOPEDIC"),
ISNUMBER(SEARCH("MALE MEDICAL",K871)), PROPER("MALE MEDICAL"),
ISNUMBER(SEARCH("GRADE 2",K871)), PROPER("GRADE 2"),
ISNUMBER(SEARCH("FEMALE WARD",K871)), PROPER("FEMALE MEDICAL"),
TRUE, "Unmapped: " &amp; K871)</f>
        <v>Labour</v>
      </c>
      <c r="M871" t="s">
        <v>22</v>
      </c>
      <c r="O871" t="s">
        <v>2958</v>
      </c>
      <c r="P871" t="str">
        <f t="shared" si="109"/>
        <v>Text Error</v>
      </c>
      <c r="Q871" s="5">
        <v>46041.133576388886</v>
      </c>
      <c r="R871" t="str">
        <f t="shared" si="110"/>
        <v>Valid Date</v>
      </c>
      <c r="S871" t="s">
        <v>2959</v>
      </c>
      <c r="T871" s="5">
        <v>46041.751134259262</v>
      </c>
      <c r="U871">
        <v>0</v>
      </c>
      <c r="V871" t="str">
        <f t="shared" si="111"/>
        <v>OK</v>
      </c>
      <c r="W871" t="s">
        <v>25</v>
      </c>
      <c r="Y871" t="s">
        <v>30</v>
      </c>
    </row>
    <row r="872" spans="1:25" x14ac:dyDescent="0.25">
      <c r="A872" t="s">
        <v>2960</v>
      </c>
      <c r="B872" t="str">
        <f t="shared" si="105"/>
        <v>Pendo Matias Marko</v>
      </c>
      <c r="C872">
        <v>128905</v>
      </c>
      <c r="D872" t="str">
        <f t="shared" si="104"/>
        <v>Unique</v>
      </c>
      <c r="E872" t="s">
        <v>61</v>
      </c>
      <c r="F872" s="3">
        <f t="shared" si="106"/>
        <v>29</v>
      </c>
      <c r="G872" t="s">
        <v>32</v>
      </c>
      <c r="H872" t="str">
        <f t="shared" si="107"/>
        <v>Valid</v>
      </c>
      <c r="I872" t="s">
        <v>260</v>
      </c>
      <c r="J872" t="str">
        <f t="shared" si="108"/>
        <v>Kasulu</v>
      </c>
      <c r="K872" t="s">
        <v>40</v>
      </c>
      <c r="L872" t="str" cm="1">
        <f t="array" ref="L872">_xlfn.IFS(
ISNUMBER(SEARCH("ICU",K872)), "ICU",
ISNUMBER(SEARCH("NEONATAL",K872)), PROPER("NEONATAL"),
ISNUMBER(SEARCH("LABOUR",K872)), PROPER("LABOUR"),
ISNUMBER(SEARCH("PAEDIATRIC",K872)), PROPER("PAEDIATRIC"),
ISNUMBER(SEARCH("FEMALE SURGICAL",K872)), PROPER("FEMALE SURG, ORTHO &amp; GYN"),
ISNUMBER(SEARCH("PSYCHIATRIST",K872)), PROPER("PSYCHIATRIST"),
ISNUMBER(SEARCH("GRADE 1",K872)), PROPER("GRADE 1"),
ISNUMBER(SEARCH("MALE SURGICAL",K872)), PROPER("MALE SURG &amp; ORTHOPEDIC"),
ISNUMBER(SEARCH("MALE MEDICAL",K872)), PROPER("MALE MEDICAL"),
ISNUMBER(SEARCH("GRADE 2",K872)), PROPER("GRADE 2"),
ISNUMBER(SEARCH("FEMALE WARD",K872)), PROPER("FEMALE MEDICAL"),
TRUE, "Unmapped: " &amp; K872)</f>
        <v>Labour</v>
      </c>
      <c r="M872" t="s">
        <v>22</v>
      </c>
      <c r="O872" t="s">
        <v>2961</v>
      </c>
      <c r="P872" t="str">
        <f t="shared" si="109"/>
        <v>Text Error</v>
      </c>
      <c r="Q872" s="5">
        <v>46041.668726851851</v>
      </c>
      <c r="R872" t="str">
        <f t="shared" si="110"/>
        <v>Valid Date</v>
      </c>
      <c r="S872" t="s">
        <v>2962</v>
      </c>
      <c r="T872" s="5">
        <v>46042.606111111112</v>
      </c>
      <c r="U872">
        <v>0</v>
      </c>
      <c r="V872" t="str">
        <f t="shared" si="111"/>
        <v>OK</v>
      </c>
      <c r="W872" t="s">
        <v>25</v>
      </c>
      <c r="Y872" t="s">
        <v>30</v>
      </c>
    </row>
    <row r="873" spans="1:25" x14ac:dyDescent="0.25">
      <c r="A873" t="s">
        <v>2963</v>
      </c>
      <c r="B873" t="str">
        <f t="shared" si="105"/>
        <v>Pili Moshi Kayela</v>
      </c>
      <c r="C873">
        <v>105220</v>
      </c>
      <c r="D873" t="str">
        <f t="shared" si="104"/>
        <v>Unique</v>
      </c>
      <c r="E873" t="s">
        <v>296</v>
      </c>
      <c r="F873" s="3">
        <f t="shared" si="106"/>
        <v>26</v>
      </c>
      <c r="G873" t="s">
        <v>32</v>
      </c>
      <c r="H873" t="str">
        <f t="shared" si="107"/>
        <v>Valid</v>
      </c>
      <c r="I873" t="s">
        <v>33</v>
      </c>
      <c r="J873" t="str">
        <f t="shared" si="108"/>
        <v>Kigoma Ujiji Mc</v>
      </c>
      <c r="K873" t="s">
        <v>40</v>
      </c>
      <c r="L873" t="str" cm="1">
        <f t="array" ref="L873">_xlfn.IFS(
ISNUMBER(SEARCH("ICU",K873)), "ICU",
ISNUMBER(SEARCH("NEONATAL",K873)), PROPER("NEONATAL"),
ISNUMBER(SEARCH("LABOUR",K873)), PROPER("LABOUR"),
ISNUMBER(SEARCH("PAEDIATRIC",K873)), PROPER("PAEDIATRIC"),
ISNUMBER(SEARCH("FEMALE SURGICAL",K873)), PROPER("FEMALE SURG, ORTHO &amp; GYN"),
ISNUMBER(SEARCH("PSYCHIATRIST",K873)), PROPER("PSYCHIATRIST"),
ISNUMBER(SEARCH("GRADE 1",K873)), PROPER("GRADE 1"),
ISNUMBER(SEARCH("MALE SURGICAL",K873)), PROPER("MALE SURG &amp; ORTHOPEDIC"),
ISNUMBER(SEARCH("MALE MEDICAL",K873)), PROPER("MALE MEDICAL"),
ISNUMBER(SEARCH("GRADE 2",K873)), PROPER("GRADE 2"),
ISNUMBER(SEARCH("FEMALE WARD",K873)), PROPER("FEMALE MEDICAL"),
TRUE, "Unmapped: " &amp; K873)</f>
        <v>Labour</v>
      </c>
      <c r="M873" t="s">
        <v>394</v>
      </c>
      <c r="O873" t="s">
        <v>2964</v>
      </c>
      <c r="P873" t="str">
        <f t="shared" si="109"/>
        <v>Text Error</v>
      </c>
      <c r="Q873" s="5">
        <v>46041.890127314815</v>
      </c>
      <c r="R873" t="str">
        <f t="shared" si="110"/>
        <v>Valid Date</v>
      </c>
      <c r="S873" t="s">
        <v>2965</v>
      </c>
      <c r="T873" s="5">
        <v>46042.472442129627</v>
      </c>
      <c r="U873">
        <v>0</v>
      </c>
      <c r="V873" t="str">
        <f t="shared" si="111"/>
        <v>OK</v>
      </c>
      <c r="W873" t="s">
        <v>25</v>
      </c>
      <c r="Y873" t="s">
        <v>30</v>
      </c>
    </row>
    <row r="874" spans="1:25" x14ac:dyDescent="0.25">
      <c r="A874" t="s">
        <v>2966</v>
      </c>
      <c r="B874" t="str">
        <f t="shared" si="105"/>
        <v>Nasra Hassan Abdi</v>
      </c>
      <c r="C874">
        <v>128976</v>
      </c>
      <c r="D874" t="str">
        <f t="shared" si="104"/>
        <v>Unique</v>
      </c>
      <c r="E874" t="s">
        <v>181</v>
      </c>
      <c r="F874" s="3">
        <f t="shared" si="106"/>
        <v>7</v>
      </c>
      <c r="G874" t="s">
        <v>32</v>
      </c>
      <c r="H874" t="str">
        <f t="shared" si="107"/>
        <v>Valid</v>
      </c>
      <c r="I874" t="s">
        <v>62</v>
      </c>
      <c r="J874" t="str">
        <f t="shared" si="108"/>
        <v>Kigoma Vijijini</v>
      </c>
      <c r="K874" t="s">
        <v>109</v>
      </c>
      <c r="L874" t="str" cm="1">
        <f t="array" ref="L874">_xlfn.IFS(
ISNUMBER(SEARCH("ICU",K874)), "ICU",
ISNUMBER(SEARCH("NEONATAL",K874)), PROPER("NEONATAL"),
ISNUMBER(SEARCH("LABOUR",K874)), PROPER("LABOUR"),
ISNUMBER(SEARCH("PAEDIATRIC",K874)), PROPER("PAEDIATRIC"),
ISNUMBER(SEARCH("FEMALE SURGICAL",K874)), PROPER("FEMALE SURG, ORTHO &amp; GYN"),
ISNUMBER(SEARCH("PSYCHIATRIST",K874)), PROPER("PSYCHIATRIST"),
ISNUMBER(SEARCH("GRADE 1",K874)), PROPER("GRADE 1"),
ISNUMBER(SEARCH("MALE SURGICAL",K874)), PROPER("MALE SURG &amp; ORTHOPEDIC"),
ISNUMBER(SEARCH("MALE MEDICAL",K874)), PROPER("MALE MEDICAL"),
ISNUMBER(SEARCH("GRADE 2",K874)), PROPER("GRADE 2"),
ISNUMBER(SEARCH("FEMALE WARD",K874)), PROPER("FEMALE MEDICAL"),
TRUE, "Unmapped: " &amp; K874)</f>
        <v>Paediatric</v>
      </c>
      <c r="M874" t="s">
        <v>22</v>
      </c>
      <c r="O874" t="s">
        <v>2967</v>
      </c>
      <c r="P874" t="str">
        <f t="shared" si="109"/>
        <v>Text Error</v>
      </c>
      <c r="Q874" s="5">
        <v>46042.391909722224</v>
      </c>
      <c r="R874" t="str">
        <f t="shared" si="110"/>
        <v>Valid Date</v>
      </c>
      <c r="S874" t="s">
        <v>2968</v>
      </c>
      <c r="T874" s="5">
        <v>46043.366979166669</v>
      </c>
      <c r="U874">
        <v>0</v>
      </c>
      <c r="V874" t="str">
        <f t="shared" si="111"/>
        <v>OK</v>
      </c>
      <c r="W874" t="s">
        <v>211</v>
      </c>
      <c r="Y874" t="s">
        <v>30</v>
      </c>
    </row>
    <row r="875" spans="1:25" x14ac:dyDescent="0.25">
      <c r="A875" t="s">
        <v>1798</v>
      </c>
      <c r="B875" t="str">
        <f t="shared" si="105"/>
        <v>Christina Samson Yesse</v>
      </c>
      <c r="C875">
        <v>123626</v>
      </c>
      <c r="D875" t="str">
        <f t="shared" si="104"/>
        <v>Duplicate</v>
      </c>
      <c r="E875" t="s">
        <v>541</v>
      </c>
      <c r="F875" s="3">
        <f t="shared" si="106"/>
        <v>42</v>
      </c>
      <c r="G875" t="s">
        <v>32</v>
      </c>
      <c r="H875" t="str">
        <f t="shared" si="107"/>
        <v>Valid</v>
      </c>
      <c r="I875" t="s">
        <v>33</v>
      </c>
      <c r="J875" t="str">
        <f t="shared" si="108"/>
        <v>Kigoma Ujiji Mc</v>
      </c>
      <c r="K875" t="s">
        <v>40</v>
      </c>
      <c r="L875" t="str" cm="1">
        <f t="array" ref="L875">_xlfn.IFS(
ISNUMBER(SEARCH("ICU",K875)), "ICU",
ISNUMBER(SEARCH("NEONATAL",K875)), PROPER("NEONATAL"),
ISNUMBER(SEARCH("LABOUR",K875)), PROPER("LABOUR"),
ISNUMBER(SEARCH("PAEDIATRIC",K875)), PROPER("PAEDIATRIC"),
ISNUMBER(SEARCH("FEMALE SURGICAL",K875)), PROPER("FEMALE SURG, ORTHO &amp; GYN"),
ISNUMBER(SEARCH("PSYCHIATRIST",K875)), PROPER("PSYCHIATRIST"),
ISNUMBER(SEARCH("GRADE 1",K875)), PROPER("GRADE 1"),
ISNUMBER(SEARCH("MALE SURGICAL",K875)), PROPER("MALE SURG &amp; ORTHOPEDIC"),
ISNUMBER(SEARCH("MALE MEDICAL",K875)), PROPER("MALE MEDICAL"),
ISNUMBER(SEARCH("GRADE 2",K875)), PROPER("GRADE 2"),
ISNUMBER(SEARCH("FEMALE WARD",K875)), PROPER("FEMALE MEDICAL"),
TRUE, "Unmapped: " &amp; K875)</f>
        <v>Labour</v>
      </c>
      <c r="M875" t="s">
        <v>394</v>
      </c>
      <c r="O875" t="s">
        <v>2969</v>
      </c>
      <c r="P875" t="str">
        <f t="shared" si="109"/>
        <v>Text Error</v>
      </c>
      <c r="Q875" s="5">
        <v>46042.656550925924</v>
      </c>
      <c r="R875" t="str">
        <f t="shared" si="110"/>
        <v>Valid Date</v>
      </c>
      <c r="S875" t="s">
        <v>2970</v>
      </c>
      <c r="T875" s="5">
        <v>46043.349976851852</v>
      </c>
      <c r="U875">
        <v>0</v>
      </c>
      <c r="V875" t="str">
        <f t="shared" si="111"/>
        <v>OK</v>
      </c>
      <c r="W875" t="s">
        <v>25</v>
      </c>
      <c r="Y875" t="s">
        <v>30</v>
      </c>
    </row>
    <row r="876" spans="1:25" x14ac:dyDescent="0.25">
      <c r="A876" t="s">
        <v>2971</v>
      </c>
      <c r="B876" t="str">
        <f t="shared" si="105"/>
        <v>Babyof Aida Macho Rajabu</v>
      </c>
      <c r="C876">
        <v>129081</v>
      </c>
      <c r="D876" t="str">
        <f t="shared" si="104"/>
        <v>Unique</v>
      </c>
      <c r="E876" t="s">
        <v>622</v>
      </c>
      <c r="F876" s="3" t="str">
        <f t="shared" si="106"/>
        <v>2/12</v>
      </c>
      <c r="G876" t="s">
        <v>32</v>
      </c>
      <c r="H876" t="str">
        <f t="shared" si="107"/>
        <v>Valid</v>
      </c>
      <c r="I876" t="s">
        <v>33</v>
      </c>
      <c r="J876" t="str">
        <f t="shared" si="108"/>
        <v>Kigoma Ujiji Mc</v>
      </c>
      <c r="K876" t="s">
        <v>21</v>
      </c>
      <c r="L876" t="str" cm="1">
        <f t="array" ref="L876">_xlfn.IFS(
ISNUMBER(SEARCH("ICU",K876)), "ICU",
ISNUMBER(SEARCH("NEONATAL",K876)), PROPER("NEONATAL"),
ISNUMBER(SEARCH("LABOUR",K876)), PROPER("LABOUR"),
ISNUMBER(SEARCH("PAEDIATRIC",K876)), PROPER("PAEDIATRIC"),
ISNUMBER(SEARCH("FEMALE SURGICAL",K876)), PROPER("FEMALE SURG, ORTHO &amp; GYN"),
ISNUMBER(SEARCH("PSYCHIATRIST",K876)), PROPER("PSYCHIATRIST"),
ISNUMBER(SEARCH("GRADE 1",K876)), PROPER("GRADE 1"),
ISNUMBER(SEARCH("MALE SURGICAL",K876)), PROPER("MALE SURG &amp; ORTHOPEDIC"),
ISNUMBER(SEARCH("MALE MEDICAL",K876)), PROPER("MALE MEDICAL"),
ISNUMBER(SEARCH("GRADE 2",K876)), PROPER("GRADE 2"),
ISNUMBER(SEARCH("FEMALE WARD",K876)), PROPER("FEMALE MEDICAL"),
TRUE, "Unmapped: " &amp; K876)</f>
        <v>Neonatal</v>
      </c>
      <c r="M876" t="s">
        <v>22</v>
      </c>
      <c r="O876" t="s">
        <v>2972</v>
      </c>
      <c r="P876" t="str">
        <f t="shared" si="109"/>
        <v>Text Error</v>
      </c>
      <c r="Q876" s="5">
        <v>46042.857881944445</v>
      </c>
      <c r="R876" t="str">
        <f t="shared" si="110"/>
        <v>Valid Date</v>
      </c>
      <c r="S876" t="s">
        <v>2973</v>
      </c>
      <c r="T876" s="5">
        <v>46043.361446759256</v>
      </c>
      <c r="U876">
        <v>0</v>
      </c>
      <c r="V876" t="str">
        <f t="shared" si="111"/>
        <v>OK</v>
      </c>
      <c r="W876" t="s">
        <v>211</v>
      </c>
      <c r="Y876" t="s">
        <v>30</v>
      </c>
    </row>
    <row r="877" spans="1:25" x14ac:dyDescent="0.25">
      <c r="A877" t="s">
        <v>2974</v>
      </c>
      <c r="B877" t="str">
        <f t="shared" si="105"/>
        <v>Zainabu Hussein Kanyamanza</v>
      </c>
      <c r="C877">
        <v>129085</v>
      </c>
      <c r="D877" t="str">
        <f t="shared" si="104"/>
        <v>Unique</v>
      </c>
      <c r="E877" t="s">
        <v>374</v>
      </c>
      <c r="F877" s="3">
        <f t="shared" si="106"/>
        <v>37</v>
      </c>
      <c r="G877" t="s">
        <v>32</v>
      </c>
      <c r="H877" t="str">
        <f t="shared" si="107"/>
        <v>Valid</v>
      </c>
      <c r="I877" t="s">
        <v>33</v>
      </c>
      <c r="J877" t="str">
        <f t="shared" si="108"/>
        <v>Kigoma Ujiji Mc</v>
      </c>
      <c r="K877" t="s">
        <v>40</v>
      </c>
      <c r="L877" t="str" cm="1">
        <f t="array" ref="L877">_xlfn.IFS(
ISNUMBER(SEARCH("ICU",K877)), "ICU",
ISNUMBER(SEARCH("NEONATAL",K877)), PROPER("NEONATAL"),
ISNUMBER(SEARCH("LABOUR",K877)), PROPER("LABOUR"),
ISNUMBER(SEARCH("PAEDIATRIC",K877)), PROPER("PAEDIATRIC"),
ISNUMBER(SEARCH("FEMALE SURGICAL",K877)), PROPER("FEMALE SURG, ORTHO &amp; GYN"),
ISNUMBER(SEARCH("PSYCHIATRIST",K877)), PROPER("PSYCHIATRIST"),
ISNUMBER(SEARCH("GRADE 1",K877)), PROPER("GRADE 1"),
ISNUMBER(SEARCH("MALE SURGICAL",K877)), PROPER("MALE SURG &amp; ORTHOPEDIC"),
ISNUMBER(SEARCH("MALE MEDICAL",K877)), PROPER("MALE MEDICAL"),
ISNUMBER(SEARCH("GRADE 2",K877)), PROPER("GRADE 2"),
ISNUMBER(SEARCH("FEMALE WARD",K877)), PROPER("FEMALE MEDICAL"),
TRUE, "Unmapped: " &amp; K877)</f>
        <v>Labour</v>
      </c>
      <c r="M877" t="s">
        <v>22</v>
      </c>
      <c r="O877" t="s">
        <v>2975</v>
      </c>
      <c r="P877" t="str">
        <f t="shared" si="109"/>
        <v>Text Error</v>
      </c>
      <c r="Q877" s="5">
        <v>46042.902418981481</v>
      </c>
      <c r="R877" t="str">
        <f t="shared" si="110"/>
        <v>Valid Date</v>
      </c>
      <c r="S877" t="s">
        <v>2976</v>
      </c>
      <c r="T877" s="5">
        <v>46043.636157407411</v>
      </c>
      <c r="U877">
        <v>0</v>
      </c>
      <c r="V877" t="str">
        <f t="shared" si="111"/>
        <v>OK</v>
      </c>
      <c r="W877" t="s">
        <v>25</v>
      </c>
      <c r="Y877" t="s">
        <v>30</v>
      </c>
    </row>
    <row r="878" spans="1:25" x14ac:dyDescent="0.25">
      <c r="A878" t="s">
        <v>2977</v>
      </c>
      <c r="B878" t="str">
        <f t="shared" si="105"/>
        <v>Samwel Nasibu Samwel</v>
      </c>
      <c r="C878">
        <v>129094</v>
      </c>
      <c r="D878" t="str">
        <f t="shared" si="104"/>
        <v>Unique</v>
      </c>
      <c r="E878" t="s">
        <v>181</v>
      </c>
      <c r="F878" s="3">
        <f t="shared" si="106"/>
        <v>7</v>
      </c>
      <c r="G878" t="s">
        <v>19</v>
      </c>
      <c r="H878" t="str">
        <f t="shared" si="107"/>
        <v>Valid</v>
      </c>
      <c r="I878" t="s">
        <v>20</v>
      </c>
      <c r="J878" t="str">
        <f t="shared" si="108"/>
        <v>Uvinza</v>
      </c>
      <c r="K878" t="s">
        <v>109</v>
      </c>
      <c r="L878" t="str" cm="1">
        <f t="array" ref="L878">_xlfn.IFS(
ISNUMBER(SEARCH("ICU",K878)), "ICU",
ISNUMBER(SEARCH("NEONATAL",K878)), PROPER("NEONATAL"),
ISNUMBER(SEARCH("LABOUR",K878)), PROPER("LABOUR"),
ISNUMBER(SEARCH("PAEDIATRIC",K878)), PROPER("PAEDIATRIC"),
ISNUMBER(SEARCH("FEMALE SURGICAL",K878)), PROPER("FEMALE SURG, ORTHO &amp; GYN"),
ISNUMBER(SEARCH("PSYCHIATRIST",K878)), PROPER("PSYCHIATRIST"),
ISNUMBER(SEARCH("GRADE 1",K878)), PROPER("GRADE 1"),
ISNUMBER(SEARCH("MALE SURGICAL",K878)), PROPER("MALE SURG &amp; ORTHOPEDIC"),
ISNUMBER(SEARCH("MALE MEDICAL",K878)), PROPER("MALE MEDICAL"),
ISNUMBER(SEARCH("GRADE 2",K878)), PROPER("GRADE 2"),
ISNUMBER(SEARCH("FEMALE WARD",K878)), PROPER("FEMALE MEDICAL"),
TRUE, "Unmapped: " &amp; K878)</f>
        <v>Paediatric</v>
      </c>
      <c r="M878" t="s">
        <v>22</v>
      </c>
      <c r="O878" t="s">
        <v>2978</v>
      </c>
      <c r="P878" t="str">
        <f t="shared" si="109"/>
        <v>Text Error</v>
      </c>
      <c r="Q878" s="5">
        <v>46043.144155092596</v>
      </c>
      <c r="R878" t="str">
        <f t="shared" si="110"/>
        <v>Valid Date</v>
      </c>
      <c r="S878" t="s">
        <v>2979</v>
      </c>
      <c r="T878" s="5">
        <v>46043.648449074077</v>
      </c>
      <c r="U878">
        <v>0</v>
      </c>
      <c r="V878" t="str">
        <f t="shared" si="111"/>
        <v>OK</v>
      </c>
      <c r="W878" t="s">
        <v>211</v>
      </c>
      <c r="Y878" t="s">
        <v>30</v>
      </c>
    </row>
    <row r="879" spans="1:25" x14ac:dyDescent="0.25">
      <c r="A879" t="s">
        <v>2980</v>
      </c>
      <c r="B879" t="str">
        <f t="shared" si="105"/>
        <v>Asteria Gerivus Bayi</v>
      </c>
      <c r="C879">
        <v>31748</v>
      </c>
      <c r="D879" t="str">
        <f t="shared" si="104"/>
        <v>Unique</v>
      </c>
      <c r="E879" t="s">
        <v>530</v>
      </c>
      <c r="F879" s="3">
        <f t="shared" si="106"/>
        <v>34</v>
      </c>
      <c r="G879" t="s">
        <v>32</v>
      </c>
      <c r="H879" t="str">
        <f t="shared" si="107"/>
        <v>Valid</v>
      </c>
      <c r="I879" t="s">
        <v>33</v>
      </c>
      <c r="J879" t="str">
        <f t="shared" si="108"/>
        <v>Kigoma Ujiji Mc</v>
      </c>
      <c r="K879" t="s">
        <v>40</v>
      </c>
      <c r="L879" t="str" cm="1">
        <f t="array" ref="L879">_xlfn.IFS(
ISNUMBER(SEARCH("ICU",K879)), "ICU",
ISNUMBER(SEARCH("NEONATAL",K879)), PROPER("NEONATAL"),
ISNUMBER(SEARCH("LABOUR",K879)), PROPER("LABOUR"),
ISNUMBER(SEARCH("PAEDIATRIC",K879)), PROPER("PAEDIATRIC"),
ISNUMBER(SEARCH("FEMALE SURGICAL",K879)), PROPER("FEMALE SURG, ORTHO &amp; GYN"),
ISNUMBER(SEARCH("PSYCHIATRIST",K879)), PROPER("PSYCHIATRIST"),
ISNUMBER(SEARCH("GRADE 1",K879)), PROPER("GRADE 1"),
ISNUMBER(SEARCH("MALE SURGICAL",K879)), PROPER("MALE SURG &amp; ORTHOPEDIC"),
ISNUMBER(SEARCH("MALE MEDICAL",K879)), PROPER("MALE MEDICAL"),
ISNUMBER(SEARCH("GRADE 2",K879)), PROPER("GRADE 2"),
ISNUMBER(SEARCH("FEMALE WARD",K879)), PROPER("FEMALE MEDICAL"),
TRUE, "Unmapped: " &amp; K879)</f>
        <v>Labour</v>
      </c>
      <c r="M879" t="s">
        <v>394</v>
      </c>
      <c r="O879" t="s">
        <v>2981</v>
      </c>
      <c r="P879" t="str">
        <f t="shared" si="109"/>
        <v>Text Error</v>
      </c>
      <c r="Q879" s="5">
        <v>46043.654479166667</v>
      </c>
      <c r="R879" t="str">
        <f t="shared" si="110"/>
        <v>Valid Date</v>
      </c>
      <c r="S879" t="s">
        <v>2982</v>
      </c>
      <c r="T879" s="5">
        <v>46044.596782407411</v>
      </c>
      <c r="U879">
        <v>0</v>
      </c>
      <c r="V879" t="str">
        <f t="shared" si="111"/>
        <v>OK</v>
      </c>
      <c r="W879" t="s">
        <v>25</v>
      </c>
      <c r="Y879" t="s">
        <v>30</v>
      </c>
    </row>
    <row r="880" spans="1:25" x14ac:dyDescent="0.25">
      <c r="A880" t="s">
        <v>2983</v>
      </c>
      <c r="B880" t="str">
        <f t="shared" si="105"/>
        <v>Jastin G Rulelekana</v>
      </c>
      <c r="C880">
        <v>77010</v>
      </c>
      <c r="D880" t="str">
        <f t="shared" si="104"/>
        <v>Unique</v>
      </c>
      <c r="E880" t="s">
        <v>816</v>
      </c>
      <c r="F880" s="3">
        <f t="shared" si="106"/>
        <v>63</v>
      </c>
      <c r="G880" t="s">
        <v>19</v>
      </c>
      <c r="H880" t="str">
        <f t="shared" si="107"/>
        <v>Valid</v>
      </c>
      <c r="I880" t="s">
        <v>62</v>
      </c>
      <c r="J880" t="str">
        <f t="shared" si="108"/>
        <v>Kigoma Vijijini</v>
      </c>
      <c r="K880" t="s">
        <v>484</v>
      </c>
      <c r="L880" t="str" cm="1">
        <f t="array" ref="L880">_xlfn.IFS(
ISNUMBER(SEARCH("ICU",K880)), "ICU",
ISNUMBER(SEARCH("NEONATAL",K880)), PROPER("NEONATAL"),
ISNUMBER(SEARCH("LABOUR",K880)), PROPER("LABOUR"),
ISNUMBER(SEARCH("PAEDIATRIC",K880)), PROPER("PAEDIATRIC"),
ISNUMBER(SEARCH("FEMALE SURGICAL",K880)), PROPER("FEMALE SURG, ORTHO &amp; GYN"),
ISNUMBER(SEARCH("PSYCHIATRIST",K880)), PROPER("PSYCHIATRIST"),
ISNUMBER(SEARCH("GRADE 1",K880)), PROPER("GRADE 1"),
ISNUMBER(SEARCH("MALE SURGICAL",K880)), PROPER("MALE SURG &amp; ORTHOPEDIC"),
ISNUMBER(SEARCH("MALE MEDICAL",K880)), PROPER("MALE MEDICAL"),
ISNUMBER(SEARCH("GRADE 2",K880)), PROPER("GRADE 2"),
ISNUMBER(SEARCH("FEMALE WARD",K880)), PROPER("FEMALE MEDICAL"),
TRUE, "Unmapped: " &amp; K880)</f>
        <v>Male Medical</v>
      </c>
      <c r="M880" t="s">
        <v>292</v>
      </c>
      <c r="O880" t="s">
        <v>2984</v>
      </c>
      <c r="P880" t="str">
        <f t="shared" si="109"/>
        <v>Text Error</v>
      </c>
      <c r="Q880" s="5">
        <v>46043.677800925929</v>
      </c>
      <c r="R880" t="str">
        <f t="shared" si="110"/>
        <v>Valid Date</v>
      </c>
      <c r="S880" t="s">
        <v>2985</v>
      </c>
      <c r="T880" s="5">
        <v>46044.600451388891</v>
      </c>
      <c r="U880">
        <v>0</v>
      </c>
      <c r="V880" t="str">
        <f t="shared" si="111"/>
        <v>OK</v>
      </c>
      <c r="W880" t="s">
        <v>25</v>
      </c>
      <c r="Y880" t="s">
        <v>30</v>
      </c>
    </row>
    <row r="881" spans="1:25" x14ac:dyDescent="0.25">
      <c r="A881" t="s">
        <v>2987</v>
      </c>
      <c r="B881" t="str">
        <f t="shared" si="105"/>
        <v>Naima Hamisi Mussa</v>
      </c>
      <c r="C881">
        <v>10887</v>
      </c>
      <c r="D881" t="str">
        <f t="shared" si="104"/>
        <v>Unique</v>
      </c>
      <c r="E881" t="s">
        <v>296</v>
      </c>
      <c r="F881" s="3">
        <f t="shared" si="106"/>
        <v>26</v>
      </c>
      <c r="G881" t="s">
        <v>32</v>
      </c>
      <c r="H881" t="str">
        <f t="shared" si="107"/>
        <v>Valid</v>
      </c>
      <c r="I881" t="s">
        <v>754</v>
      </c>
      <c r="J881" t="str">
        <f t="shared" si="108"/>
        <v>KG</v>
      </c>
      <c r="K881" t="s">
        <v>393</v>
      </c>
      <c r="L881" t="str" cm="1">
        <f t="array" ref="L881">_xlfn.IFS(
ISNUMBER(SEARCH("ICU",K881)), "ICU",
ISNUMBER(SEARCH("NEONATAL",K881)), PROPER("NEONATAL"),
ISNUMBER(SEARCH("LABOUR",K881)), PROPER("LABOUR"),
ISNUMBER(SEARCH("PAEDIATRIC",K881)), PROPER("PAEDIATRIC"),
ISNUMBER(SEARCH("FEMALE SURGICAL",K881)), PROPER("FEMALE SURG, ORTHO &amp; GYN"),
ISNUMBER(SEARCH("PSYCHIATRIST",K881)), PROPER("PSYCHIATRIST"),
ISNUMBER(SEARCH("GRADE 1",K881)), PROPER("GRADE 1"),
ISNUMBER(SEARCH("MALE SURGICAL",K881)), PROPER("MALE SURG &amp; ORTHOPEDIC"),
ISNUMBER(SEARCH("MALE MEDICAL",K881)), PROPER("MALE MEDICAL"),
ISNUMBER(SEARCH("GRADE 2",K881)), PROPER("GRADE 2"),
ISNUMBER(SEARCH("FEMALE WARD",K881)), PROPER("FEMALE MEDICAL"),
TRUE, "Unmapped: " &amp; K881)</f>
        <v>Grade 1</v>
      </c>
      <c r="M881" t="s">
        <v>22</v>
      </c>
      <c r="O881" t="s">
        <v>2988</v>
      </c>
      <c r="P881" t="str">
        <f t="shared" si="109"/>
        <v>Text Error</v>
      </c>
      <c r="Q881" s="5">
        <v>46044.696539351855</v>
      </c>
      <c r="R881" t="str">
        <f t="shared" si="110"/>
        <v>Valid Date</v>
      </c>
      <c r="S881" t="s">
        <v>2989</v>
      </c>
      <c r="T881" s="5">
        <v>46045.47111111111</v>
      </c>
      <c r="U881">
        <v>0</v>
      </c>
      <c r="V881" t="str">
        <f t="shared" si="111"/>
        <v>OK</v>
      </c>
      <c r="W881" t="s">
        <v>25</v>
      </c>
      <c r="Y881" t="s">
        <v>30</v>
      </c>
    </row>
    <row r="882" spans="1:25" x14ac:dyDescent="0.25">
      <c r="A882" t="s">
        <v>2990</v>
      </c>
      <c r="B882" t="str">
        <f t="shared" si="105"/>
        <v>Pili H Simba</v>
      </c>
      <c r="C882">
        <v>129321</v>
      </c>
      <c r="D882" t="str">
        <f t="shared" si="104"/>
        <v>Unique</v>
      </c>
      <c r="E882" t="s">
        <v>778</v>
      </c>
      <c r="F882" s="3">
        <f t="shared" si="106"/>
        <v>52</v>
      </c>
      <c r="G882" t="s">
        <v>32</v>
      </c>
      <c r="H882" t="str">
        <f t="shared" si="107"/>
        <v>Valid</v>
      </c>
      <c r="I882" t="s">
        <v>33</v>
      </c>
      <c r="J882" t="str">
        <f t="shared" si="108"/>
        <v>Kigoma Ujiji Mc</v>
      </c>
      <c r="K882" t="s">
        <v>123</v>
      </c>
      <c r="L882" t="str" cm="1">
        <f t="array" ref="L882">_xlfn.IFS(
ISNUMBER(SEARCH("ICU",K882)), "ICU",
ISNUMBER(SEARCH("NEONATAL",K882)), PROPER("NEONATAL"),
ISNUMBER(SEARCH("LABOUR",K882)), PROPER("LABOUR"),
ISNUMBER(SEARCH("PAEDIATRIC",K882)), PROPER("PAEDIATRIC"),
ISNUMBER(SEARCH("FEMALE SURGICAL",K882)), PROPER("FEMALE SURG, ORTHO &amp; GYN"),
ISNUMBER(SEARCH("PSYCHIATRIST",K882)), PROPER("PSYCHIATRIST"),
ISNUMBER(SEARCH("GRADE 1",K882)), PROPER("GRADE 1"),
ISNUMBER(SEARCH("MALE SURGICAL",K882)), PROPER("MALE SURG &amp; ORTHOPEDIC"),
ISNUMBER(SEARCH("MALE MEDICAL",K882)), PROPER("MALE MEDICAL"),
ISNUMBER(SEARCH("GRADE 2",K882)), PROPER("GRADE 2"),
ISNUMBER(SEARCH("FEMALE WARD",K882)), PROPER("FEMALE MEDICAL"),
TRUE, "Unmapped: " &amp; K882)</f>
        <v>Female Surg, Ortho &amp; Gyn</v>
      </c>
      <c r="M882" t="s">
        <v>394</v>
      </c>
      <c r="O882" t="s">
        <v>2991</v>
      </c>
      <c r="P882" t="str">
        <f t="shared" si="109"/>
        <v>Text Error</v>
      </c>
      <c r="Q882" s="5">
        <v>46044.930104166669</v>
      </c>
      <c r="R882" t="str">
        <f t="shared" si="110"/>
        <v>Valid Date</v>
      </c>
      <c r="S882" t="s">
        <v>2992</v>
      </c>
      <c r="T882" s="5">
        <v>46045.626493055555</v>
      </c>
      <c r="U882">
        <v>0</v>
      </c>
      <c r="V882" t="str">
        <f t="shared" si="111"/>
        <v>OK</v>
      </c>
      <c r="W882" t="s">
        <v>112</v>
      </c>
      <c r="Y882" t="s">
        <v>30</v>
      </c>
    </row>
    <row r="883" spans="1:25" x14ac:dyDescent="0.25">
      <c r="A883" t="s">
        <v>2993</v>
      </c>
      <c r="B883" t="str">
        <f t="shared" si="105"/>
        <v>Ally Juma Mustapha</v>
      </c>
      <c r="C883">
        <v>129487</v>
      </c>
      <c r="D883" t="str">
        <f t="shared" si="104"/>
        <v>Unique</v>
      </c>
      <c r="E883" t="s">
        <v>361</v>
      </c>
      <c r="F883" s="3">
        <f t="shared" si="106"/>
        <v>27</v>
      </c>
      <c r="G883" t="s">
        <v>19</v>
      </c>
      <c r="H883" t="str">
        <f t="shared" si="107"/>
        <v>Valid</v>
      </c>
      <c r="I883" t="s">
        <v>260</v>
      </c>
      <c r="J883" t="str">
        <f t="shared" si="108"/>
        <v>Kasulu</v>
      </c>
      <c r="K883" t="s">
        <v>428</v>
      </c>
      <c r="L883" t="str" cm="1">
        <f t="array" ref="L883">_xlfn.IFS(
ISNUMBER(SEARCH("ICU",K883)), "ICU",
ISNUMBER(SEARCH("NEONATAL",K883)), PROPER("NEONATAL"),
ISNUMBER(SEARCH("LABOUR",K883)), PROPER("LABOUR"),
ISNUMBER(SEARCH("PAEDIATRIC",K883)), PROPER("PAEDIATRIC"),
ISNUMBER(SEARCH("FEMALE SURGICAL",K883)), PROPER("FEMALE SURG, ORTHO &amp; GYN"),
ISNUMBER(SEARCH("PSYCHIATRIST",K883)), PROPER("PSYCHIATRIST"),
ISNUMBER(SEARCH("GRADE 1",K883)), PROPER("GRADE 1"),
ISNUMBER(SEARCH("MALE SURGICAL",K883)), PROPER("MALE SURG &amp; ORTHOPEDIC"),
ISNUMBER(SEARCH("MALE MEDICAL",K883)), PROPER("MALE MEDICAL"),
ISNUMBER(SEARCH("GRADE 2",K883)), PROPER("GRADE 2"),
ISNUMBER(SEARCH("FEMALE WARD",K883)), PROPER("FEMALE MEDICAL"),
TRUE, "Unmapped: " &amp; K883)</f>
        <v>Male Surg &amp; Orthopedic</v>
      </c>
      <c r="M883" t="s">
        <v>22</v>
      </c>
      <c r="O883" t="s">
        <v>2994</v>
      </c>
      <c r="P883" t="str">
        <f t="shared" si="109"/>
        <v>Text Error</v>
      </c>
      <c r="Q883" s="5">
        <v>46046.549363425926</v>
      </c>
      <c r="R883" t="str">
        <f t="shared" si="110"/>
        <v>Valid Date</v>
      </c>
      <c r="S883" t="s">
        <v>2995</v>
      </c>
      <c r="T883" s="5">
        <v>46047.417314814818</v>
      </c>
      <c r="U883">
        <v>0</v>
      </c>
      <c r="V883" t="str">
        <f t="shared" si="111"/>
        <v>OK</v>
      </c>
      <c r="W883" t="s">
        <v>25</v>
      </c>
      <c r="Y883" t="s">
        <v>30</v>
      </c>
    </row>
    <row r="884" spans="1:25" x14ac:dyDescent="0.25">
      <c r="A884" t="s">
        <v>2996</v>
      </c>
      <c r="B884" t="str">
        <f t="shared" si="105"/>
        <v>Hemedi Swedi Shabani</v>
      </c>
      <c r="C884">
        <v>129488</v>
      </c>
      <c r="D884" t="str">
        <f t="shared" si="104"/>
        <v>Unique</v>
      </c>
      <c r="E884" t="s">
        <v>1992</v>
      </c>
      <c r="F884" s="3">
        <f t="shared" si="106"/>
        <v>13</v>
      </c>
      <c r="G884" t="s">
        <v>19</v>
      </c>
      <c r="H884" t="str">
        <f t="shared" si="107"/>
        <v>Valid</v>
      </c>
      <c r="I884" t="s">
        <v>20</v>
      </c>
      <c r="J884" t="str">
        <f t="shared" si="108"/>
        <v>Uvinza</v>
      </c>
      <c r="K884" t="s">
        <v>484</v>
      </c>
      <c r="L884" t="str" cm="1">
        <f t="array" ref="L884">_xlfn.IFS(
ISNUMBER(SEARCH("ICU",K884)), "ICU",
ISNUMBER(SEARCH("NEONATAL",K884)), PROPER("NEONATAL"),
ISNUMBER(SEARCH("LABOUR",K884)), PROPER("LABOUR"),
ISNUMBER(SEARCH("PAEDIATRIC",K884)), PROPER("PAEDIATRIC"),
ISNUMBER(SEARCH("FEMALE SURGICAL",K884)), PROPER("FEMALE SURG, ORTHO &amp; GYN"),
ISNUMBER(SEARCH("PSYCHIATRIST",K884)), PROPER("PSYCHIATRIST"),
ISNUMBER(SEARCH("GRADE 1",K884)), PROPER("GRADE 1"),
ISNUMBER(SEARCH("MALE SURGICAL",K884)), PROPER("MALE SURG &amp; ORTHOPEDIC"),
ISNUMBER(SEARCH("MALE MEDICAL",K884)), PROPER("MALE MEDICAL"),
ISNUMBER(SEARCH("GRADE 2",K884)), PROPER("GRADE 2"),
ISNUMBER(SEARCH("FEMALE WARD",K884)), PROPER("FEMALE MEDICAL"),
TRUE, "Unmapped: " &amp; K884)</f>
        <v>Male Medical</v>
      </c>
      <c r="M884" t="s">
        <v>22</v>
      </c>
      <c r="O884" t="s">
        <v>2997</v>
      </c>
      <c r="P884" t="str">
        <f t="shared" si="109"/>
        <v>Text Error</v>
      </c>
      <c r="Q884" s="5">
        <v>46046.746249999997</v>
      </c>
      <c r="R884" t="str">
        <f t="shared" si="110"/>
        <v>Valid Date</v>
      </c>
      <c r="S884" t="s">
        <v>2998</v>
      </c>
      <c r="T884" s="5">
        <v>46047.676550925928</v>
      </c>
      <c r="U884">
        <v>0</v>
      </c>
      <c r="V884" t="str">
        <f t="shared" si="111"/>
        <v>OK</v>
      </c>
      <c r="W884" t="s">
        <v>25</v>
      </c>
      <c r="Y884" t="s">
        <v>30</v>
      </c>
    </row>
    <row r="885" spans="1:25" x14ac:dyDescent="0.25">
      <c r="A885" t="s">
        <v>2999</v>
      </c>
      <c r="B885" t="str">
        <f t="shared" si="105"/>
        <v>Richard Boniface Makulilo</v>
      </c>
      <c r="C885">
        <v>70862</v>
      </c>
      <c r="D885" t="str">
        <f t="shared" si="104"/>
        <v>Unique</v>
      </c>
      <c r="E885" t="s">
        <v>713</v>
      </c>
      <c r="F885" s="3">
        <f t="shared" si="106"/>
        <v>55</v>
      </c>
      <c r="G885" t="s">
        <v>19</v>
      </c>
      <c r="H885" t="str">
        <f t="shared" si="107"/>
        <v>Valid</v>
      </c>
      <c r="I885" t="s">
        <v>33</v>
      </c>
      <c r="J885" t="str">
        <f t="shared" si="108"/>
        <v>Kigoma Ujiji Mc</v>
      </c>
      <c r="K885" t="s">
        <v>685</v>
      </c>
      <c r="L885" t="str" cm="1">
        <f t="array" ref="L885">_xlfn.IFS(
ISNUMBER(SEARCH("ICU",K885)), "ICU",
ISNUMBER(SEARCH("NEONATAL",K885)), PROPER("NEONATAL"),
ISNUMBER(SEARCH("LABOUR",K885)), PROPER("LABOUR"),
ISNUMBER(SEARCH("PAEDIATRIC",K885)), PROPER("PAEDIATRIC"),
ISNUMBER(SEARCH("FEMALE SURGICAL",K885)), PROPER("FEMALE SURG, ORTHO &amp; GYN"),
ISNUMBER(SEARCH("PSYCHIATRIST",K885)), PROPER("PSYCHIATRIST"),
ISNUMBER(SEARCH("GRADE 1",K885)), PROPER("GRADE 1"),
ISNUMBER(SEARCH("MALE SURGICAL",K885)), PROPER("MALE SURG &amp; ORTHOPEDIC"),
ISNUMBER(SEARCH("MALE MEDICAL",K885)), PROPER("MALE MEDICAL"),
ISNUMBER(SEARCH("GRADE 2",K885)), PROPER("GRADE 2"),
ISNUMBER(SEARCH("FEMALE WARD",K885)), PROPER("FEMALE MEDICAL"),
TRUE, "Unmapped: " &amp; K885)</f>
        <v>Grade 2</v>
      </c>
      <c r="M885" t="s">
        <v>394</v>
      </c>
      <c r="O885" t="s">
        <v>3000</v>
      </c>
      <c r="P885" t="str">
        <f t="shared" si="109"/>
        <v>Text Error</v>
      </c>
      <c r="Q885" s="5">
        <v>46046.759444444448</v>
      </c>
      <c r="R885" t="str">
        <f t="shared" si="110"/>
        <v>Valid Date</v>
      </c>
      <c r="S885" t="s">
        <v>3001</v>
      </c>
      <c r="T885" s="5">
        <v>46047.62740740741</v>
      </c>
      <c r="U885">
        <v>0</v>
      </c>
      <c r="V885" t="str">
        <f t="shared" si="111"/>
        <v>OK</v>
      </c>
      <c r="W885" t="s">
        <v>25</v>
      </c>
      <c r="Y885" t="s">
        <v>30</v>
      </c>
    </row>
    <row r="886" spans="1:25" x14ac:dyDescent="0.25">
      <c r="A886" t="s">
        <v>3002</v>
      </c>
      <c r="B886" t="str">
        <f t="shared" si="105"/>
        <v>Juma Saidi Masudi</v>
      </c>
      <c r="C886">
        <v>129498</v>
      </c>
      <c r="D886" t="str">
        <f t="shared" si="104"/>
        <v>Unique</v>
      </c>
      <c r="E886" t="s">
        <v>646</v>
      </c>
      <c r="F886" s="3">
        <f t="shared" si="106"/>
        <v>6</v>
      </c>
      <c r="G886" t="s">
        <v>19</v>
      </c>
      <c r="H886" t="str">
        <f t="shared" si="107"/>
        <v>Valid</v>
      </c>
      <c r="I886" t="s">
        <v>33</v>
      </c>
      <c r="J886" t="str">
        <f t="shared" si="108"/>
        <v>Kigoma Ujiji Mc</v>
      </c>
      <c r="K886" t="s">
        <v>109</v>
      </c>
      <c r="L886" t="str" cm="1">
        <f t="array" ref="L886">_xlfn.IFS(
ISNUMBER(SEARCH("ICU",K886)), "ICU",
ISNUMBER(SEARCH("NEONATAL",K886)), PROPER("NEONATAL"),
ISNUMBER(SEARCH("LABOUR",K886)), PROPER("LABOUR"),
ISNUMBER(SEARCH("PAEDIATRIC",K886)), PROPER("PAEDIATRIC"),
ISNUMBER(SEARCH("FEMALE SURGICAL",K886)), PROPER("FEMALE SURG, ORTHO &amp; GYN"),
ISNUMBER(SEARCH("PSYCHIATRIST",K886)), PROPER("PSYCHIATRIST"),
ISNUMBER(SEARCH("GRADE 1",K886)), PROPER("GRADE 1"),
ISNUMBER(SEARCH("MALE SURGICAL",K886)), PROPER("MALE SURG &amp; ORTHOPEDIC"),
ISNUMBER(SEARCH("MALE MEDICAL",K886)), PROPER("MALE MEDICAL"),
ISNUMBER(SEARCH("GRADE 2",K886)), PROPER("GRADE 2"),
ISNUMBER(SEARCH("FEMALE WARD",K886)), PROPER("FEMALE MEDICAL"),
TRUE, "Unmapped: " &amp; K886)</f>
        <v>Paediatric</v>
      </c>
      <c r="M886" t="s">
        <v>22</v>
      </c>
      <c r="O886" t="s">
        <v>3003</v>
      </c>
      <c r="P886" t="str">
        <f t="shared" si="109"/>
        <v>Text Error</v>
      </c>
      <c r="Q886" s="5">
        <v>46046.96603009259</v>
      </c>
      <c r="R886" t="str">
        <f t="shared" si="110"/>
        <v>Valid Date</v>
      </c>
      <c r="S886" t="s">
        <v>3004</v>
      </c>
      <c r="T886" s="5">
        <v>46047.403344907405</v>
      </c>
      <c r="U886">
        <v>0</v>
      </c>
      <c r="V886" t="str">
        <f t="shared" si="111"/>
        <v>OK</v>
      </c>
      <c r="W886" t="s">
        <v>211</v>
      </c>
      <c r="Y886" t="s">
        <v>30</v>
      </c>
    </row>
    <row r="887" spans="1:25" x14ac:dyDescent="0.25">
      <c r="A887" t="s">
        <v>3005</v>
      </c>
      <c r="B887" t="str">
        <f t="shared" si="105"/>
        <v>Teddy Gregory Tando</v>
      </c>
      <c r="C887">
        <v>8218</v>
      </c>
      <c r="D887" t="str">
        <f t="shared" si="104"/>
        <v>Unique</v>
      </c>
      <c r="E887" t="s">
        <v>281</v>
      </c>
      <c r="F887" s="3">
        <f t="shared" si="106"/>
        <v>36</v>
      </c>
      <c r="G887" t="s">
        <v>32</v>
      </c>
      <c r="H887" t="str">
        <f t="shared" si="107"/>
        <v>Valid</v>
      </c>
      <c r="I887" t="s">
        <v>754</v>
      </c>
      <c r="J887" t="str">
        <f t="shared" si="108"/>
        <v>KG</v>
      </c>
      <c r="K887" t="s">
        <v>123</v>
      </c>
      <c r="L887" t="str" cm="1">
        <f t="array" ref="L887">_xlfn.IFS(
ISNUMBER(SEARCH("ICU",K887)), "ICU",
ISNUMBER(SEARCH("NEONATAL",K887)), PROPER("NEONATAL"),
ISNUMBER(SEARCH("LABOUR",K887)), PROPER("LABOUR"),
ISNUMBER(SEARCH("PAEDIATRIC",K887)), PROPER("PAEDIATRIC"),
ISNUMBER(SEARCH("FEMALE SURGICAL",K887)), PROPER("FEMALE SURG, ORTHO &amp; GYN"),
ISNUMBER(SEARCH("PSYCHIATRIST",K887)), PROPER("PSYCHIATRIST"),
ISNUMBER(SEARCH("GRADE 1",K887)), PROPER("GRADE 1"),
ISNUMBER(SEARCH("MALE SURGICAL",K887)), PROPER("MALE SURG &amp; ORTHOPEDIC"),
ISNUMBER(SEARCH("MALE MEDICAL",K887)), PROPER("MALE MEDICAL"),
ISNUMBER(SEARCH("GRADE 2",K887)), PROPER("GRADE 2"),
ISNUMBER(SEARCH("FEMALE WARD",K887)), PROPER("FEMALE MEDICAL"),
TRUE, "Unmapped: " &amp; K887)</f>
        <v>Female Surg, Ortho &amp; Gyn</v>
      </c>
      <c r="M887" t="s">
        <v>394</v>
      </c>
      <c r="O887" t="s">
        <v>3006</v>
      </c>
      <c r="P887" t="str">
        <f t="shared" si="109"/>
        <v>Text Error</v>
      </c>
      <c r="Q887" s="5">
        <v>46046.983113425929</v>
      </c>
      <c r="R887" t="str">
        <f t="shared" si="110"/>
        <v>Valid Date</v>
      </c>
      <c r="S887" t="s">
        <v>3007</v>
      </c>
      <c r="T887" s="5">
        <v>46047.765115740738</v>
      </c>
      <c r="U887">
        <v>0</v>
      </c>
      <c r="V887" t="str">
        <f t="shared" si="111"/>
        <v>OK</v>
      </c>
      <c r="W887" t="s">
        <v>25</v>
      </c>
      <c r="Y887" t="s">
        <v>30</v>
      </c>
    </row>
    <row r="888" spans="1:25" x14ac:dyDescent="0.25">
      <c r="A888" t="s">
        <v>3008</v>
      </c>
      <c r="B888" t="str">
        <f t="shared" si="105"/>
        <v>Husna Mahmud Kalaseza</v>
      </c>
      <c r="C888">
        <v>129514</v>
      </c>
      <c r="D888" t="str">
        <f t="shared" si="104"/>
        <v>Unique</v>
      </c>
      <c r="E888" t="s">
        <v>74</v>
      </c>
      <c r="F888" s="3">
        <f t="shared" si="106"/>
        <v>35</v>
      </c>
      <c r="G888" t="s">
        <v>32</v>
      </c>
      <c r="H888" t="str">
        <f t="shared" si="107"/>
        <v>Valid</v>
      </c>
      <c r="I888" t="s">
        <v>33</v>
      </c>
      <c r="J888" t="str">
        <f t="shared" si="108"/>
        <v>Kigoma Ujiji Mc</v>
      </c>
      <c r="K888" t="s">
        <v>40</v>
      </c>
      <c r="L888" t="str" cm="1">
        <f t="array" ref="L888">_xlfn.IFS(
ISNUMBER(SEARCH("ICU",K888)), "ICU",
ISNUMBER(SEARCH("NEONATAL",K888)), PROPER("NEONATAL"),
ISNUMBER(SEARCH("LABOUR",K888)), PROPER("LABOUR"),
ISNUMBER(SEARCH("PAEDIATRIC",K888)), PROPER("PAEDIATRIC"),
ISNUMBER(SEARCH("FEMALE SURGICAL",K888)), PROPER("FEMALE SURG, ORTHO &amp; GYN"),
ISNUMBER(SEARCH("PSYCHIATRIST",K888)), PROPER("PSYCHIATRIST"),
ISNUMBER(SEARCH("GRADE 1",K888)), PROPER("GRADE 1"),
ISNUMBER(SEARCH("MALE SURGICAL",K888)), PROPER("MALE SURG &amp; ORTHOPEDIC"),
ISNUMBER(SEARCH("MALE MEDICAL",K888)), PROPER("MALE MEDICAL"),
ISNUMBER(SEARCH("GRADE 2",K888)), PROPER("GRADE 2"),
ISNUMBER(SEARCH("FEMALE WARD",K888)), PROPER("FEMALE MEDICAL"),
TRUE, "Unmapped: " &amp; K888)</f>
        <v>Labour</v>
      </c>
      <c r="M888" t="s">
        <v>22</v>
      </c>
      <c r="O888" t="s">
        <v>3009</v>
      </c>
      <c r="P888" t="str">
        <f t="shared" si="109"/>
        <v>Text Error</v>
      </c>
      <c r="Q888" s="5">
        <v>46047.308912037035</v>
      </c>
      <c r="R888" t="str">
        <f t="shared" si="110"/>
        <v>Valid Date</v>
      </c>
      <c r="S888" t="s">
        <v>3010</v>
      </c>
      <c r="T888" s="5">
        <v>46047.331504629627</v>
      </c>
      <c r="U888">
        <v>0</v>
      </c>
      <c r="V888" t="str">
        <f t="shared" si="111"/>
        <v>OK</v>
      </c>
      <c r="W888" t="s">
        <v>112</v>
      </c>
      <c r="Y888" t="s">
        <v>30</v>
      </c>
    </row>
    <row r="889" spans="1:25" x14ac:dyDescent="0.25">
      <c r="A889" t="s">
        <v>3011</v>
      </c>
      <c r="B889" t="str">
        <f t="shared" si="105"/>
        <v>Dalius Venas Rafael</v>
      </c>
      <c r="C889">
        <v>129532</v>
      </c>
      <c r="D889" t="str">
        <f t="shared" si="104"/>
        <v>Unique</v>
      </c>
      <c r="E889" t="s">
        <v>353</v>
      </c>
      <c r="F889" s="3">
        <f t="shared" si="106"/>
        <v>4</v>
      </c>
      <c r="G889" t="s">
        <v>19</v>
      </c>
      <c r="H889" t="str">
        <f t="shared" si="107"/>
        <v>Valid</v>
      </c>
      <c r="I889" t="s">
        <v>20</v>
      </c>
      <c r="J889" t="str">
        <f t="shared" si="108"/>
        <v>Uvinza</v>
      </c>
      <c r="K889" t="s">
        <v>109</v>
      </c>
      <c r="L889" t="str" cm="1">
        <f t="array" ref="L889">_xlfn.IFS(
ISNUMBER(SEARCH("ICU",K889)), "ICU",
ISNUMBER(SEARCH("NEONATAL",K889)), PROPER("NEONATAL"),
ISNUMBER(SEARCH("LABOUR",K889)), PROPER("LABOUR"),
ISNUMBER(SEARCH("PAEDIATRIC",K889)), PROPER("PAEDIATRIC"),
ISNUMBER(SEARCH("FEMALE SURGICAL",K889)), PROPER("FEMALE SURG, ORTHO &amp; GYN"),
ISNUMBER(SEARCH("PSYCHIATRIST",K889)), PROPER("PSYCHIATRIST"),
ISNUMBER(SEARCH("GRADE 1",K889)), PROPER("GRADE 1"),
ISNUMBER(SEARCH("MALE SURGICAL",K889)), PROPER("MALE SURG &amp; ORTHOPEDIC"),
ISNUMBER(SEARCH("MALE MEDICAL",K889)), PROPER("MALE MEDICAL"),
ISNUMBER(SEARCH("GRADE 2",K889)), PROPER("GRADE 2"),
ISNUMBER(SEARCH("FEMALE WARD",K889)), PROPER("FEMALE MEDICAL"),
TRUE, "Unmapped: " &amp; K889)</f>
        <v>Paediatric</v>
      </c>
      <c r="M889" t="s">
        <v>22</v>
      </c>
      <c r="O889" t="s">
        <v>3012</v>
      </c>
      <c r="P889" t="str">
        <f t="shared" si="109"/>
        <v>Text Error</v>
      </c>
      <c r="Q889" s="5">
        <v>46047.624143518522</v>
      </c>
      <c r="R889" t="str">
        <f t="shared" si="110"/>
        <v>Valid Date</v>
      </c>
      <c r="S889" t="s">
        <v>3013</v>
      </c>
      <c r="T889" s="5">
        <v>46048.607511574075</v>
      </c>
      <c r="U889">
        <v>0</v>
      </c>
      <c r="V889" t="str">
        <f t="shared" si="111"/>
        <v>OK</v>
      </c>
      <c r="W889" t="s">
        <v>25</v>
      </c>
      <c r="Y889" t="s">
        <v>30</v>
      </c>
    </row>
    <row r="890" spans="1:25" x14ac:dyDescent="0.25">
      <c r="A890" t="s">
        <v>3014</v>
      </c>
      <c r="B890" t="str">
        <f t="shared" si="105"/>
        <v>Anipher Chenja January</v>
      </c>
      <c r="C890">
        <v>44332</v>
      </c>
      <c r="D890" t="str">
        <f t="shared" si="104"/>
        <v>Unique</v>
      </c>
      <c r="E890" t="s">
        <v>530</v>
      </c>
      <c r="F890" s="3">
        <f t="shared" si="106"/>
        <v>34</v>
      </c>
      <c r="G890" t="s">
        <v>32</v>
      </c>
      <c r="H890" t="str">
        <f t="shared" si="107"/>
        <v>Valid</v>
      </c>
      <c r="I890" t="s">
        <v>227</v>
      </c>
      <c r="J890" t="str">
        <f t="shared" si="108"/>
        <v>KGG</v>
      </c>
      <c r="K890" t="s">
        <v>40</v>
      </c>
      <c r="L890" t="str" cm="1">
        <f t="array" ref="L890">_xlfn.IFS(
ISNUMBER(SEARCH("ICU",K890)), "ICU",
ISNUMBER(SEARCH("NEONATAL",K890)), PROPER("NEONATAL"),
ISNUMBER(SEARCH("LABOUR",K890)), PROPER("LABOUR"),
ISNUMBER(SEARCH("PAEDIATRIC",K890)), PROPER("PAEDIATRIC"),
ISNUMBER(SEARCH("FEMALE SURGICAL",K890)), PROPER("FEMALE SURG, ORTHO &amp; GYN"),
ISNUMBER(SEARCH("PSYCHIATRIST",K890)), PROPER("PSYCHIATRIST"),
ISNUMBER(SEARCH("GRADE 1",K890)), PROPER("GRADE 1"),
ISNUMBER(SEARCH("MALE SURGICAL",K890)), PROPER("MALE SURG &amp; ORTHOPEDIC"),
ISNUMBER(SEARCH("MALE MEDICAL",K890)), PROPER("MALE MEDICAL"),
ISNUMBER(SEARCH("GRADE 2",K890)), PROPER("GRADE 2"),
ISNUMBER(SEARCH("FEMALE WARD",K890)), PROPER("FEMALE MEDICAL"),
TRUE, "Unmapped: " &amp; K890)</f>
        <v>Labour</v>
      </c>
      <c r="M890" t="s">
        <v>22</v>
      </c>
      <c r="O890" t="s">
        <v>3015</v>
      </c>
      <c r="P890" t="str">
        <f t="shared" si="109"/>
        <v>Text Error</v>
      </c>
      <c r="Q890" s="5">
        <v>46047.979027777779</v>
      </c>
      <c r="R890" t="str">
        <f t="shared" si="110"/>
        <v>Valid Date</v>
      </c>
      <c r="S890" t="s">
        <v>3016</v>
      </c>
      <c r="T890" s="5">
        <v>46048.608749999999</v>
      </c>
      <c r="U890">
        <v>0</v>
      </c>
      <c r="V890" t="str">
        <f t="shared" si="111"/>
        <v>OK</v>
      </c>
      <c r="W890" t="s">
        <v>25</v>
      </c>
      <c r="Y890" t="s">
        <v>30</v>
      </c>
    </row>
    <row r="891" spans="1:25" x14ac:dyDescent="0.25">
      <c r="A891" t="s">
        <v>3017</v>
      </c>
      <c r="B891" t="str">
        <f t="shared" si="105"/>
        <v>Muslim Maneno Ramadhan</v>
      </c>
      <c r="C891">
        <v>129559</v>
      </c>
      <c r="D891" t="str">
        <f t="shared" si="104"/>
        <v>Unique</v>
      </c>
      <c r="E891" t="s">
        <v>18</v>
      </c>
      <c r="F891" s="3">
        <f t="shared" si="106"/>
        <v>1</v>
      </c>
      <c r="G891" t="s">
        <v>19</v>
      </c>
      <c r="H891" t="str">
        <f t="shared" si="107"/>
        <v>Valid</v>
      </c>
      <c r="I891" t="s">
        <v>62</v>
      </c>
      <c r="J891" t="str">
        <f t="shared" si="108"/>
        <v>Kigoma Vijijini</v>
      </c>
      <c r="K891" t="s">
        <v>109</v>
      </c>
      <c r="L891" t="str" cm="1">
        <f t="array" ref="L891">_xlfn.IFS(
ISNUMBER(SEARCH("ICU",K891)), "ICU",
ISNUMBER(SEARCH("NEONATAL",K891)), PROPER("NEONATAL"),
ISNUMBER(SEARCH("LABOUR",K891)), PROPER("LABOUR"),
ISNUMBER(SEARCH("PAEDIATRIC",K891)), PROPER("PAEDIATRIC"),
ISNUMBER(SEARCH("FEMALE SURGICAL",K891)), PROPER("FEMALE SURG, ORTHO &amp; GYN"),
ISNUMBER(SEARCH("PSYCHIATRIST",K891)), PROPER("PSYCHIATRIST"),
ISNUMBER(SEARCH("GRADE 1",K891)), PROPER("GRADE 1"),
ISNUMBER(SEARCH("MALE SURGICAL",K891)), PROPER("MALE SURG &amp; ORTHOPEDIC"),
ISNUMBER(SEARCH("MALE MEDICAL",K891)), PROPER("MALE MEDICAL"),
ISNUMBER(SEARCH("GRADE 2",K891)), PROPER("GRADE 2"),
ISNUMBER(SEARCH("FEMALE WARD",K891)), PROPER("FEMALE MEDICAL"),
TRUE, "Unmapped: " &amp; K891)</f>
        <v>Paediatric</v>
      </c>
      <c r="M891" t="s">
        <v>22</v>
      </c>
      <c r="O891" t="s">
        <v>3018</v>
      </c>
      <c r="P891" t="str">
        <f t="shared" si="109"/>
        <v>Text Error</v>
      </c>
      <c r="Q891" s="5">
        <v>46048.007581018515</v>
      </c>
      <c r="R891" t="str">
        <f t="shared" si="110"/>
        <v>Valid Date</v>
      </c>
      <c r="S891" t="s">
        <v>3019</v>
      </c>
      <c r="T891" s="5">
        <v>46048.604490740741</v>
      </c>
      <c r="U891">
        <v>0</v>
      </c>
      <c r="V891" t="str">
        <f t="shared" si="111"/>
        <v>OK</v>
      </c>
      <c r="W891" t="s">
        <v>211</v>
      </c>
      <c r="Y891" t="s">
        <v>30</v>
      </c>
    </row>
    <row r="892" spans="1:25" x14ac:dyDescent="0.25">
      <c r="A892" t="s">
        <v>3020</v>
      </c>
      <c r="B892" t="str">
        <f t="shared" si="105"/>
        <v>Rebeca Josephina Mbilize</v>
      </c>
      <c r="C892">
        <v>129558</v>
      </c>
      <c r="D892" t="str">
        <f t="shared" si="104"/>
        <v>Unique</v>
      </c>
      <c r="E892" t="s">
        <v>54</v>
      </c>
      <c r="F892" s="3">
        <f t="shared" si="106"/>
        <v>21</v>
      </c>
      <c r="G892" t="s">
        <v>32</v>
      </c>
      <c r="H892" t="str">
        <f t="shared" si="107"/>
        <v>Valid</v>
      </c>
      <c r="I892" t="s">
        <v>62</v>
      </c>
      <c r="J892" t="str">
        <f t="shared" si="108"/>
        <v>Kigoma Vijijini</v>
      </c>
      <c r="K892" t="s">
        <v>40</v>
      </c>
      <c r="L892" t="str" cm="1">
        <f t="array" ref="L892">_xlfn.IFS(
ISNUMBER(SEARCH("ICU",K892)), "ICU",
ISNUMBER(SEARCH("NEONATAL",K892)), PROPER("NEONATAL"),
ISNUMBER(SEARCH("LABOUR",K892)), PROPER("LABOUR"),
ISNUMBER(SEARCH("PAEDIATRIC",K892)), PROPER("PAEDIATRIC"),
ISNUMBER(SEARCH("FEMALE SURGICAL",K892)), PROPER("FEMALE SURG, ORTHO &amp; GYN"),
ISNUMBER(SEARCH("PSYCHIATRIST",K892)), PROPER("PSYCHIATRIST"),
ISNUMBER(SEARCH("GRADE 1",K892)), PROPER("GRADE 1"),
ISNUMBER(SEARCH("MALE SURGICAL",K892)), PROPER("MALE SURG &amp; ORTHOPEDIC"),
ISNUMBER(SEARCH("MALE MEDICAL",K892)), PROPER("MALE MEDICAL"),
ISNUMBER(SEARCH("GRADE 2",K892)), PROPER("GRADE 2"),
ISNUMBER(SEARCH("FEMALE WARD",K892)), PROPER("FEMALE MEDICAL"),
TRUE, "Unmapped: " &amp; K892)</f>
        <v>Labour</v>
      </c>
      <c r="M892" t="s">
        <v>22</v>
      </c>
      <c r="O892" t="s">
        <v>3021</v>
      </c>
      <c r="P892" t="str">
        <f t="shared" si="109"/>
        <v>Text Error</v>
      </c>
      <c r="Q892" s="5">
        <v>46048.306250000001</v>
      </c>
      <c r="R892" t="str">
        <f t="shared" si="110"/>
        <v>Valid Date</v>
      </c>
      <c r="S892" t="s">
        <v>3022</v>
      </c>
      <c r="T892" s="5">
        <v>46048.750497685185</v>
      </c>
      <c r="U892">
        <v>0</v>
      </c>
      <c r="V892" t="str">
        <f t="shared" si="111"/>
        <v>OK</v>
      </c>
      <c r="W892" t="s">
        <v>25</v>
      </c>
      <c r="Y892" t="s">
        <v>30</v>
      </c>
    </row>
    <row r="893" spans="1:25" x14ac:dyDescent="0.25">
      <c r="A893" t="s">
        <v>3023</v>
      </c>
      <c r="B893" t="str">
        <f t="shared" si="105"/>
        <v>Kamanda Hussein Saidi</v>
      </c>
      <c r="C893">
        <v>129653</v>
      </c>
      <c r="D893" t="str">
        <f t="shared" si="104"/>
        <v>Unique</v>
      </c>
      <c r="E893" t="s">
        <v>3024</v>
      </c>
      <c r="F893" s="3">
        <f t="shared" si="106"/>
        <v>84</v>
      </c>
      <c r="G893" t="s">
        <v>19</v>
      </c>
      <c r="H893" t="str">
        <f t="shared" si="107"/>
        <v>Valid</v>
      </c>
      <c r="I893" t="s">
        <v>33</v>
      </c>
      <c r="J893" t="str">
        <f t="shared" si="108"/>
        <v>Kigoma Ujiji Mc</v>
      </c>
      <c r="K893" t="s">
        <v>484</v>
      </c>
      <c r="L893" t="str" cm="1">
        <f t="array" ref="L893">_xlfn.IFS(
ISNUMBER(SEARCH("ICU",K893)), "ICU",
ISNUMBER(SEARCH("NEONATAL",K893)), PROPER("NEONATAL"),
ISNUMBER(SEARCH("LABOUR",K893)), PROPER("LABOUR"),
ISNUMBER(SEARCH("PAEDIATRIC",K893)), PROPER("PAEDIATRIC"),
ISNUMBER(SEARCH("FEMALE SURGICAL",K893)), PROPER("FEMALE SURG, ORTHO &amp; GYN"),
ISNUMBER(SEARCH("PSYCHIATRIST",K893)), PROPER("PSYCHIATRIST"),
ISNUMBER(SEARCH("GRADE 1",K893)), PROPER("GRADE 1"),
ISNUMBER(SEARCH("MALE SURGICAL",K893)), PROPER("MALE SURG &amp; ORTHOPEDIC"),
ISNUMBER(SEARCH("MALE MEDICAL",K893)), PROPER("MALE MEDICAL"),
ISNUMBER(SEARCH("GRADE 2",K893)), PROPER("GRADE 2"),
ISNUMBER(SEARCH("FEMALE WARD",K893)), PROPER("FEMALE MEDICAL"),
TRUE, "Unmapped: " &amp; K893)</f>
        <v>Male Medical</v>
      </c>
      <c r="M893" t="s">
        <v>22</v>
      </c>
      <c r="O893" t="s">
        <v>3025</v>
      </c>
      <c r="P893" t="str">
        <f t="shared" si="109"/>
        <v>Text Error</v>
      </c>
      <c r="Q893" s="5">
        <v>46048.80369212963</v>
      </c>
      <c r="R893" t="str">
        <f t="shared" si="110"/>
        <v>Valid Date</v>
      </c>
      <c r="S893" t="s">
        <v>3026</v>
      </c>
      <c r="T893" s="5">
        <v>46049.581597222219</v>
      </c>
      <c r="U893">
        <v>0</v>
      </c>
      <c r="V893" t="str">
        <f t="shared" si="111"/>
        <v>OK</v>
      </c>
      <c r="W893" t="s">
        <v>25</v>
      </c>
      <c r="Y893" t="s">
        <v>30</v>
      </c>
    </row>
    <row r="894" spans="1:25" x14ac:dyDescent="0.25">
      <c r="A894" t="s">
        <v>3027</v>
      </c>
      <c r="B894" t="str">
        <f t="shared" si="105"/>
        <v>Avelina Amon Mawazo</v>
      </c>
      <c r="C894">
        <v>39912</v>
      </c>
      <c r="D894" t="str">
        <f t="shared" si="104"/>
        <v>Unique</v>
      </c>
      <c r="E894" t="s">
        <v>61</v>
      </c>
      <c r="F894" s="3">
        <f t="shared" si="106"/>
        <v>29</v>
      </c>
      <c r="G894" t="s">
        <v>32</v>
      </c>
      <c r="H894" t="str">
        <f t="shared" si="107"/>
        <v>Valid</v>
      </c>
      <c r="I894" t="s">
        <v>227</v>
      </c>
      <c r="J894" t="str">
        <f t="shared" si="108"/>
        <v>KGG</v>
      </c>
      <c r="K894" t="s">
        <v>40</v>
      </c>
      <c r="L894" t="str" cm="1">
        <f t="array" ref="L894">_xlfn.IFS(
ISNUMBER(SEARCH("ICU",K894)), "ICU",
ISNUMBER(SEARCH("NEONATAL",K894)), PROPER("NEONATAL"),
ISNUMBER(SEARCH("LABOUR",K894)), PROPER("LABOUR"),
ISNUMBER(SEARCH("PAEDIATRIC",K894)), PROPER("PAEDIATRIC"),
ISNUMBER(SEARCH("FEMALE SURGICAL",K894)), PROPER("FEMALE SURG, ORTHO &amp; GYN"),
ISNUMBER(SEARCH("PSYCHIATRIST",K894)), PROPER("PSYCHIATRIST"),
ISNUMBER(SEARCH("GRADE 1",K894)), PROPER("GRADE 1"),
ISNUMBER(SEARCH("MALE SURGICAL",K894)), PROPER("MALE SURG &amp; ORTHOPEDIC"),
ISNUMBER(SEARCH("MALE MEDICAL",K894)), PROPER("MALE MEDICAL"),
ISNUMBER(SEARCH("GRADE 2",K894)), PROPER("GRADE 2"),
ISNUMBER(SEARCH("FEMALE WARD",K894)), PROPER("FEMALE MEDICAL"),
TRUE, "Unmapped: " &amp; K894)</f>
        <v>Labour</v>
      </c>
      <c r="M894" t="s">
        <v>22</v>
      </c>
      <c r="O894" t="s">
        <v>3028</v>
      </c>
      <c r="P894" t="str">
        <f t="shared" si="109"/>
        <v>Text Error</v>
      </c>
      <c r="Q894" s="5">
        <v>46048.949675925927</v>
      </c>
      <c r="R894" t="str">
        <f t="shared" si="110"/>
        <v>Valid Date</v>
      </c>
      <c r="S894" t="s">
        <v>3029</v>
      </c>
      <c r="T894" s="5">
        <v>46049.575706018521</v>
      </c>
      <c r="U894">
        <v>0</v>
      </c>
      <c r="V894" t="str">
        <f t="shared" si="111"/>
        <v>OK</v>
      </c>
      <c r="W894" t="s">
        <v>25</v>
      </c>
      <c r="Y894" t="s">
        <v>30</v>
      </c>
    </row>
    <row r="895" spans="1:25" x14ac:dyDescent="0.25">
      <c r="A895" t="s">
        <v>3030</v>
      </c>
      <c r="B895" t="str">
        <f t="shared" si="105"/>
        <v>Pascal John Mnazi</v>
      </c>
      <c r="C895">
        <v>129687</v>
      </c>
      <c r="D895" t="str">
        <f t="shared" si="104"/>
        <v>Unique</v>
      </c>
      <c r="E895" t="s">
        <v>1951</v>
      </c>
      <c r="F895" s="3">
        <f t="shared" si="106"/>
        <v>58</v>
      </c>
      <c r="G895" t="s">
        <v>19</v>
      </c>
      <c r="H895" t="str">
        <f t="shared" si="107"/>
        <v>Valid</v>
      </c>
      <c r="I895" t="s">
        <v>33</v>
      </c>
      <c r="J895" t="str">
        <f t="shared" si="108"/>
        <v>Kigoma Ujiji Mc</v>
      </c>
      <c r="K895" t="s">
        <v>484</v>
      </c>
      <c r="L895" t="str" cm="1">
        <f t="array" ref="L895">_xlfn.IFS(
ISNUMBER(SEARCH("ICU",K895)), "ICU",
ISNUMBER(SEARCH("NEONATAL",K895)), PROPER("NEONATAL"),
ISNUMBER(SEARCH("LABOUR",K895)), PROPER("LABOUR"),
ISNUMBER(SEARCH("PAEDIATRIC",K895)), PROPER("PAEDIATRIC"),
ISNUMBER(SEARCH("FEMALE SURGICAL",K895)), PROPER("FEMALE SURG, ORTHO &amp; GYN"),
ISNUMBER(SEARCH("PSYCHIATRIST",K895)), PROPER("PSYCHIATRIST"),
ISNUMBER(SEARCH("GRADE 1",K895)), PROPER("GRADE 1"),
ISNUMBER(SEARCH("MALE SURGICAL",K895)), PROPER("MALE SURG &amp; ORTHOPEDIC"),
ISNUMBER(SEARCH("MALE MEDICAL",K895)), PROPER("MALE MEDICAL"),
ISNUMBER(SEARCH("GRADE 2",K895)), PROPER("GRADE 2"),
ISNUMBER(SEARCH("FEMALE WARD",K895)), PROPER("FEMALE MEDICAL"),
TRUE, "Unmapped: " &amp; K895)</f>
        <v>Male Medical</v>
      </c>
      <c r="M895" t="s">
        <v>22</v>
      </c>
      <c r="O895" t="s">
        <v>3031</v>
      </c>
      <c r="P895" t="str">
        <f t="shared" si="109"/>
        <v>Text Error</v>
      </c>
      <c r="Q895" s="5">
        <v>46048.972673611112</v>
      </c>
      <c r="R895" t="str">
        <f t="shared" si="110"/>
        <v>Valid Date</v>
      </c>
      <c r="S895" t="s">
        <v>3032</v>
      </c>
      <c r="T895" s="5">
        <v>46049.597986111112</v>
      </c>
      <c r="U895">
        <v>0</v>
      </c>
      <c r="V895" t="str">
        <f t="shared" si="111"/>
        <v>OK</v>
      </c>
      <c r="W895" t="s">
        <v>25</v>
      </c>
      <c r="Y895" t="s">
        <v>30</v>
      </c>
    </row>
    <row r="896" spans="1:25" x14ac:dyDescent="0.25">
      <c r="A896" t="s">
        <v>3033</v>
      </c>
      <c r="B896" t="str">
        <f t="shared" si="105"/>
        <v>Tuponile James Kaboko</v>
      </c>
      <c r="C896">
        <v>103150</v>
      </c>
      <c r="D896" t="str">
        <f t="shared" si="104"/>
        <v>Unique</v>
      </c>
      <c r="E896" t="s">
        <v>39</v>
      </c>
      <c r="F896" s="3">
        <f t="shared" si="106"/>
        <v>33</v>
      </c>
      <c r="G896" t="s">
        <v>32</v>
      </c>
      <c r="H896" t="str">
        <f t="shared" si="107"/>
        <v>Valid</v>
      </c>
      <c r="I896" t="s">
        <v>33</v>
      </c>
      <c r="J896" t="str">
        <f t="shared" si="108"/>
        <v>Kigoma Ujiji Mc</v>
      </c>
      <c r="K896" t="s">
        <v>123</v>
      </c>
      <c r="L896" t="str" cm="1">
        <f t="array" ref="L896">_xlfn.IFS(
ISNUMBER(SEARCH("ICU",K896)), "ICU",
ISNUMBER(SEARCH("NEONATAL",K896)), PROPER("NEONATAL"),
ISNUMBER(SEARCH("LABOUR",K896)), PROPER("LABOUR"),
ISNUMBER(SEARCH("PAEDIATRIC",K896)), PROPER("PAEDIATRIC"),
ISNUMBER(SEARCH("FEMALE SURGICAL",K896)), PROPER("FEMALE SURG, ORTHO &amp; GYN"),
ISNUMBER(SEARCH("PSYCHIATRIST",K896)), PROPER("PSYCHIATRIST"),
ISNUMBER(SEARCH("GRADE 1",K896)), PROPER("GRADE 1"),
ISNUMBER(SEARCH("MALE SURGICAL",K896)), PROPER("MALE SURG &amp; ORTHOPEDIC"),
ISNUMBER(SEARCH("MALE MEDICAL",K896)), PROPER("MALE MEDICAL"),
ISNUMBER(SEARCH("GRADE 2",K896)), PROPER("GRADE 2"),
ISNUMBER(SEARCH("FEMALE WARD",K896)), PROPER("FEMALE MEDICAL"),
TRUE, "Unmapped: " &amp; K896)</f>
        <v>Female Surg, Ortho &amp; Gyn</v>
      </c>
      <c r="M896" t="s">
        <v>394</v>
      </c>
      <c r="O896" t="s">
        <v>3034</v>
      </c>
      <c r="P896" t="str">
        <f t="shared" si="109"/>
        <v>Text Error</v>
      </c>
      <c r="Q896" s="5">
        <v>46049.057349537034</v>
      </c>
      <c r="R896" t="str">
        <f t="shared" si="110"/>
        <v>Valid Date</v>
      </c>
      <c r="S896" t="s">
        <v>3035</v>
      </c>
      <c r="T896" s="5">
        <v>46049.53765046296</v>
      </c>
      <c r="U896">
        <v>0</v>
      </c>
      <c r="V896" t="str">
        <f t="shared" si="111"/>
        <v>OK</v>
      </c>
      <c r="W896" t="s">
        <v>25</v>
      </c>
      <c r="Y896" t="s">
        <v>30</v>
      </c>
    </row>
    <row r="897" spans="1:25" x14ac:dyDescent="0.25">
      <c r="A897" t="s">
        <v>3036</v>
      </c>
      <c r="B897" t="str">
        <f t="shared" si="105"/>
        <v>Neema Vicent Kasako</v>
      </c>
      <c r="C897">
        <v>129693</v>
      </c>
      <c r="D897" t="str">
        <f t="shared" si="104"/>
        <v>Unique</v>
      </c>
      <c r="E897" t="s">
        <v>86</v>
      </c>
      <c r="F897" s="3">
        <f t="shared" si="106"/>
        <v>23</v>
      </c>
      <c r="G897" t="s">
        <v>32</v>
      </c>
      <c r="H897" t="str">
        <f t="shared" si="107"/>
        <v>Valid</v>
      </c>
      <c r="I897" t="s">
        <v>33</v>
      </c>
      <c r="J897" t="str">
        <f t="shared" si="108"/>
        <v>Kigoma Ujiji Mc</v>
      </c>
      <c r="K897" t="s">
        <v>123</v>
      </c>
      <c r="L897" t="str" cm="1">
        <f t="array" ref="L897">_xlfn.IFS(
ISNUMBER(SEARCH("ICU",K897)), "ICU",
ISNUMBER(SEARCH("NEONATAL",K897)), PROPER("NEONATAL"),
ISNUMBER(SEARCH("LABOUR",K897)), PROPER("LABOUR"),
ISNUMBER(SEARCH("PAEDIATRIC",K897)), PROPER("PAEDIATRIC"),
ISNUMBER(SEARCH("FEMALE SURGICAL",K897)), PROPER("FEMALE SURG, ORTHO &amp; GYN"),
ISNUMBER(SEARCH("PSYCHIATRIST",K897)), PROPER("PSYCHIATRIST"),
ISNUMBER(SEARCH("GRADE 1",K897)), PROPER("GRADE 1"),
ISNUMBER(SEARCH("MALE SURGICAL",K897)), PROPER("MALE SURG &amp; ORTHOPEDIC"),
ISNUMBER(SEARCH("MALE MEDICAL",K897)), PROPER("MALE MEDICAL"),
ISNUMBER(SEARCH("GRADE 2",K897)), PROPER("GRADE 2"),
ISNUMBER(SEARCH("FEMALE WARD",K897)), PROPER("FEMALE MEDICAL"),
TRUE, "Unmapped: " &amp; K897)</f>
        <v>Female Surg, Ortho &amp; Gyn</v>
      </c>
      <c r="M897" t="s">
        <v>22</v>
      </c>
      <c r="O897" t="s">
        <v>3037</v>
      </c>
      <c r="P897" t="str">
        <f t="shared" si="109"/>
        <v>Text Error</v>
      </c>
      <c r="Q897" s="5">
        <v>46049.225208333337</v>
      </c>
      <c r="R897" t="str">
        <f t="shared" si="110"/>
        <v>Valid Date</v>
      </c>
      <c r="S897" t="s">
        <v>3038</v>
      </c>
      <c r="T897" s="5">
        <v>46049.654143518521</v>
      </c>
      <c r="U897">
        <v>0</v>
      </c>
      <c r="V897" t="str">
        <f t="shared" si="111"/>
        <v>OK</v>
      </c>
      <c r="W897" t="s">
        <v>25</v>
      </c>
      <c r="Y897" t="s">
        <v>30</v>
      </c>
    </row>
    <row r="898" spans="1:25" x14ac:dyDescent="0.25">
      <c r="A898" t="s">
        <v>3039</v>
      </c>
      <c r="B898" t="str">
        <f t="shared" ref="B898:B907" si="112">IF(LEN(TRIM(A898))-LEN(SUBSTITUTE(TRIM(A898)," ",""))&gt;=1,TRIM(A898),"⚠ Only 1 name: "&amp;TRIM(A898))</f>
        <v>Yasinta Masanja Mtamla</v>
      </c>
      <c r="C898">
        <v>129592</v>
      </c>
      <c r="D898" t="str">
        <f t="shared" ref="D898:D907" si="113">IF(COUNTIF($C$2:$C$905,C898)&gt;1,"Duplicate","Unique")</f>
        <v>Unique</v>
      </c>
      <c r="E898" t="s">
        <v>296</v>
      </c>
      <c r="F898" s="3">
        <f t="shared" si="106"/>
        <v>26</v>
      </c>
      <c r="G898" t="s">
        <v>32</v>
      </c>
      <c r="H898" t="str">
        <f t="shared" si="107"/>
        <v>Valid</v>
      </c>
      <c r="I898" t="s">
        <v>33</v>
      </c>
      <c r="J898" t="str">
        <f t="shared" si="108"/>
        <v>Kigoma Ujiji Mc</v>
      </c>
      <c r="K898" t="s">
        <v>40</v>
      </c>
      <c r="L898" t="str" cm="1">
        <f t="array" ref="L898">_xlfn.IFS(
ISNUMBER(SEARCH("ICU",K898)), "ICU",
ISNUMBER(SEARCH("NEONATAL",K898)), PROPER("NEONATAL"),
ISNUMBER(SEARCH("LABOUR",K898)), PROPER("LABOUR"),
ISNUMBER(SEARCH("PAEDIATRIC",K898)), PROPER("PAEDIATRIC"),
ISNUMBER(SEARCH("FEMALE SURGICAL",K898)), PROPER("FEMALE SURG, ORTHO &amp; GYN"),
ISNUMBER(SEARCH("PSYCHIATRIST",K898)), PROPER("PSYCHIATRIST"),
ISNUMBER(SEARCH("GRADE 1",K898)), PROPER("GRADE 1"),
ISNUMBER(SEARCH("MALE SURGICAL",K898)), PROPER("MALE SURG &amp; ORTHOPEDIC"),
ISNUMBER(SEARCH("MALE MEDICAL",K898)), PROPER("MALE MEDICAL"),
ISNUMBER(SEARCH("GRADE 2",K898)), PROPER("GRADE 2"),
ISNUMBER(SEARCH("FEMALE WARD",K898)), PROPER("FEMALE MEDICAL"),
TRUE, "Unmapped: " &amp; K898)</f>
        <v>Labour</v>
      </c>
      <c r="M898" t="s">
        <v>22</v>
      </c>
      <c r="O898">
        <v>46049.615567129629</v>
      </c>
      <c r="P898" t="str">
        <f t="shared" si="109"/>
        <v>Valid Date</v>
      </c>
      <c r="Q898">
        <v>46049.6155671296</v>
      </c>
      <c r="R898" t="str">
        <f t="shared" si="110"/>
        <v>Valid Date</v>
      </c>
      <c r="S898" t="s">
        <v>3040</v>
      </c>
      <c r="T898" s="5">
        <v>46049.650243055556</v>
      </c>
      <c r="U898">
        <v>0</v>
      </c>
      <c r="V898" t="str">
        <f t="shared" si="111"/>
        <v>OK</v>
      </c>
      <c r="W898" t="s">
        <v>25</v>
      </c>
      <c r="Y898" t="s">
        <v>30</v>
      </c>
    </row>
    <row r="899" spans="1:25" x14ac:dyDescent="0.25">
      <c r="A899" t="s">
        <v>3041</v>
      </c>
      <c r="B899" t="str">
        <f t="shared" si="112"/>
        <v>Kelvin P Kamzora</v>
      </c>
      <c r="C899">
        <v>129815</v>
      </c>
      <c r="D899" t="str">
        <f t="shared" si="113"/>
        <v>Unique</v>
      </c>
      <c r="E899" t="s">
        <v>74</v>
      </c>
      <c r="F899" s="3">
        <f t="shared" ref="F899:F907" si="114">IF(ISNUMBER(SEARCH("month",E899)), LEFT(E899,FIND(" ",E899)-1)&amp;"/12", VALUE(LEFT(E899,FIND(" ",E899)-1)))</f>
        <v>35</v>
      </c>
      <c r="G899" t="s">
        <v>19</v>
      </c>
      <c r="H899" t="str">
        <f t="shared" ref="H899:H907" si="115">IF(OR(TRIM(G899)="Male", TRIM(G899)="Female"), "Valid", "Inconsistent")</f>
        <v>Valid</v>
      </c>
      <c r="I899" t="s">
        <v>33</v>
      </c>
      <c r="J899" t="str">
        <f t="shared" ref="J899:J907" si="116">SUBSTITUTE(SUBSTITUTE(TRIM(CLEAN(I899)),"Manisipaa ya kigoma ujiji","Kigoma Ujiji Mc"),"Buhingwe","Buhigwe")</f>
        <v>Kigoma Ujiji Mc</v>
      </c>
      <c r="K899" t="s">
        <v>428</v>
      </c>
      <c r="L899" t="str" cm="1">
        <f t="array" ref="L899">_xlfn.IFS(
ISNUMBER(SEARCH("ICU",K899)), "ICU",
ISNUMBER(SEARCH("NEONATAL",K899)), PROPER("NEONATAL"),
ISNUMBER(SEARCH("LABOUR",K899)), PROPER("LABOUR"),
ISNUMBER(SEARCH("PAEDIATRIC",K899)), PROPER("PAEDIATRIC"),
ISNUMBER(SEARCH("FEMALE SURGICAL",K899)), PROPER("FEMALE SURG, ORTHO &amp; GYN"),
ISNUMBER(SEARCH("PSYCHIATRIST",K899)), PROPER("PSYCHIATRIST"),
ISNUMBER(SEARCH("GRADE 1",K899)), PROPER("GRADE 1"),
ISNUMBER(SEARCH("MALE SURGICAL",K899)), PROPER("MALE SURG &amp; ORTHOPEDIC"),
ISNUMBER(SEARCH("MALE MEDICAL",K899)), PROPER("MALE MEDICAL"),
ISNUMBER(SEARCH("GRADE 2",K899)), PROPER("GRADE 2"),
ISNUMBER(SEARCH("FEMALE WARD",K899)), PROPER("FEMALE MEDICAL"),
TRUE, "Unmapped: " &amp; K899)</f>
        <v>Male Surg &amp; Orthopedic</v>
      </c>
      <c r="M899" t="s">
        <v>394</v>
      </c>
      <c r="O899" t="s">
        <v>3042</v>
      </c>
      <c r="P899" t="str">
        <f t="shared" ref="P899:P907" si="117">IF(ISNUMBER(O899), "Valid Date", "Text Error")</f>
        <v>Text Error</v>
      </c>
      <c r="Q899" s="5">
        <v>46049.868287037039</v>
      </c>
      <c r="R899" t="str">
        <f t="shared" ref="R899:R907" si="118">IF(ISNUMBER(Q899), "Valid Date", "Text Error")</f>
        <v>Valid Date</v>
      </c>
      <c r="S899" t="s">
        <v>3043</v>
      </c>
      <c r="T899" s="5">
        <v>46050.602025462962</v>
      </c>
      <c r="U899">
        <v>0</v>
      </c>
      <c r="V899" t="str">
        <f t="shared" ref="V899:V907" si="119">IF(NOT(ISNUMBER(U899)), "Text Error", IF(U899&lt;0, "Negative", "OK"))</f>
        <v>OK</v>
      </c>
      <c r="W899" t="s">
        <v>25</v>
      </c>
      <c r="Y899" t="s">
        <v>30</v>
      </c>
    </row>
    <row r="900" spans="1:25" x14ac:dyDescent="0.25">
      <c r="A900" t="s">
        <v>3044</v>
      </c>
      <c r="B900" t="str">
        <f t="shared" si="112"/>
        <v>B/o Hadija Ramadhan Ismail</v>
      </c>
      <c r="C900">
        <v>129927</v>
      </c>
      <c r="D900" t="str">
        <f t="shared" si="113"/>
        <v>Unique</v>
      </c>
      <c r="E900" t="s">
        <v>1172</v>
      </c>
      <c r="F900" s="3" t="str">
        <f t="shared" si="114"/>
        <v>1/12</v>
      </c>
      <c r="G900" t="s">
        <v>19</v>
      </c>
      <c r="H900" t="str">
        <f t="shared" si="115"/>
        <v>Valid</v>
      </c>
      <c r="I900" t="s">
        <v>62</v>
      </c>
      <c r="J900" t="str">
        <f t="shared" si="116"/>
        <v>Kigoma Vijijini</v>
      </c>
      <c r="K900" t="s">
        <v>21</v>
      </c>
      <c r="L900" t="str" cm="1">
        <f t="array" ref="L900">_xlfn.IFS(
ISNUMBER(SEARCH("ICU",K900)), "ICU",
ISNUMBER(SEARCH("NEONATAL",K900)), PROPER("NEONATAL"),
ISNUMBER(SEARCH("LABOUR",K900)), PROPER("LABOUR"),
ISNUMBER(SEARCH("PAEDIATRIC",K900)), PROPER("PAEDIATRIC"),
ISNUMBER(SEARCH("FEMALE SURGICAL",K900)), PROPER("FEMALE SURG, ORTHO &amp; GYN"),
ISNUMBER(SEARCH("PSYCHIATRIST",K900)), PROPER("PSYCHIATRIST"),
ISNUMBER(SEARCH("GRADE 1",K900)), PROPER("GRADE 1"),
ISNUMBER(SEARCH("MALE SURGICAL",K900)), PROPER("MALE SURG &amp; ORTHOPEDIC"),
ISNUMBER(SEARCH("MALE MEDICAL",K900)), PROPER("MALE MEDICAL"),
ISNUMBER(SEARCH("GRADE 2",K900)), PROPER("GRADE 2"),
ISNUMBER(SEARCH("FEMALE WARD",K900)), PROPER("FEMALE MEDICAL"),
TRUE, "Unmapped: " &amp; K900)</f>
        <v>Neonatal</v>
      </c>
      <c r="M900" t="s">
        <v>22</v>
      </c>
      <c r="O900" t="s">
        <v>3045</v>
      </c>
      <c r="P900" t="str">
        <f t="shared" si="117"/>
        <v>Text Error</v>
      </c>
      <c r="Q900" s="5">
        <v>46050.801527777781</v>
      </c>
      <c r="R900" t="str">
        <f t="shared" si="118"/>
        <v>Valid Date</v>
      </c>
      <c r="S900" t="s">
        <v>3046</v>
      </c>
      <c r="T900" s="5">
        <v>46051.383206018516</v>
      </c>
      <c r="U900">
        <v>0</v>
      </c>
      <c r="V900" t="str">
        <f t="shared" si="119"/>
        <v>OK</v>
      </c>
      <c r="W900" t="s">
        <v>211</v>
      </c>
      <c r="Y900" t="s">
        <v>30</v>
      </c>
    </row>
    <row r="901" spans="1:25" x14ac:dyDescent="0.25">
      <c r="A901" t="s">
        <v>3047</v>
      </c>
      <c r="B901" t="str">
        <f t="shared" si="112"/>
        <v>Esnati Joel Apolonali</v>
      </c>
      <c r="C901">
        <v>129942</v>
      </c>
      <c r="D901" t="str">
        <f t="shared" si="113"/>
        <v>Unique</v>
      </c>
      <c r="E901" t="s">
        <v>151</v>
      </c>
      <c r="F901" s="3">
        <f t="shared" si="114"/>
        <v>22</v>
      </c>
      <c r="G901" t="s">
        <v>32</v>
      </c>
      <c r="H901" t="str">
        <f t="shared" si="115"/>
        <v>Valid</v>
      </c>
      <c r="I901" t="s">
        <v>62</v>
      </c>
      <c r="J901" t="str">
        <f t="shared" si="116"/>
        <v>Kigoma Vijijini</v>
      </c>
      <c r="K901" t="s">
        <v>40</v>
      </c>
      <c r="L901" t="str" cm="1">
        <f t="array" ref="L901">_xlfn.IFS(
ISNUMBER(SEARCH("ICU",K901)), "ICU",
ISNUMBER(SEARCH("NEONATAL",K901)), PROPER("NEONATAL"),
ISNUMBER(SEARCH("LABOUR",K901)), PROPER("LABOUR"),
ISNUMBER(SEARCH("PAEDIATRIC",K901)), PROPER("PAEDIATRIC"),
ISNUMBER(SEARCH("FEMALE SURGICAL",K901)), PROPER("FEMALE SURG, ORTHO &amp; GYN"),
ISNUMBER(SEARCH("PSYCHIATRIST",K901)), PROPER("PSYCHIATRIST"),
ISNUMBER(SEARCH("GRADE 1",K901)), PROPER("GRADE 1"),
ISNUMBER(SEARCH("MALE SURGICAL",K901)), PROPER("MALE SURG &amp; ORTHOPEDIC"),
ISNUMBER(SEARCH("MALE MEDICAL",K901)), PROPER("MALE MEDICAL"),
ISNUMBER(SEARCH("GRADE 2",K901)), PROPER("GRADE 2"),
ISNUMBER(SEARCH("FEMALE WARD",K901)), PROPER("FEMALE MEDICAL"),
TRUE, "Unmapped: " &amp; K901)</f>
        <v>Labour</v>
      </c>
      <c r="M901" t="s">
        <v>22</v>
      </c>
      <c r="O901" t="s">
        <v>3048</v>
      </c>
      <c r="P901" t="str">
        <f t="shared" si="117"/>
        <v>Text Error</v>
      </c>
      <c r="Q901" s="5">
        <v>46050.920277777775</v>
      </c>
      <c r="R901" t="str">
        <f t="shared" si="118"/>
        <v>Valid Date</v>
      </c>
      <c r="S901" t="s">
        <v>3049</v>
      </c>
      <c r="T901" s="5">
        <v>46051.713483796295</v>
      </c>
      <c r="U901">
        <v>0</v>
      </c>
      <c r="V901" t="str">
        <f t="shared" si="119"/>
        <v>OK</v>
      </c>
      <c r="W901" t="s">
        <v>25</v>
      </c>
      <c r="Y901" t="s">
        <v>30</v>
      </c>
    </row>
    <row r="902" spans="1:25" x14ac:dyDescent="0.25">
      <c r="A902" t="s">
        <v>3050</v>
      </c>
      <c r="B902" t="str">
        <f t="shared" si="112"/>
        <v>Abdul Khalid Kasa</v>
      </c>
      <c r="C902">
        <v>129940</v>
      </c>
      <c r="D902" t="str">
        <f t="shared" si="113"/>
        <v>Unique</v>
      </c>
      <c r="E902" t="s">
        <v>773</v>
      </c>
      <c r="F902" s="3">
        <f t="shared" si="114"/>
        <v>68</v>
      </c>
      <c r="G902" t="s">
        <v>19</v>
      </c>
      <c r="H902" t="str">
        <f t="shared" si="115"/>
        <v>Valid</v>
      </c>
      <c r="I902" t="s">
        <v>33</v>
      </c>
      <c r="J902" t="str">
        <f t="shared" si="116"/>
        <v>Kigoma Ujiji Mc</v>
      </c>
      <c r="K902" t="s">
        <v>484</v>
      </c>
      <c r="L902" t="str" cm="1">
        <f t="array" ref="L902">_xlfn.IFS(
ISNUMBER(SEARCH("ICU",K902)), "ICU",
ISNUMBER(SEARCH("NEONATAL",K902)), PROPER("NEONATAL"),
ISNUMBER(SEARCH("LABOUR",K902)), PROPER("LABOUR"),
ISNUMBER(SEARCH("PAEDIATRIC",K902)), PROPER("PAEDIATRIC"),
ISNUMBER(SEARCH("FEMALE SURGICAL",K902)), PROPER("FEMALE SURG, ORTHO &amp; GYN"),
ISNUMBER(SEARCH("PSYCHIATRIST",K902)), PROPER("PSYCHIATRIST"),
ISNUMBER(SEARCH("GRADE 1",K902)), PROPER("GRADE 1"),
ISNUMBER(SEARCH("MALE SURGICAL",K902)), PROPER("MALE SURG &amp; ORTHOPEDIC"),
ISNUMBER(SEARCH("MALE MEDICAL",K902)), PROPER("MALE MEDICAL"),
ISNUMBER(SEARCH("GRADE 2",K902)), PROPER("GRADE 2"),
ISNUMBER(SEARCH("FEMALE WARD",K902)), PROPER("FEMALE MEDICAL"),
TRUE, "Unmapped: " &amp; K902)</f>
        <v>Male Medical</v>
      </c>
      <c r="M902" t="s">
        <v>22</v>
      </c>
      <c r="O902" t="s">
        <v>3051</v>
      </c>
      <c r="P902" t="str">
        <f t="shared" si="117"/>
        <v>Text Error</v>
      </c>
      <c r="Q902" s="5">
        <v>46051.003310185188</v>
      </c>
      <c r="R902" t="str">
        <f t="shared" si="118"/>
        <v>Valid Date</v>
      </c>
      <c r="S902" t="s">
        <v>3052</v>
      </c>
      <c r="T902" s="5">
        <v>46051.343240740738</v>
      </c>
      <c r="U902">
        <v>0</v>
      </c>
      <c r="V902" t="str">
        <f t="shared" si="119"/>
        <v>OK</v>
      </c>
      <c r="W902" t="s">
        <v>211</v>
      </c>
      <c r="Y902" t="s">
        <v>30</v>
      </c>
    </row>
    <row r="903" spans="1:25" x14ac:dyDescent="0.25">
      <c r="A903" t="s">
        <v>3053</v>
      </c>
      <c r="B903" t="str">
        <f t="shared" si="112"/>
        <v>Zainabu Raphael Mwami</v>
      </c>
      <c r="C903">
        <v>130006</v>
      </c>
      <c r="D903" t="str">
        <f t="shared" si="113"/>
        <v>Unique</v>
      </c>
      <c r="E903" t="s">
        <v>554</v>
      </c>
      <c r="F903" s="3">
        <f t="shared" si="114"/>
        <v>56</v>
      </c>
      <c r="G903" t="s">
        <v>32</v>
      </c>
      <c r="H903" t="str">
        <f t="shared" si="115"/>
        <v>Valid</v>
      </c>
      <c r="I903" t="s">
        <v>20</v>
      </c>
      <c r="J903" t="str">
        <f t="shared" si="116"/>
        <v>Uvinza</v>
      </c>
      <c r="K903" t="s">
        <v>700</v>
      </c>
      <c r="L903" t="str" cm="1">
        <f t="array" ref="L903">_xlfn.IFS(
ISNUMBER(SEARCH("ICU",K903)), "ICU",
ISNUMBER(SEARCH("NEONATAL",K903)), PROPER("NEONATAL"),
ISNUMBER(SEARCH("LABOUR",K903)), PROPER("LABOUR"),
ISNUMBER(SEARCH("PAEDIATRIC",K903)), PROPER("PAEDIATRIC"),
ISNUMBER(SEARCH("FEMALE SURGICAL",K903)), PROPER("FEMALE SURG, ORTHO &amp; GYN"),
ISNUMBER(SEARCH("PSYCHIATRIST",K903)), PROPER("PSYCHIATRIST"),
ISNUMBER(SEARCH("GRADE 1",K903)), PROPER("GRADE 1"),
ISNUMBER(SEARCH("MALE SURGICAL",K903)), PROPER("MALE SURG &amp; ORTHOPEDIC"),
ISNUMBER(SEARCH("MALE MEDICAL",K903)), PROPER("MALE MEDICAL"),
ISNUMBER(SEARCH("GRADE 2",K903)), PROPER("GRADE 2"),
ISNUMBER(SEARCH("FEMALE WARD",K903)), PROPER("FEMALE MEDICAL"),
TRUE, "Unmapped: " &amp; K903)</f>
        <v>Female Medical</v>
      </c>
      <c r="M903" t="s">
        <v>22</v>
      </c>
      <c r="O903" t="s">
        <v>3054</v>
      </c>
      <c r="P903" t="str">
        <f t="shared" si="117"/>
        <v>Text Error</v>
      </c>
      <c r="Q903" s="5">
        <v>46051.570787037039</v>
      </c>
      <c r="R903" t="str">
        <f t="shared" si="118"/>
        <v>Valid Date</v>
      </c>
      <c r="S903" t="s">
        <v>3055</v>
      </c>
      <c r="T903" s="5">
        <v>46052.491284722222</v>
      </c>
      <c r="U903">
        <v>0</v>
      </c>
      <c r="V903" t="str">
        <f t="shared" si="119"/>
        <v>OK</v>
      </c>
      <c r="W903" t="s">
        <v>25</v>
      </c>
      <c r="Y903" t="s">
        <v>30</v>
      </c>
    </row>
    <row r="904" spans="1:25" x14ac:dyDescent="0.25">
      <c r="A904" t="s">
        <v>3056</v>
      </c>
      <c r="B904" t="str">
        <f t="shared" si="112"/>
        <v>Ramadhan Mussa Maulid</v>
      </c>
      <c r="C904">
        <v>130025</v>
      </c>
      <c r="D904" t="str">
        <f t="shared" si="113"/>
        <v>Unique</v>
      </c>
      <c r="E904" t="s">
        <v>74</v>
      </c>
      <c r="F904" s="3">
        <f t="shared" si="114"/>
        <v>35</v>
      </c>
      <c r="G904" t="s">
        <v>19</v>
      </c>
      <c r="H904" t="str">
        <f t="shared" si="115"/>
        <v>Valid</v>
      </c>
      <c r="I904" t="s">
        <v>20</v>
      </c>
      <c r="J904" t="str">
        <f t="shared" si="116"/>
        <v>Uvinza</v>
      </c>
      <c r="K904" t="s">
        <v>428</v>
      </c>
      <c r="L904" t="str" cm="1">
        <f t="array" ref="L904">_xlfn.IFS(
ISNUMBER(SEARCH("ICU",K904)), "ICU",
ISNUMBER(SEARCH("NEONATAL",K904)), PROPER("NEONATAL"),
ISNUMBER(SEARCH("LABOUR",K904)), PROPER("LABOUR"),
ISNUMBER(SEARCH("PAEDIATRIC",K904)), PROPER("PAEDIATRIC"),
ISNUMBER(SEARCH("FEMALE SURGICAL",K904)), PROPER("FEMALE SURG, ORTHO &amp; GYN"),
ISNUMBER(SEARCH("PSYCHIATRIST",K904)), PROPER("PSYCHIATRIST"),
ISNUMBER(SEARCH("GRADE 1",K904)), PROPER("GRADE 1"),
ISNUMBER(SEARCH("MALE SURGICAL",K904)), PROPER("MALE SURG &amp; ORTHOPEDIC"),
ISNUMBER(SEARCH("MALE MEDICAL",K904)), PROPER("MALE MEDICAL"),
ISNUMBER(SEARCH("GRADE 2",K904)), PROPER("GRADE 2"),
ISNUMBER(SEARCH("FEMALE WARD",K904)), PROPER("FEMALE MEDICAL"),
TRUE, "Unmapped: " &amp; K904)</f>
        <v>Male Surg &amp; Orthopedic</v>
      </c>
      <c r="M904" t="s">
        <v>22</v>
      </c>
      <c r="O904" t="s">
        <v>3057</v>
      </c>
      <c r="P904" t="str">
        <f t="shared" si="117"/>
        <v>Text Error</v>
      </c>
      <c r="Q904" s="5">
        <v>46051.677511574075</v>
      </c>
      <c r="R904" t="str">
        <f t="shared" si="118"/>
        <v>Valid Date</v>
      </c>
      <c r="S904" t="s">
        <v>3058</v>
      </c>
      <c r="T904" s="5">
        <v>46052.522592592592</v>
      </c>
      <c r="U904">
        <v>0</v>
      </c>
      <c r="V904" t="str">
        <f t="shared" si="119"/>
        <v>OK</v>
      </c>
      <c r="W904" t="s">
        <v>112</v>
      </c>
      <c r="Y904" t="s">
        <v>30</v>
      </c>
    </row>
    <row r="905" spans="1:25" x14ac:dyDescent="0.25">
      <c r="A905" t="s">
        <v>3059</v>
      </c>
      <c r="B905" t="str">
        <f t="shared" si="112"/>
        <v>Baby Of Ashura Hamisi Mrisho</v>
      </c>
      <c r="C905">
        <v>130064</v>
      </c>
      <c r="D905" t="str">
        <f t="shared" si="113"/>
        <v>Unique</v>
      </c>
      <c r="E905" t="s">
        <v>1172</v>
      </c>
      <c r="F905" s="3" t="str">
        <f t="shared" si="114"/>
        <v>1/12</v>
      </c>
      <c r="G905" t="s">
        <v>32</v>
      </c>
      <c r="H905" t="str">
        <f t="shared" si="115"/>
        <v>Valid</v>
      </c>
      <c r="I905" t="s">
        <v>33</v>
      </c>
      <c r="J905" t="str">
        <f t="shared" si="116"/>
        <v>Kigoma Ujiji Mc</v>
      </c>
      <c r="K905" t="s">
        <v>21</v>
      </c>
      <c r="L905" t="str" cm="1">
        <f t="array" ref="L905">_xlfn.IFS(
ISNUMBER(SEARCH("ICU",K905)), "ICU",
ISNUMBER(SEARCH("NEONATAL",K905)), PROPER("NEONATAL"),
ISNUMBER(SEARCH("LABOUR",K905)), PROPER("LABOUR"),
ISNUMBER(SEARCH("PAEDIATRIC",K905)), PROPER("PAEDIATRIC"),
ISNUMBER(SEARCH("FEMALE SURGICAL",K905)), PROPER("FEMALE SURG, ORTHO &amp; GYN"),
ISNUMBER(SEARCH("PSYCHIATRIST",K905)), PROPER("PSYCHIATRIST"),
ISNUMBER(SEARCH("GRADE 1",K905)), PROPER("GRADE 1"),
ISNUMBER(SEARCH("MALE SURGICAL",K905)), PROPER("MALE SURG &amp; ORTHOPEDIC"),
ISNUMBER(SEARCH("MALE MEDICAL",K905)), PROPER("MALE MEDICAL"),
ISNUMBER(SEARCH("GRADE 2",K905)), PROPER("GRADE 2"),
ISNUMBER(SEARCH("FEMALE WARD",K905)), PROPER("FEMALE MEDICAL"),
TRUE, "Unmapped: " &amp; K905)</f>
        <v>Neonatal</v>
      </c>
      <c r="M905" t="s">
        <v>22</v>
      </c>
      <c r="O905" t="s">
        <v>3060</v>
      </c>
      <c r="P905" t="str">
        <f t="shared" si="117"/>
        <v>Text Error</v>
      </c>
      <c r="Q905" s="5">
        <v>46051.851319444446</v>
      </c>
      <c r="R905" t="str">
        <f t="shared" si="118"/>
        <v>Valid Date</v>
      </c>
      <c r="S905" t="s">
        <v>3061</v>
      </c>
      <c r="T905" s="5">
        <v>46052.730196759258</v>
      </c>
      <c r="U905">
        <v>0</v>
      </c>
      <c r="V905" t="str">
        <f t="shared" si="119"/>
        <v>OK</v>
      </c>
      <c r="W905" t="s">
        <v>25</v>
      </c>
      <c r="Y905" t="s">
        <v>30</v>
      </c>
    </row>
    <row r="906" spans="1:25" x14ac:dyDescent="0.25">
      <c r="A906" t="s">
        <v>3062</v>
      </c>
      <c r="B906" t="str">
        <f t="shared" si="112"/>
        <v>Careen Elia Hamis</v>
      </c>
      <c r="C906">
        <v>130177</v>
      </c>
      <c r="D906" t="str">
        <f t="shared" si="113"/>
        <v>Unique</v>
      </c>
      <c r="E906" t="s">
        <v>454</v>
      </c>
      <c r="F906" s="3">
        <f t="shared" si="114"/>
        <v>3</v>
      </c>
      <c r="G906" t="s">
        <v>32</v>
      </c>
      <c r="H906" t="str">
        <f t="shared" si="115"/>
        <v>Valid</v>
      </c>
      <c r="I906" t="s">
        <v>33</v>
      </c>
      <c r="J906" t="str">
        <f t="shared" si="116"/>
        <v>Kigoma Ujiji Mc</v>
      </c>
      <c r="K906" t="s">
        <v>109</v>
      </c>
      <c r="L906" t="str" cm="1">
        <f t="array" ref="L906">_xlfn.IFS(
ISNUMBER(SEARCH("ICU",K906)), "ICU",
ISNUMBER(SEARCH("NEONATAL",K906)), PROPER("NEONATAL"),
ISNUMBER(SEARCH("LABOUR",K906)), PROPER("LABOUR"),
ISNUMBER(SEARCH("PAEDIATRIC",K906)), PROPER("PAEDIATRIC"),
ISNUMBER(SEARCH("FEMALE SURGICAL",K906)), PROPER("FEMALE SURG, ORTHO &amp; GYN"),
ISNUMBER(SEARCH("PSYCHIATRIST",K906)), PROPER("PSYCHIATRIST"),
ISNUMBER(SEARCH("GRADE 1",K906)), PROPER("GRADE 1"),
ISNUMBER(SEARCH("MALE SURGICAL",K906)), PROPER("MALE SURG &amp; ORTHOPEDIC"),
ISNUMBER(SEARCH("MALE MEDICAL",K906)), PROPER("MALE MEDICAL"),
ISNUMBER(SEARCH("GRADE 2",K906)), PROPER("GRADE 2"),
ISNUMBER(SEARCH("FEMALE WARD",K906)), PROPER("FEMALE MEDICAL"),
TRUE, "Unmapped: " &amp; K906)</f>
        <v>Paediatric</v>
      </c>
      <c r="M906" t="s">
        <v>22</v>
      </c>
      <c r="O906" t="s">
        <v>3063</v>
      </c>
      <c r="P906" t="str">
        <f t="shared" si="117"/>
        <v>Text Error</v>
      </c>
      <c r="Q906" s="5">
        <v>46052.802569444444</v>
      </c>
      <c r="R906" t="str">
        <f t="shared" si="118"/>
        <v>Valid Date</v>
      </c>
      <c r="S906" t="s">
        <v>3064</v>
      </c>
      <c r="T906" s="5">
        <v>46053.676377314812</v>
      </c>
      <c r="U906">
        <v>0</v>
      </c>
      <c r="V906" t="str">
        <f t="shared" si="119"/>
        <v>OK</v>
      </c>
      <c r="W906" t="s">
        <v>25</v>
      </c>
      <c r="Y906" t="s">
        <v>30</v>
      </c>
    </row>
    <row r="907" spans="1:25" x14ac:dyDescent="0.25">
      <c r="A907" t="s">
        <v>3066</v>
      </c>
      <c r="B907" t="str">
        <f t="shared" si="112"/>
        <v>Adam Rambada Adam</v>
      </c>
      <c r="C907">
        <v>130173</v>
      </c>
      <c r="D907" t="str">
        <f t="shared" si="113"/>
        <v>Unique</v>
      </c>
      <c r="E907" t="s">
        <v>634</v>
      </c>
      <c r="F907" s="3" t="str">
        <f t="shared" si="114"/>
        <v>3/12</v>
      </c>
      <c r="G907" t="s">
        <v>19</v>
      </c>
      <c r="H907" t="str">
        <f t="shared" si="115"/>
        <v>Valid</v>
      </c>
      <c r="I907" t="s">
        <v>33</v>
      </c>
      <c r="J907" t="str">
        <f t="shared" si="116"/>
        <v>Kigoma Ujiji Mc</v>
      </c>
      <c r="K907" t="s">
        <v>109</v>
      </c>
      <c r="L907" t="str" cm="1">
        <f t="array" ref="L907">_xlfn.IFS(
ISNUMBER(SEARCH("ICU",K907)), "ICU",
ISNUMBER(SEARCH("NEONATAL",K907)), PROPER("NEONATAL"),
ISNUMBER(SEARCH("LABOUR",K907)), PROPER("LABOUR"),
ISNUMBER(SEARCH("PAEDIATRIC",K907)), PROPER("PAEDIATRIC"),
ISNUMBER(SEARCH("FEMALE SURGICAL",K907)), PROPER("FEMALE SURG, ORTHO &amp; GYN"),
ISNUMBER(SEARCH("PSYCHIATRIST",K907)), PROPER("PSYCHIATRIST"),
ISNUMBER(SEARCH("GRADE 1",K907)), PROPER("GRADE 1"),
ISNUMBER(SEARCH("MALE SURGICAL",K907)), PROPER("MALE SURG &amp; ORTHOPEDIC"),
ISNUMBER(SEARCH("MALE MEDICAL",K907)), PROPER("MALE MEDICAL"),
ISNUMBER(SEARCH("GRADE 2",K907)), PROPER("GRADE 2"),
ISNUMBER(SEARCH("FEMALE WARD",K907)), PROPER("FEMALE MEDICAL"),
TRUE, "Unmapped: " &amp; K907)</f>
        <v>Paediatric</v>
      </c>
      <c r="M907" t="s">
        <v>22</v>
      </c>
      <c r="O907" t="s">
        <v>3067</v>
      </c>
      <c r="P907" t="str">
        <f t="shared" si="117"/>
        <v>Text Error</v>
      </c>
      <c r="Q907" s="5">
        <v>46052.881342592591</v>
      </c>
      <c r="R907" t="str">
        <f t="shared" si="118"/>
        <v>Valid Date</v>
      </c>
      <c r="S907" t="s">
        <v>3068</v>
      </c>
      <c r="T907" s="5">
        <v>46053.689872685187</v>
      </c>
      <c r="U907">
        <v>0</v>
      </c>
      <c r="V907" t="str">
        <f t="shared" si="119"/>
        <v>OK</v>
      </c>
      <c r="W907" t="s">
        <v>112</v>
      </c>
      <c r="Y907" t="s">
        <v>30</v>
      </c>
    </row>
  </sheetData>
  <autoFilter ref="A1:Z907" xr:uid="{A3409A04-E565-43F3-837B-B2C08FA8484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5BA0E-6231-44F9-AEE6-64E6AC57172F}">
  <dimension ref="A1:L907"/>
  <sheetViews>
    <sheetView topLeftCell="A21" zoomScaleNormal="100" workbookViewId="0">
      <selection activeCell="F40" sqref="F40"/>
    </sheetView>
  </sheetViews>
  <sheetFormatPr defaultRowHeight="15.75" x14ac:dyDescent="0.25"/>
  <cols>
    <col min="1" max="1" width="33.625" bestFit="1" customWidth="1"/>
    <col min="2" max="2" width="13.625" bestFit="1" customWidth="1"/>
    <col min="3" max="3" width="10" style="3" bestFit="1" customWidth="1"/>
    <col min="5" max="5" width="13.5" bestFit="1" customWidth="1"/>
    <col min="6" max="6" width="21.75" bestFit="1" customWidth="1"/>
    <col min="8" max="9" width="18" customWidth="1"/>
    <col min="11" max="11" width="17.5" bestFit="1" customWidth="1"/>
    <col min="12" max="12" width="8.375" bestFit="1" customWidth="1"/>
  </cols>
  <sheetData>
    <row r="1" spans="1:12" s="6" customFormat="1" ht="21.75" customHeight="1" x14ac:dyDescent="0.25">
      <c r="A1" s="6" t="s">
        <v>0</v>
      </c>
      <c r="B1" s="6" t="s">
        <v>1</v>
      </c>
      <c r="C1" s="6" t="s">
        <v>3069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3071</v>
      </c>
      <c r="J1" s="6" t="s">
        <v>9</v>
      </c>
      <c r="K1" s="6" t="s">
        <v>10</v>
      </c>
      <c r="L1" s="6" t="s">
        <v>16</v>
      </c>
    </row>
    <row r="2" spans="1:12" x14ac:dyDescent="0.25">
      <c r="A2" t="s">
        <v>17</v>
      </c>
      <c r="B2">
        <v>92772</v>
      </c>
      <c r="C2" s="3">
        <v>1</v>
      </c>
      <c r="D2" t="s">
        <v>19</v>
      </c>
      <c r="E2" t="s">
        <v>20</v>
      </c>
      <c r="F2" t="s">
        <v>3072</v>
      </c>
      <c r="G2" t="s">
        <v>22</v>
      </c>
      <c r="H2" s="5">
        <v>45649.048298611109</v>
      </c>
      <c r="I2" s="5">
        <v>46031.783587962964</v>
      </c>
      <c r="J2">
        <v>382</v>
      </c>
      <c r="K2" t="s">
        <v>25</v>
      </c>
      <c r="L2" t="s">
        <v>30</v>
      </c>
    </row>
    <row r="3" spans="1:12" x14ac:dyDescent="0.25">
      <c r="A3" t="s">
        <v>31</v>
      </c>
      <c r="B3">
        <v>93921</v>
      </c>
      <c r="C3" s="3">
        <v>1</v>
      </c>
      <c r="D3" t="s">
        <v>32</v>
      </c>
      <c r="E3" t="s">
        <v>3073</v>
      </c>
      <c r="F3" t="s">
        <v>3072</v>
      </c>
      <c r="G3" t="s">
        <v>22</v>
      </c>
      <c r="H3" s="5">
        <v>45662.635775462964</v>
      </c>
      <c r="I3" s="5">
        <v>46031.784050925926</v>
      </c>
      <c r="J3">
        <v>369</v>
      </c>
      <c r="K3" t="s">
        <v>25</v>
      </c>
      <c r="L3" t="s">
        <v>30</v>
      </c>
    </row>
    <row r="4" spans="1:12" x14ac:dyDescent="0.25">
      <c r="A4" t="s">
        <v>38</v>
      </c>
      <c r="B4">
        <v>99223</v>
      </c>
      <c r="C4" s="3">
        <v>33</v>
      </c>
      <c r="D4" t="s">
        <v>32</v>
      </c>
      <c r="E4" t="s">
        <v>3073</v>
      </c>
      <c r="F4" t="s">
        <v>3074</v>
      </c>
      <c r="G4" t="s">
        <v>22</v>
      </c>
      <c r="H4" s="5">
        <v>45716.864016203705</v>
      </c>
      <c r="I4" s="5">
        <v>46031.454398148147</v>
      </c>
      <c r="J4">
        <v>314</v>
      </c>
      <c r="K4" t="s">
        <v>25</v>
      </c>
      <c r="L4" t="s">
        <v>30</v>
      </c>
    </row>
    <row r="5" spans="1:12" x14ac:dyDescent="0.25">
      <c r="A5" t="s">
        <v>47</v>
      </c>
      <c r="B5">
        <v>99453</v>
      </c>
      <c r="C5" s="3">
        <v>1</v>
      </c>
      <c r="D5" t="s">
        <v>19</v>
      </c>
      <c r="E5" t="s">
        <v>3073</v>
      </c>
      <c r="F5" t="s">
        <v>3072</v>
      </c>
      <c r="G5" t="s">
        <v>22</v>
      </c>
      <c r="H5" s="5">
        <v>45719.988333333335</v>
      </c>
      <c r="I5" s="5">
        <v>46031.784988425927</v>
      </c>
      <c r="J5">
        <v>311</v>
      </c>
      <c r="K5" t="s">
        <v>25</v>
      </c>
      <c r="L5" t="s">
        <v>30</v>
      </c>
    </row>
    <row r="6" spans="1:12" x14ac:dyDescent="0.25">
      <c r="A6" t="s">
        <v>53</v>
      </c>
      <c r="B6">
        <v>99888</v>
      </c>
      <c r="C6" s="3">
        <v>21</v>
      </c>
      <c r="D6" t="s">
        <v>32</v>
      </c>
      <c r="E6" t="s">
        <v>3073</v>
      </c>
      <c r="F6" t="s">
        <v>3074</v>
      </c>
      <c r="G6" t="s">
        <v>22</v>
      </c>
      <c r="H6" s="5">
        <v>45725.277662037035</v>
      </c>
      <c r="I6" s="5">
        <v>46031.456562500003</v>
      </c>
      <c r="J6">
        <v>306</v>
      </c>
      <c r="K6" t="s">
        <v>25</v>
      </c>
      <c r="L6" t="s">
        <v>30</v>
      </c>
    </row>
    <row r="7" spans="1:12" x14ac:dyDescent="0.25">
      <c r="A7" t="s">
        <v>60</v>
      </c>
      <c r="B7">
        <v>101331</v>
      </c>
      <c r="C7" s="3">
        <v>29</v>
      </c>
      <c r="D7" t="s">
        <v>32</v>
      </c>
      <c r="E7" t="s">
        <v>62</v>
      </c>
      <c r="F7" t="s">
        <v>3074</v>
      </c>
      <c r="G7" t="s">
        <v>22</v>
      </c>
      <c r="H7" s="5">
        <v>45740.853217592594</v>
      </c>
      <c r="I7" s="5">
        <v>46031.461412037039</v>
      </c>
      <c r="J7">
        <v>290</v>
      </c>
      <c r="K7" t="s">
        <v>65</v>
      </c>
      <c r="L7" t="s">
        <v>30</v>
      </c>
    </row>
    <row r="8" spans="1:12" x14ac:dyDescent="0.25">
      <c r="A8" t="s">
        <v>67</v>
      </c>
      <c r="B8">
        <v>38859</v>
      </c>
      <c r="C8" s="3">
        <v>32</v>
      </c>
      <c r="D8" t="s">
        <v>32</v>
      </c>
      <c r="E8" t="s">
        <v>3073</v>
      </c>
      <c r="F8" t="s">
        <v>3074</v>
      </c>
      <c r="G8" t="s">
        <v>22</v>
      </c>
      <c r="H8" s="5">
        <v>45744.432291666664</v>
      </c>
      <c r="I8" s="5">
        <v>46031.454814814817</v>
      </c>
      <c r="J8">
        <v>287</v>
      </c>
      <c r="K8" t="s">
        <v>25</v>
      </c>
      <c r="L8" t="s">
        <v>30</v>
      </c>
    </row>
    <row r="9" spans="1:12" x14ac:dyDescent="0.25">
      <c r="A9" t="s">
        <v>73</v>
      </c>
      <c r="B9">
        <v>101662</v>
      </c>
      <c r="C9" s="3">
        <v>35</v>
      </c>
      <c r="D9" t="s">
        <v>32</v>
      </c>
      <c r="E9" t="s">
        <v>3073</v>
      </c>
      <c r="F9" t="s">
        <v>3074</v>
      </c>
      <c r="G9" t="s">
        <v>22</v>
      </c>
      <c r="H9" s="5">
        <v>45744.774270833332</v>
      </c>
      <c r="I9" s="5">
        <v>46031.456979166665</v>
      </c>
      <c r="J9">
        <v>286</v>
      </c>
      <c r="K9" t="s">
        <v>25</v>
      </c>
      <c r="L9" t="s">
        <v>30</v>
      </c>
    </row>
    <row r="10" spans="1:12" x14ac:dyDescent="0.25">
      <c r="A10" t="s">
        <v>79</v>
      </c>
      <c r="B10">
        <v>102455</v>
      </c>
      <c r="C10" s="3">
        <v>24</v>
      </c>
      <c r="D10" t="s">
        <v>32</v>
      </c>
      <c r="E10" t="s">
        <v>62</v>
      </c>
      <c r="F10" t="s">
        <v>3074</v>
      </c>
      <c r="G10" t="s">
        <v>22</v>
      </c>
      <c r="H10" s="5">
        <v>45755.009571759256</v>
      </c>
      <c r="I10" s="5">
        <v>46031.463090277779</v>
      </c>
      <c r="J10">
        <v>276</v>
      </c>
      <c r="K10" t="s">
        <v>25</v>
      </c>
      <c r="L10" t="s">
        <v>30</v>
      </c>
    </row>
    <row r="11" spans="1:12" x14ac:dyDescent="0.25">
      <c r="A11" t="s">
        <v>85</v>
      </c>
      <c r="B11">
        <v>102626</v>
      </c>
      <c r="C11" s="3">
        <v>23</v>
      </c>
      <c r="D11" t="s">
        <v>32</v>
      </c>
      <c r="E11" t="s">
        <v>3073</v>
      </c>
      <c r="F11" t="s">
        <v>3074</v>
      </c>
      <c r="G11" t="s">
        <v>22</v>
      </c>
      <c r="H11" s="5">
        <v>45756.689340277779</v>
      </c>
      <c r="I11" s="5">
        <v>46031.456111111111</v>
      </c>
      <c r="J11">
        <v>274</v>
      </c>
      <c r="K11" t="s">
        <v>25</v>
      </c>
      <c r="L11" t="s">
        <v>30</v>
      </c>
    </row>
    <row r="12" spans="1:12" x14ac:dyDescent="0.25">
      <c r="A12" t="s">
        <v>90</v>
      </c>
      <c r="B12">
        <v>103251</v>
      </c>
      <c r="C12" s="3" t="s">
        <v>3075</v>
      </c>
      <c r="D12" t="s">
        <v>19</v>
      </c>
      <c r="E12" t="s">
        <v>3073</v>
      </c>
      <c r="F12" t="s">
        <v>3072</v>
      </c>
      <c r="G12" t="s">
        <v>22</v>
      </c>
      <c r="H12" s="5">
        <v>45763.97928240741</v>
      </c>
      <c r="I12" s="5">
        <v>46031.786087962966</v>
      </c>
      <c r="J12">
        <v>267</v>
      </c>
      <c r="K12" t="s">
        <v>25</v>
      </c>
      <c r="L12" t="s">
        <v>30</v>
      </c>
    </row>
    <row r="13" spans="1:12" x14ac:dyDescent="0.25">
      <c r="A13" t="s">
        <v>96</v>
      </c>
      <c r="B13">
        <v>103250</v>
      </c>
      <c r="C13" s="3" t="s">
        <v>3075</v>
      </c>
      <c r="D13" t="s">
        <v>32</v>
      </c>
      <c r="E13" t="s">
        <v>3073</v>
      </c>
      <c r="F13" t="s">
        <v>3072</v>
      </c>
      <c r="G13" t="s">
        <v>22</v>
      </c>
      <c r="H13" s="5">
        <v>45763.986527777779</v>
      </c>
      <c r="I13" s="5">
        <v>46031.78638888889</v>
      </c>
      <c r="J13">
        <v>267</v>
      </c>
      <c r="K13" t="s">
        <v>25</v>
      </c>
      <c r="L13" t="s">
        <v>30</v>
      </c>
    </row>
    <row r="14" spans="1:12" x14ac:dyDescent="0.25">
      <c r="A14" t="s">
        <v>99</v>
      </c>
      <c r="B14">
        <v>103252</v>
      </c>
      <c r="C14" s="3" t="s">
        <v>3075</v>
      </c>
      <c r="D14" t="s">
        <v>19</v>
      </c>
      <c r="E14" t="s">
        <v>3073</v>
      </c>
      <c r="F14" t="s">
        <v>3072</v>
      </c>
      <c r="G14" t="s">
        <v>22</v>
      </c>
      <c r="H14" s="5">
        <v>45764.005104166667</v>
      </c>
      <c r="I14" s="5">
        <v>46031.788043981483</v>
      </c>
      <c r="J14">
        <v>267</v>
      </c>
      <c r="K14" t="s">
        <v>25</v>
      </c>
      <c r="L14" t="s">
        <v>30</v>
      </c>
    </row>
    <row r="15" spans="1:12" x14ac:dyDescent="0.25">
      <c r="A15" t="s">
        <v>102</v>
      </c>
      <c r="B15">
        <v>103340</v>
      </c>
      <c r="C15" s="3">
        <v>35</v>
      </c>
      <c r="D15" t="s">
        <v>32</v>
      </c>
      <c r="E15" t="s">
        <v>62</v>
      </c>
      <c r="F15" t="s">
        <v>3074</v>
      </c>
      <c r="G15" t="s">
        <v>22</v>
      </c>
      <c r="H15" s="5">
        <v>45764.72488425926</v>
      </c>
      <c r="I15" s="5">
        <v>46031.460960648146</v>
      </c>
      <c r="J15">
        <v>266</v>
      </c>
      <c r="K15" t="s">
        <v>25</v>
      </c>
      <c r="L15" t="s">
        <v>30</v>
      </c>
    </row>
    <row r="16" spans="1:12" x14ac:dyDescent="0.25">
      <c r="A16" t="s">
        <v>107</v>
      </c>
      <c r="B16">
        <v>103551</v>
      </c>
      <c r="C16" s="3">
        <v>2</v>
      </c>
      <c r="D16" t="s">
        <v>19</v>
      </c>
      <c r="E16" t="s">
        <v>62</v>
      </c>
      <c r="F16" t="s">
        <v>3076</v>
      </c>
      <c r="G16" t="s">
        <v>22</v>
      </c>
      <c r="H16" s="5">
        <v>45768.782118055555</v>
      </c>
      <c r="I16" s="5">
        <v>46035.497557870367</v>
      </c>
      <c r="J16">
        <v>266</v>
      </c>
      <c r="K16" t="s">
        <v>112</v>
      </c>
      <c r="L16" t="s">
        <v>30</v>
      </c>
    </row>
    <row r="17" spans="1:12" x14ac:dyDescent="0.25">
      <c r="A17" t="s">
        <v>114</v>
      </c>
      <c r="B17">
        <v>103649</v>
      </c>
      <c r="C17" s="3" t="s">
        <v>3075</v>
      </c>
      <c r="D17" t="s">
        <v>19</v>
      </c>
      <c r="E17" t="s">
        <v>3073</v>
      </c>
      <c r="F17" t="s">
        <v>3072</v>
      </c>
      <c r="G17" t="s">
        <v>22</v>
      </c>
      <c r="H17" s="5">
        <v>45769.801724537036</v>
      </c>
      <c r="I17" s="5">
        <v>46031.788414351853</v>
      </c>
      <c r="J17">
        <v>261</v>
      </c>
      <c r="K17" t="s">
        <v>25</v>
      </c>
      <c r="L17" t="s">
        <v>30</v>
      </c>
    </row>
    <row r="18" spans="1:12" x14ac:dyDescent="0.25">
      <c r="A18" t="s">
        <v>118</v>
      </c>
      <c r="B18">
        <v>104157</v>
      </c>
      <c r="C18" s="3">
        <v>24</v>
      </c>
      <c r="D18" t="s">
        <v>32</v>
      </c>
      <c r="E18" t="s">
        <v>3073</v>
      </c>
      <c r="F18" t="s">
        <v>3074</v>
      </c>
      <c r="G18" t="s">
        <v>22</v>
      </c>
      <c r="H18" s="5">
        <v>45776.718634259261</v>
      </c>
      <c r="I18" s="5">
        <v>46031.73096064815</v>
      </c>
      <c r="J18">
        <v>255</v>
      </c>
      <c r="K18" t="s">
        <v>25</v>
      </c>
      <c r="L18" t="s">
        <v>30</v>
      </c>
    </row>
    <row r="19" spans="1:12" x14ac:dyDescent="0.25">
      <c r="A19" t="s">
        <v>121</v>
      </c>
      <c r="B19">
        <v>104427</v>
      </c>
      <c r="C19" s="3">
        <v>40</v>
      </c>
      <c r="D19" t="s">
        <v>32</v>
      </c>
      <c r="E19" t="s">
        <v>3073</v>
      </c>
      <c r="F19" t="s">
        <v>3077</v>
      </c>
      <c r="G19" t="s">
        <v>22</v>
      </c>
      <c r="H19" s="5">
        <v>45779.120393518519</v>
      </c>
      <c r="I19" s="5">
        <v>46031.803668981483</v>
      </c>
      <c r="J19">
        <v>252</v>
      </c>
      <c r="K19" t="s">
        <v>65</v>
      </c>
      <c r="L19" t="s">
        <v>30</v>
      </c>
    </row>
    <row r="20" spans="1:12" x14ac:dyDescent="0.25">
      <c r="A20" t="s">
        <v>129</v>
      </c>
      <c r="B20">
        <v>104514</v>
      </c>
      <c r="C20" s="3">
        <v>33</v>
      </c>
      <c r="D20" t="s">
        <v>32</v>
      </c>
      <c r="E20" t="s">
        <v>2589</v>
      </c>
      <c r="F20" t="s">
        <v>3077</v>
      </c>
      <c r="G20" t="s">
        <v>22</v>
      </c>
      <c r="H20" s="5">
        <v>45779.787858796299</v>
      </c>
      <c r="I20" s="5">
        <v>46031.803969907407</v>
      </c>
      <c r="J20">
        <v>252</v>
      </c>
      <c r="K20" t="s">
        <v>65</v>
      </c>
      <c r="L20" t="s">
        <v>30</v>
      </c>
    </row>
    <row r="21" spans="1:12" x14ac:dyDescent="0.25">
      <c r="A21" t="s">
        <v>134</v>
      </c>
      <c r="B21">
        <v>105121</v>
      </c>
      <c r="C21" s="3">
        <v>24</v>
      </c>
      <c r="D21" t="s">
        <v>32</v>
      </c>
      <c r="E21" t="s">
        <v>3073</v>
      </c>
      <c r="F21" t="s">
        <v>3074</v>
      </c>
      <c r="G21" t="s">
        <v>22</v>
      </c>
      <c r="H21" s="5">
        <v>45785.85015046296</v>
      </c>
      <c r="I21" s="5">
        <v>46031.730567129627</v>
      </c>
      <c r="J21">
        <v>245</v>
      </c>
      <c r="K21" t="s">
        <v>25</v>
      </c>
      <c r="L21" t="s">
        <v>30</v>
      </c>
    </row>
    <row r="22" spans="1:12" x14ac:dyDescent="0.25">
      <c r="A22" t="s">
        <v>137</v>
      </c>
      <c r="B22">
        <v>105271</v>
      </c>
      <c r="C22" s="3">
        <v>18</v>
      </c>
      <c r="D22" t="s">
        <v>32</v>
      </c>
      <c r="E22" t="s">
        <v>3073</v>
      </c>
      <c r="F22" t="s">
        <v>3077</v>
      </c>
      <c r="G22" t="s">
        <v>22</v>
      </c>
      <c r="H22" s="5">
        <v>45788.036111111112</v>
      </c>
      <c r="I22" s="5">
        <v>46031.804282407407</v>
      </c>
      <c r="J22">
        <v>243</v>
      </c>
      <c r="K22" t="s">
        <v>25</v>
      </c>
      <c r="L22" t="s">
        <v>30</v>
      </c>
    </row>
    <row r="23" spans="1:12" x14ac:dyDescent="0.25">
      <c r="A23" t="s">
        <v>141</v>
      </c>
      <c r="B23">
        <v>105513</v>
      </c>
      <c r="C23" s="3">
        <v>20</v>
      </c>
      <c r="D23" t="s">
        <v>32</v>
      </c>
      <c r="E23" t="s">
        <v>62</v>
      </c>
      <c r="F23" t="s">
        <v>3074</v>
      </c>
      <c r="G23" t="s">
        <v>22</v>
      </c>
      <c r="H23" s="5">
        <v>45790.771354166667</v>
      </c>
      <c r="I23" s="5">
        <v>46031.730081018519</v>
      </c>
      <c r="J23">
        <v>240</v>
      </c>
      <c r="K23" t="s">
        <v>25</v>
      </c>
      <c r="L23" t="s">
        <v>30</v>
      </c>
    </row>
    <row r="24" spans="1:12" x14ac:dyDescent="0.25">
      <c r="A24" t="s">
        <v>146</v>
      </c>
      <c r="B24">
        <v>105835</v>
      </c>
      <c r="C24" s="3">
        <v>30</v>
      </c>
      <c r="D24" t="s">
        <v>32</v>
      </c>
      <c r="E24" t="s">
        <v>62</v>
      </c>
      <c r="F24" t="s">
        <v>3074</v>
      </c>
      <c r="G24" t="s">
        <v>22</v>
      </c>
      <c r="H24" s="5">
        <v>45794.615844907406</v>
      </c>
      <c r="I24" s="5">
        <v>46031.729756944442</v>
      </c>
      <c r="J24">
        <v>237</v>
      </c>
      <c r="K24" t="s">
        <v>25</v>
      </c>
      <c r="L24" t="s">
        <v>30</v>
      </c>
    </row>
    <row r="25" spans="1:12" x14ac:dyDescent="0.25">
      <c r="A25" t="s">
        <v>150</v>
      </c>
      <c r="B25">
        <v>105902</v>
      </c>
      <c r="C25" s="3">
        <v>22</v>
      </c>
      <c r="D25" t="s">
        <v>32</v>
      </c>
      <c r="E25" t="s">
        <v>3073</v>
      </c>
      <c r="F25" t="s">
        <v>3074</v>
      </c>
      <c r="G25" t="s">
        <v>22</v>
      </c>
      <c r="H25" s="5">
        <v>45796.099814814814</v>
      </c>
      <c r="I25" s="5">
        <v>46031.457442129627</v>
      </c>
      <c r="J25">
        <v>235</v>
      </c>
      <c r="K25" t="s">
        <v>25</v>
      </c>
      <c r="L25" t="s">
        <v>30</v>
      </c>
    </row>
    <row r="26" spans="1:12" x14ac:dyDescent="0.25">
      <c r="A26" t="s">
        <v>154</v>
      </c>
      <c r="B26">
        <v>87415</v>
      </c>
      <c r="C26" s="3">
        <v>2</v>
      </c>
      <c r="D26" t="s">
        <v>19</v>
      </c>
      <c r="E26" t="s">
        <v>3073</v>
      </c>
      <c r="F26" t="s">
        <v>3076</v>
      </c>
      <c r="G26" t="s">
        <v>22</v>
      </c>
      <c r="H26" s="5">
        <v>45799.587685185186</v>
      </c>
      <c r="I26" s="5">
        <v>46035.497002314813</v>
      </c>
      <c r="J26">
        <v>235</v>
      </c>
      <c r="K26" t="s">
        <v>25</v>
      </c>
      <c r="L26" t="s">
        <v>30</v>
      </c>
    </row>
    <row r="27" spans="1:12" x14ac:dyDescent="0.25">
      <c r="A27" t="s">
        <v>158</v>
      </c>
      <c r="B27">
        <v>106502</v>
      </c>
      <c r="C27" s="3">
        <v>1</v>
      </c>
      <c r="D27" t="s">
        <v>32</v>
      </c>
      <c r="E27" t="s">
        <v>3073</v>
      </c>
      <c r="F27" t="s">
        <v>3076</v>
      </c>
      <c r="G27" t="s">
        <v>22</v>
      </c>
      <c r="H27" s="5">
        <v>45802.103773148148</v>
      </c>
      <c r="I27" s="5">
        <v>46035.496724537035</v>
      </c>
      <c r="J27">
        <v>233</v>
      </c>
      <c r="K27" t="s">
        <v>25</v>
      </c>
      <c r="L27" t="s">
        <v>30</v>
      </c>
    </row>
    <row r="28" spans="1:12" x14ac:dyDescent="0.25">
      <c r="A28" t="s">
        <v>162</v>
      </c>
      <c r="B28">
        <v>106579</v>
      </c>
      <c r="C28" s="3">
        <v>2</v>
      </c>
      <c r="D28" t="s">
        <v>32</v>
      </c>
      <c r="E28" t="s">
        <v>62</v>
      </c>
      <c r="F28" t="s">
        <v>3076</v>
      </c>
      <c r="G28" t="s">
        <v>22</v>
      </c>
      <c r="H28" s="5">
        <v>45803.739687499998</v>
      </c>
      <c r="I28" s="5">
        <v>46035.49728009259</v>
      </c>
      <c r="J28">
        <v>231</v>
      </c>
      <c r="K28" t="s">
        <v>25</v>
      </c>
      <c r="L28" t="s">
        <v>30</v>
      </c>
    </row>
    <row r="29" spans="1:12" x14ac:dyDescent="0.25">
      <c r="A29" t="s">
        <v>167</v>
      </c>
      <c r="B29">
        <v>107136</v>
      </c>
      <c r="C29" s="3">
        <v>1</v>
      </c>
      <c r="D29" t="s">
        <v>19</v>
      </c>
      <c r="E29" t="s">
        <v>3073</v>
      </c>
      <c r="F29" t="s">
        <v>3076</v>
      </c>
      <c r="G29" t="s">
        <v>22</v>
      </c>
      <c r="H29" s="5">
        <v>45805.787812499999</v>
      </c>
      <c r="I29" s="5">
        <v>46035.496412037035</v>
      </c>
      <c r="J29">
        <v>229</v>
      </c>
      <c r="K29" t="s">
        <v>25</v>
      </c>
      <c r="L29" t="s">
        <v>30</v>
      </c>
    </row>
    <row r="30" spans="1:12" x14ac:dyDescent="0.25">
      <c r="A30" t="s">
        <v>171</v>
      </c>
      <c r="B30">
        <v>106543</v>
      </c>
      <c r="C30" s="3">
        <v>20</v>
      </c>
      <c r="D30" t="s">
        <v>32</v>
      </c>
      <c r="E30" t="s">
        <v>62</v>
      </c>
      <c r="F30" t="s">
        <v>3074</v>
      </c>
      <c r="G30" t="s">
        <v>22</v>
      </c>
      <c r="H30" s="5">
        <v>45802.828969907408</v>
      </c>
      <c r="I30" s="5">
        <v>46031.729004629633</v>
      </c>
      <c r="J30">
        <v>228</v>
      </c>
      <c r="K30" t="s">
        <v>25</v>
      </c>
      <c r="L30" t="s">
        <v>30</v>
      </c>
    </row>
    <row r="31" spans="1:12" x14ac:dyDescent="0.25">
      <c r="A31" t="s">
        <v>174</v>
      </c>
      <c r="B31">
        <v>107476</v>
      </c>
      <c r="C31" s="3">
        <v>8</v>
      </c>
      <c r="D31" t="s">
        <v>32</v>
      </c>
      <c r="E31" t="s">
        <v>3073</v>
      </c>
      <c r="F31" t="s">
        <v>3076</v>
      </c>
      <c r="G31" t="s">
        <v>22</v>
      </c>
      <c r="H31" s="5">
        <v>45807.949629629627</v>
      </c>
      <c r="I31" s="5">
        <v>46035.496111111112</v>
      </c>
      <c r="J31">
        <v>227</v>
      </c>
      <c r="K31" t="s">
        <v>25</v>
      </c>
      <c r="L31" t="s">
        <v>30</v>
      </c>
    </row>
    <row r="32" spans="1:12" x14ac:dyDescent="0.25">
      <c r="A32" t="s">
        <v>180</v>
      </c>
      <c r="B32">
        <v>107526</v>
      </c>
      <c r="C32" s="3">
        <v>7</v>
      </c>
      <c r="D32" t="s">
        <v>19</v>
      </c>
      <c r="E32" t="s">
        <v>3073</v>
      </c>
      <c r="F32" t="s">
        <v>3076</v>
      </c>
      <c r="G32" t="s">
        <v>22</v>
      </c>
      <c r="H32" s="5">
        <v>45808.923483796294</v>
      </c>
      <c r="I32" s="5">
        <v>46035.495520833334</v>
      </c>
      <c r="J32">
        <v>226</v>
      </c>
      <c r="K32" t="s">
        <v>25</v>
      </c>
      <c r="L32" t="s">
        <v>30</v>
      </c>
    </row>
    <row r="33" spans="1:12" x14ac:dyDescent="0.25">
      <c r="A33" t="s">
        <v>184</v>
      </c>
      <c r="B33">
        <v>107532</v>
      </c>
      <c r="C33" s="3">
        <v>1</v>
      </c>
      <c r="D33" t="s">
        <v>19</v>
      </c>
      <c r="E33" t="s">
        <v>20</v>
      </c>
      <c r="F33" t="s">
        <v>3076</v>
      </c>
      <c r="G33" t="s">
        <v>22</v>
      </c>
      <c r="H33" s="5">
        <v>45809.095671296294</v>
      </c>
      <c r="I33" s="5">
        <v>46035.495879629627</v>
      </c>
      <c r="J33">
        <v>226</v>
      </c>
      <c r="K33" t="s">
        <v>65</v>
      </c>
      <c r="L33" t="s">
        <v>30</v>
      </c>
    </row>
    <row r="34" spans="1:12" x14ac:dyDescent="0.25">
      <c r="A34" t="s">
        <v>187</v>
      </c>
      <c r="B34">
        <v>107243</v>
      </c>
      <c r="C34" s="3">
        <v>28</v>
      </c>
      <c r="D34" t="s">
        <v>32</v>
      </c>
      <c r="E34" t="s">
        <v>62</v>
      </c>
      <c r="F34" t="s">
        <v>3074</v>
      </c>
      <c r="G34" t="s">
        <v>22</v>
      </c>
      <c r="H34" s="5">
        <v>45806.537939814814</v>
      </c>
      <c r="I34" s="5">
        <v>46031.72859953704</v>
      </c>
      <c r="J34">
        <v>225</v>
      </c>
      <c r="K34" t="s">
        <v>25</v>
      </c>
      <c r="L34" t="s">
        <v>30</v>
      </c>
    </row>
    <row r="35" spans="1:12" x14ac:dyDescent="0.25">
      <c r="A35" t="s">
        <v>192</v>
      </c>
      <c r="B35">
        <v>40299</v>
      </c>
      <c r="C35" s="3">
        <v>5</v>
      </c>
      <c r="D35" t="s">
        <v>32</v>
      </c>
      <c r="E35" t="s">
        <v>20</v>
      </c>
      <c r="F35" t="s">
        <v>3076</v>
      </c>
      <c r="G35" t="s">
        <v>22</v>
      </c>
      <c r="H35" s="5">
        <v>45811.176574074074</v>
      </c>
      <c r="I35" s="5">
        <v>46035.495219907411</v>
      </c>
      <c r="J35">
        <v>224</v>
      </c>
      <c r="K35" t="s">
        <v>25</v>
      </c>
      <c r="L35" t="s">
        <v>30</v>
      </c>
    </row>
    <row r="36" spans="1:12" x14ac:dyDescent="0.25">
      <c r="A36" t="s">
        <v>196</v>
      </c>
      <c r="B36">
        <v>60276</v>
      </c>
      <c r="C36" s="3">
        <v>23</v>
      </c>
      <c r="D36" t="s">
        <v>32</v>
      </c>
      <c r="E36" t="s">
        <v>3073</v>
      </c>
      <c r="F36" t="s">
        <v>3074</v>
      </c>
      <c r="G36" t="s">
        <v>22</v>
      </c>
      <c r="H36" s="5">
        <v>45807.899467592593</v>
      </c>
      <c r="I36" s="5">
        <v>46031.455706018518</v>
      </c>
      <c r="J36">
        <v>223</v>
      </c>
      <c r="K36" t="s">
        <v>25</v>
      </c>
      <c r="L36" t="s">
        <v>30</v>
      </c>
    </row>
    <row r="37" spans="1:12" x14ac:dyDescent="0.25">
      <c r="A37" t="s">
        <v>200</v>
      </c>
      <c r="B37">
        <v>107590</v>
      </c>
      <c r="C37" s="3">
        <v>44</v>
      </c>
      <c r="D37" t="s">
        <v>19</v>
      </c>
      <c r="E37" t="s">
        <v>3073</v>
      </c>
      <c r="F37" t="s">
        <v>3078</v>
      </c>
      <c r="G37" t="s">
        <v>22</v>
      </c>
      <c r="H37" s="5">
        <v>45810.004189814812</v>
      </c>
      <c r="I37" s="5">
        <v>46031.77921296296</v>
      </c>
      <c r="J37">
        <v>221</v>
      </c>
      <c r="K37" t="s">
        <v>65</v>
      </c>
      <c r="L37" t="s">
        <v>30</v>
      </c>
    </row>
    <row r="38" spans="1:12" x14ac:dyDescent="0.25">
      <c r="A38" t="s">
        <v>207</v>
      </c>
      <c r="B38">
        <v>107666</v>
      </c>
      <c r="C38" s="3">
        <v>50</v>
      </c>
      <c r="D38" t="s">
        <v>32</v>
      </c>
      <c r="E38" t="s">
        <v>3073</v>
      </c>
      <c r="F38" t="s">
        <v>3077</v>
      </c>
      <c r="G38" t="s">
        <v>22</v>
      </c>
      <c r="H38" s="5">
        <v>45810.745254629626</v>
      </c>
      <c r="I38" s="5">
        <v>46031.804895833331</v>
      </c>
      <c r="J38">
        <v>221</v>
      </c>
      <c r="K38" t="s">
        <v>211</v>
      </c>
      <c r="L38" t="s">
        <v>30</v>
      </c>
    </row>
    <row r="39" spans="1:12" x14ac:dyDescent="0.25">
      <c r="A39" t="s">
        <v>214</v>
      </c>
      <c r="B39">
        <v>107852</v>
      </c>
      <c r="C39" s="3">
        <v>25</v>
      </c>
      <c r="D39" t="s">
        <v>32</v>
      </c>
      <c r="E39" t="s">
        <v>62</v>
      </c>
      <c r="F39" t="s">
        <v>3077</v>
      </c>
      <c r="G39" t="s">
        <v>216</v>
      </c>
      <c r="H39" s="5">
        <v>45812.717986111114</v>
      </c>
      <c r="I39" s="5">
        <v>46031.80537037037</v>
      </c>
      <c r="J39">
        <v>219</v>
      </c>
      <c r="K39" t="s">
        <v>25</v>
      </c>
      <c r="L39" t="s">
        <v>30</v>
      </c>
    </row>
    <row r="40" spans="1:12" x14ac:dyDescent="0.25">
      <c r="A40" t="s">
        <v>220</v>
      </c>
      <c r="B40">
        <v>107997</v>
      </c>
      <c r="C40" s="3" t="s">
        <v>3079</v>
      </c>
      <c r="D40" t="s">
        <v>32</v>
      </c>
      <c r="E40" t="s">
        <v>3073</v>
      </c>
      <c r="F40" t="s">
        <v>3072</v>
      </c>
      <c r="G40" t="s">
        <v>22</v>
      </c>
      <c r="H40" s="5">
        <v>45814.045277777775</v>
      </c>
      <c r="I40" s="5">
        <v>46031.788923611108</v>
      </c>
      <c r="J40">
        <v>217</v>
      </c>
      <c r="K40" t="s">
        <v>25</v>
      </c>
      <c r="L40" t="s">
        <v>30</v>
      </c>
    </row>
    <row r="41" spans="1:12" x14ac:dyDescent="0.25">
      <c r="A41" t="s">
        <v>226</v>
      </c>
      <c r="B41">
        <v>73902</v>
      </c>
      <c r="C41" s="3">
        <v>5</v>
      </c>
      <c r="D41" t="s">
        <v>32</v>
      </c>
      <c r="E41" t="s">
        <v>227</v>
      </c>
      <c r="F41" t="s">
        <v>3076</v>
      </c>
      <c r="G41" t="s">
        <v>22</v>
      </c>
      <c r="H41" s="5">
        <v>45817.700150462966</v>
      </c>
      <c r="I41" s="5">
        <v>46035.494988425926</v>
      </c>
      <c r="J41">
        <v>217</v>
      </c>
      <c r="K41" t="s">
        <v>25</v>
      </c>
      <c r="L41" t="s">
        <v>30</v>
      </c>
    </row>
    <row r="42" spans="1:12" x14ac:dyDescent="0.25">
      <c r="A42" t="s">
        <v>232</v>
      </c>
      <c r="B42">
        <v>49150</v>
      </c>
      <c r="C42" s="3">
        <v>2</v>
      </c>
      <c r="D42" t="s">
        <v>19</v>
      </c>
      <c r="E42" t="s">
        <v>227</v>
      </c>
      <c r="F42" t="s">
        <v>3076</v>
      </c>
      <c r="G42" t="s">
        <v>22</v>
      </c>
      <c r="H42" s="5">
        <v>45817.839247685188</v>
      </c>
      <c r="I42" s="5">
        <v>46035.494618055556</v>
      </c>
      <c r="J42">
        <v>217</v>
      </c>
      <c r="K42" t="s">
        <v>25</v>
      </c>
      <c r="L42" t="s">
        <v>30</v>
      </c>
    </row>
    <row r="43" spans="1:12" x14ac:dyDescent="0.25">
      <c r="A43" t="s">
        <v>236</v>
      </c>
      <c r="B43">
        <v>108302</v>
      </c>
      <c r="C43" s="3">
        <v>1</v>
      </c>
      <c r="D43" t="s">
        <v>19</v>
      </c>
      <c r="E43" t="s">
        <v>3073</v>
      </c>
      <c r="F43" t="s">
        <v>3076</v>
      </c>
      <c r="G43" t="s">
        <v>22</v>
      </c>
      <c r="H43" s="5">
        <v>45818.383576388886</v>
      </c>
      <c r="I43" s="5">
        <v>46035.494363425925</v>
      </c>
      <c r="J43">
        <v>217</v>
      </c>
      <c r="K43" t="s">
        <v>25</v>
      </c>
      <c r="L43" t="s">
        <v>30</v>
      </c>
    </row>
    <row r="44" spans="1:12" x14ac:dyDescent="0.25">
      <c r="A44" t="s">
        <v>240</v>
      </c>
      <c r="B44">
        <v>95446</v>
      </c>
      <c r="C44" s="3">
        <v>30</v>
      </c>
      <c r="D44" t="s">
        <v>32</v>
      </c>
      <c r="E44" t="s">
        <v>3073</v>
      </c>
      <c r="F44" t="s">
        <v>3077</v>
      </c>
      <c r="G44" t="s">
        <v>22</v>
      </c>
      <c r="H44" s="5">
        <v>45817.631064814814</v>
      </c>
      <c r="I44" s="5">
        <v>46031.80574074074</v>
      </c>
      <c r="J44">
        <v>214</v>
      </c>
      <c r="K44" t="s">
        <v>65</v>
      </c>
      <c r="L44" t="s">
        <v>30</v>
      </c>
    </row>
    <row r="45" spans="1:12" x14ac:dyDescent="0.25">
      <c r="A45" t="s">
        <v>244</v>
      </c>
      <c r="B45">
        <v>108479</v>
      </c>
      <c r="C45" s="3">
        <v>22</v>
      </c>
      <c r="D45" t="s">
        <v>32</v>
      </c>
      <c r="E45" t="s">
        <v>62</v>
      </c>
      <c r="F45" t="s">
        <v>3077</v>
      </c>
      <c r="G45" t="s">
        <v>22</v>
      </c>
      <c r="H45" s="5">
        <v>45819.65519675926</v>
      </c>
      <c r="I45" s="5">
        <v>46031.806261574071</v>
      </c>
      <c r="J45">
        <v>212</v>
      </c>
      <c r="K45" t="s">
        <v>25</v>
      </c>
      <c r="L45" t="s">
        <v>30</v>
      </c>
    </row>
    <row r="46" spans="1:12" x14ac:dyDescent="0.25">
      <c r="A46" t="s">
        <v>248</v>
      </c>
      <c r="B46">
        <v>108523</v>
      </c>
      <c r="C46" s="3">
        <v>29</v>
      </c>
      <c r="D46" t="s">
        <v>32</v>
      </c>
      <c r="E46" t="s">
        <v>3073</v>
      </c>
      <c r="F46" t="s">
        <v>3074</v>
      </c>
      <c r="G46" t="s">
        <v>22</v>
      </c>
      <c r="H46" s="5">
        <v>45820.412303240744</v>
      </c>
      <c r="I46" s="5">
        <v>46031.72792824074</v>
      </c>
      <c r="J46">
        <v>211</v>
      </c>
      <c r="K46" t="s">
        <v>25</v>
      </c>
      <c r="L46" t="s">
        <v>30</v>
      </c>
    </row>
    <row r="47" spans="1:12" x14ac:dyDescent="0.25">
      <c r="A47" t="s">
        <v>251</v>
      </c>
      <c r="B47">
        <v>109277</v>
      </c>
      <c r="C47" s="3" t="s">
        <v>3080</v>
      </c>
      <c r="D47" t="s">
        <v>19</v>
      </c>
      <c r="E47" t="s">
        <v>3073</v>
      </c>
      <c r="F47" t="s">
        <v>3076</v>
      </c>
      <c r="G47" t="s">
        <v>22</v>
      </c>
      <c r="H47" s="5">
        <v>45828.977592592593</v>
      </c>
      <c r="I47" s="5">
        <v>46035.494050925925</v>
      </c>
      <c r="J47">
        <v>206</v>
      </c>
      <c r="K47" t="s">
        <v>25</v>
      </c>
      <c r="L47" t="s">
        <v>30</v>
      </c>
    </row>
    <row r="48" spans="1:12" x14ac:dyDescent="0.25">
      <c r="A48" t="s">
        <v>255</v>
      </c>
      <c r="B48">
        <v>109021</v>
      </c>
      <c r="C48" s="3" t="s">
        <v>3079</v>
      </c>
      <c r="D48" t="s">
        <v>19</v>
      </c>
      <c r="E48" t="s">
        <v>62</v>
      </c>
      <c r="F48" t="s">
        <v>3072</v>
      </c>
      <c r="G48" t="s">
        <v>22</v>
      </c>
      <c r="H48" s="5">
        <v>45826.526331018518</v>
      </c>
      <c r="I48" s="5">
        <v>46031.789317129631</v>
      </c>
      <c r="J48">
        <v>205</v>
      </c>
      <c r="K48" t="s">
        <v>25</v>
      </c>
      <c r="L48" t="s">
        <v>30</v>
      </c>
    </row>
    <row r="49" spans="1:12" x14ac:dyDescent="0.25">
      <c r="A49" t="s">
        <v>259</v>
      </c>
      <c r="B49">
        <v>109343</v>
      </c>
      <c r="C49" s="3" t="s">
        <v>3079</v>
      </c>
      <c r="D49" t="s">
        <v>32</v>
      </c>
      <c r="E49" t="s">
        <v>260</v>
      </c>
      <c r="F49" t="s">
        <v>3072</v>
      </c>
      <c r="G49" t="s">
        <v>22</v>
      </c>
      <c r="H49" s="5">
        <v>45829.733136574076</v>
      </c>
      <c r="I49" s="5">
        <v>46031.789699074077</v>
      </c>
      <c r="J49">
        <v>202</v>
      </c>
      <c r="K49" t="s">
        <v>65</v>
      </c>
      <c r="L49" t="s">
        <v>30</v>
      </c>
    </row>
    <row r="50" spans="1:12" x14ac:dyDescent="0.25">
      <c r="A50" t="s">
        <v>264</v>
      </c>
      <c r="B50">
        <v>109345</v>
      </c>
      <c r="C50" s="3">
        <v>33</v>
      </c>
      <c r="D50" t="s">
        <v>32</v>
      </c>
      <c r="E50" t="s">
        <v>3073</v>
      </c>
      <c r="F50" t="s">
        <v>3074</v>
      </c>
      <c r="G50" t="s">
        <v>22</v>
      </c>
      <c r="H50" s="5">
        <v>45829.742175925923</v>
      </c>
      <c r="I50" s="5">
        <v>46031.72519675926</v>
      </c>
      <c r="J50">
        <v>201</v>
      </c>
      <c r="K50" t="s">
        <v>25</v>
      </c>
      <c r="L50" t="s">
        <v>30</v>
      </c>
    </row>
    <row r="51" spans="1:12" x14ac:dyDescent="0.25">
      <c r="A51" t="s">
        <v>268</v>
      </c>
      <c r="B51">
        <v>109518</v>
      </c>
      <c r="C51" s="3">
        <v>20</v>
      </c>
      <c r="D51" t="s">
        <v>32</v>
      </c>
      <c r="E51" t="s">
        <v>62</v>
      </c>
      <c r="F51" t="s">
        <v>3077</v>
      </c>
      <c r="G51" t="s">
        <v>216</v>
      </c>
      <c r="H51" s="5">
        <v>45831.74</v>
      </c>
      <c r="I51" s="5">
        <v>46031.806666666664</v>
      </c>
      <c r="J51">
        <v>200</v>
      </c>
      <c r="K51" t="s">
        <v>25</v>
      </c>
      <c r="L51" t="s">
        <v>30</v>
      </c>
    </row>
    <row r="52" spans="1:12" x14ac:dyDescent="0.25">
      <c r="A52" t="s">
        <v>272</v>
      </c>
      <c r="B52">
        <v>109857</v>
      </c>
      <c r="C52" s="3" t="s">
        <v>3081</v>
      </c>
      <c r="D52" t="s">
        <v>32</v>
      </c>
      <c r="E52" t="s">
        <v>62</v>
      </c>
      <c r="F52" t="s">
        <v>3072</v>
      </c>
      <c r="G52" t="s">
        <v>22</v>
      </c>
      <c r="H52" s="5">
        <v>45834.554166666669</v>
      </c>
      <c r="I52" s="5">
        <v>46031.790219907409</v>
      </c>
      <c r="J52">
        <v>197</v>
      </c>
      <c r="K52" t="s">
        <v>65</v>
      </c>
      <c r="L52" t="s">
        <v>30</v>
      </c>
    </row>
    <row r="53" spans="1:12" x14ac:dyDescent="0.25">
      <c r="A53" t="s">
        <v>276</v>
      </c>
      <c r="B53">
        <v>109900</v>
      </c>
      <c r="C53" s="3" t="s">
        <v>3081</v>
      </c>
      <c r="D53" t="s">
        <v>19</v>
      </c>
      <c r="E53" t="s">
        <v>3073</v>
      </c>
      <c r="F53" t="s">
        <v>3072</v>
      </c>
      <c r="G53" t="s">
        <v>22</v>
      </c>
      <c r="H53" s="5">
        <v>45835.498865740738</v>
      </c>
      <c r="I53" s="5">
        <v>46031.790625000001</v>
      </c>
      <c r="J53">
        <v>196</v>
      </c>
      <c r="K53" t="s">
        <v>25</v>
      </c>
      <c r="L53" t="s">
        <v>30</v>
      </c>
    </row>
    <row r="54" spans="1:12" x14ac:dyDescent="0.25">
      <c r="A54" t="s">
        <v>280</v>
      </c>
      <c r="B54">
        <v>109964</v>
      </c>
      <c r="C54" s="3">
        <v>36</v>
      </c>
      <c r="D54" t="s">
        <v>32</v>
      </c>
      <c r="E54" t="s">
        <v>3073</v>
      </c>
      <c r="F54" t="s">
        <v>3074</v>
      </c>
      <c r="G54" t="s">
        <v>22</v>
      </c>
      <c r="H54" s="5">
        <v>45845.524907407409</v>
      </c>
      <c r="I54" s="5">
        <v>46031.723981481482</v>
      </c>
      <c r="J54">
        <v>186</v>
      </c>
      <c r="K54" t="s">
        <v>25</v>
      </c>
      <c r="L54" t="s">
        <v>30</v>
      </c>
    </row>
    <row r="55" spans="1:12" x14ac:dyDescent="0.25">
      <c r="A55" t="s">
        <v>284</v>
      </c>
      <c r="B55">
        <v>111614</v>
      </c>
      <c r="C55" s="3">
        <v>38</v>
      </c>
      <c r="D55" t="s">
        <v>32</v>
      </c>
      <c r="E55" t="s">
        <v>20</v>
      </c>
      <c r="F55" t="s">
        <v>3077</v>
      </c>
      <c r="G55" t="s">
        <v>22</v>
      </c>
      <c r="H55" s="5">
        <v>45854.521296296298</v>
      </c>
      <c r="I55" s="5">
        <v>46031.807511574072</v>
      </c>
      <c r="J55">
        <v>177</v>
      </c>
      <c r="K55" t="s">
        <v>25</v>
      </c>
      <c r="L55" t="s">
        <v>30</v>
      </c>
    </row>
    <row r="56" spans="1:12" x14ac:dyDescent="0.25">
      <c r="A56" t="s">
        <v>291</v>
      </c>
      <c r="B56">
        <v>111911</v>
      </c>
      <c r="C56" s="3">
        <v>1</v>
      </c>
      <c r="D56" t="s">
        <v>32</v>
      </c>
      <c r="E56" t="s">
        <v>3073</v>
      </c>
      <c r="F56" t="s">
        <v>3076</v>
      </c>
      <c r="G56" t="s">
        <v>292</v>
      </c>
      <c r="H56" s="5">
        <v>45858.026712962965</v>
      </c>
      <c r="I56" s="5">
        <v>46035.493738425925</v>
      </c>
      <c r="J56">
        <v>177</v>
      </c>
      <c r="K56" t="s">
        <v>25</v>
      </c>
      <c r="L56" t="s">
        <v>30</v>
      </c>
    </row>
    <row r="57" spans="1:12" x14ac:dyDescent="0.25">
      <c r="A57" t="s">
        <v>295</v>
      </c>
      <c r="B57">
        <v>81768</v>
      </c>
      <c r="C57" s="3">
        <v>26</v>
      </c>
      <c r="D57" t="s">
        <v>32</v>
      </c>
      <c r="E57" t="s">
        <v>3073</v>
      </c>
      <c r="F57" t="s">
        <v>3078</v>
      </c>
      <c r="G57" t="s">
        <v>22</v>
      </c>
      <c r="H57" s="5">
        <v>45858.144155092596</v>
      </c>
      <c r="I57" s="5">
        <v>46031.77884259259</v>
      </c>
      <c r="J57">
        <v>173</v>
      </c>
      <c r="K57" t="s">
        <v>25</v>
      </c>
      <c r="L57" t="s">
        <v>30</v>
      </c>
    </row>
    <row r="58" spans="1:12" x14ac:dyDescent="0.25">
      <c r="A58" t="s">
        <v>300</v>
      </c>
      <c r="B58">
        <v>112186</v>
      </c>
      <c r="C58" s="3">
        <v>16</v>
      </c>
      <c r="D58" t="s">
        <v>32</v>
      </c>
      <c r="E58" t="s">
        <v>3073</v>
      </c>
      <c r="F58" t="s">
        <v>3077</v>
      </c>
      <c r="G58" t="s">
        <v>22</v>
      </c>
      <c r="H58" s="5">
        <v>45861.060543981483</v>
      </c>
      <c r="I58" s="5">
        <v>46031.807916666665</v>
      </c>
      <c r="J58">
        <v>170</v>
      </c>
      <c r="K58" t="s">
        <v>25</v>
      </c>
      <c r="L58" t="s">
        <v>30</v>
      </c>
    </row>
    <row r="59" spans="1:12" x14ac:dyDescent="0.25">
      <c r="A59" t="s">
        <v>305</v>
      </c>
      <c r="B59">
        <v>112578</v>
      </c>
      <c r="C59" s="3" t="s">
        <v>3081</v>
      </c>
      <c r="D59" t="s">
        <v>32</v>
      </c>
      <c r="E59" t="s">
        <v>20</v>
      </c>
      <c r="F59" t="s">
        <v>3072</v>
      </c>
      <c r="G59" t="s">
        <v>22</v>
      </c>
      <c r="H59" s="5">
        <v>45865.635231481479</v>
      </c>
      <c r="I59" s="5">
        <v>46031.791134259256</v>
      </c>
      <c r="J59">
        <v>166</v>
      </c>
      <c r="K59" t="s">
        <v>211</v>
      </c>
      <c r="L59" t="s">
        <v>30</v>
      </c>
    </row>
    <row r="60" spans="1:12" x14ac:dyDescent="0.25">
      <c r="A60" t="s">
        <v>309</v>
      </c>
      <c r="B60">
        <v>105483</v>
      </c>
      <c r="C60" s="3">
        <v>90</v>
      </c>
      <c r="D60" t="s">
        <v>32</v>
      </c>
      <c r="E60" t="s">
        <v>260</v>
      </c>
      <c r="F60" t="s">
        <v>3077</v>
      </c>
      <c r="G60" t="s">
        <v>22</v>
      </c>
      <c r="H60" s="5">
        <v>45866.555162037039</v>
      </c>
      <c r="I60" s="5">
        <v>46031.808842592596</v>
      </c>
      <c r="J60">
        <v>165</v>
      </c>
      <c r="K60" t="s">
        <v>25</v>
      </c>
      <c r="L60" t="s">
        <v>30</v>
      </c>
    </row>
    <row r="61" spans="1:12" x14ac:dyDescent="0.25">
      <c r="A61" t="s">
        <v>314</v>
      </c>
      <c r="B61">
        <v>98561</v>
      </c>
      <c r="C61" s="3">
        <v>31</v>
      </c>
      <c r="D61" t="s">
        <v>19</v>
      </c>
      <c r="E61" t="s">
        <v>3073</v>
      </c>
      <c r="F61" t="s">
        <v>3078</v>
      </c>
      <c r="G61" t="s">
        <v>22</v>
      </c>
      <c r="H61" s="5">
        <v>45874.45385416667</v>
      </c>
      <c r="I61" s="5">
        <v>46031.778310185182</v>
      </c>
      <c r="J61">
        <v>157</v>
      </c>
      <c r="K61" t="s">
        <v>65</v>
      </c>
      <c r="L61" t="s">
        <v>30</v>
      </c>
    </row>
    <row r="62" spans="1:12" x14ac:dyDescent="0.25">
      <c r="A62" t="s">
        <v>320</v>
      </c>
      <c r="B62">
        <v>113372</v>
      </c>
      <c r="C62" s="3">
        <v>32</v>
      </c>
      <c r="D62" t="s">
        <v>32</v>
      </c>
      <c r="E62" t="s">
        <v>20</v>
      </c>
      <c r="F62" t="s">
        <v>3077</v>
      </c>
      <c r="G62" t="s">
        <v>22</v>
      </c>
      <c r="H62" s="5">
        <v>45874.876307870371</v>
      </c>
      <c r="I62" s="5">
        <v>46031.809236111112</v>
      </c>
      <c r="J62">
        <v>156</v>
      </c>
      <c r="K62" t="s">
        <v>25</v>
      </c>
      <c r="L62" t="s">
        <v>30</v>
      </c>
    </row>
    <row r="63" spans="1:12" x14ac:dyDescent="0.25">
      <c r="A63" t="s">
        <v>324</v>
      </c>
      <c r="B63">
        <v>110186</v>
      </c>
      <c r="C63" s="3">
        <v>40</v>
      </c>
      <c r="D63" t="s">
        <v>32</v>
      </c>
      <c r="E63" t="s">
        <v>3073</v>
      </c>
      <c r="F63" t="s">
        <v>3077</v>
      </c>
      <c r="G63" t="s">
        <v>22</v>
      </c>
      <c r="H63" s="5">
        <v>45876.502592592595</v>
      </c>
      <c r="I63" s="5">
        <v>46031.809467592589</v>
      </c>
      <c r="J63">
        <v>155</v>
      </c>
      <c r="K63" t="s">
        <v>25</v>
      </c>
      <c r="L63" t="s">
        <v>30</v>
      </c>
    </row>
    <row r="64" spans="1:12" x14ac:dyDescent="0.25">
      <c r="A64" t="s">
        <v>328</v>
      </c>
      <c r="B64">
        <v>113671</v>
      </c>
      <c r="C64" s="3">
        <v>20</v>
      </c>
      <c r="D64" t="s">
        <v>32</v>
      </c>
      <c r="E64" t="s">
        <v>3073</v>
      </c>
      <c r="F64" t="s">
        <v>3077</v>
      </c>
      <c r="G64" t="s">
        <v>22</v>
      </c>
      <c r="H64" s="5">
        <v>45878.566342592596</v>
      </c>
      <c r="I64" s="5">
        <v>46031.809872685182</v>
      </c>
      <c r="J64">
        <v>153</v>
      </c>
      <c r="K64" t="s">
        <v>65</v>
      </c>
      <c r="L64" t="s">
        <v>30</v>
      </c>
    </row>
    <row r="65" spans="1:12" x14ac:dyDescent="0.25">
      <c r="A65" t="s">
        <v>332</v>
      </c>
      <c r="B65">
        <v>113708</v>
      </c>
      <c r="C65" s="3">
        <v>18</v>
      </c>
      <c r="D65" t="s">
        <v>32</v>
      </c>
      <c r="E65" t="s">
        <v>3073</v>
      </c>
      <c r="F65" t="s">
        <v>3074</v>
      </c>
      <c r="G65" t="s">
        <v>22</v>
      </c>
      <c r="H65" s="5">
        <v>45879.073263888888</v>
      </c>
      <c r="I65" s="5">
        <v>46031.721076388887</v>
      </c>
      <c r="J65">
        <v>152</v>
      </c>
      <c r="K65" t="s">
        <v>25</v>
      </c>
      <c r="L65" t="s">
        <v>30</v>
      </c>
    </row>
    <row r="66" spans="1:12" x14ac:dyDescent="0.25">
      <c r="A66" t="s">
        <v>335</v>
      </c>
      <c r="B66">
        <v>107641</v>
      </c>
      <c r="C66" s="3">
        <v>38</v>
      </c>
      <c r="D66" t="s">
        <v>32</v>
      </c>
      <c r="E66" t="s">
        <v>3073</v>
      </c>
      <c r="F66" t="s">
        <v>3074</v>
      </c>
      <c r="G66" t="s">
        <v>22</v>
      </c>
      <c r="H66" s="5">
        <v>45879.776446759257</v>
      </c>
      <c r="I66" s="5">
        <v>46031.719305555554</v>
      </c>
      <c r="J66">
        <v>151</v>
      </c>
      <c r="K66" t="s">
        <v>25</v>
      </c>
      <c r="L66" t="s">
        <v>30</v>
      </c>
    </row>
    <row r="67" spans="1:12" x14ac:dyDescent="0.25">
      <c r="A67" t="s">
        <v>338</v>
      </c>
      <c r="B67">
        <v>114325</v>
      </c>
      <c r="C67" s="3">
        <v>24</v>
      </c>
      <c r="D67" t="s">
        <v>32</v>
      </c>
      <c r="E67" t="s">
        <v>20</v>
      </c>
      <c r="F67" t="s">
        <v>3077</v>
      </c>
      <c r="G67" t="s">
        <v>22</v>
      </c>
      <c r="H67" s="5">
        <v>45886.68917824074</v>
      </c>
      <c r="I67" s="5">
        <v>46031.810347222221</v>
      </c>
      <c r="J67">
        <v>145</v>
      </c>
      <c r="K67" t="s">
        <v>25</v>
      </c>
      <c r="L67" t="s">
        <v>30</v>
      </c>
    </row>
    <row r="68" spans="1:12" x14ac:dyDescent="0.25">
      <c r="A68" t="s">
        <v>342</v>
      </c>
      <c r="B68">
        <v>114802</v>
      </c>
      <c r="C68" s="3" t="s">
        <v>3082</v>
      </c>
      <c r="D68" t="s">
        <v>32</v>
      </c>
      <c r="E68" t="s">
        <v>3073</v>
      </c>
      <c r="F68" t="s">
        <v>3072</v>
      </c>
      <c r="G68" t="s">
        <v>22</v>
      </c>
      <c r="H68" s="5">
        <v>45891.197233796294</v>
      </c>
      <c r="I68" s="5">
        <v>46031.791620370372</v>
      </c>
      <c r="J68">
        <v>140</v>
      </c>
      <c r="K68" t="s">
        <v>25</v>
      </c>
      <c r="L68" t="s">
        <v>30</v>
      </c>
    </row>
    <row r="69" spans="1:12" x14ac:dyDescent="0.25">
      <c r="A69" t="s">
        <v>347</v>
      </c>
      <c r="B69">
        <v>115413</v>
      </c>
      <c r="C69" s="3" t="s">
        <v>3083</v>
      </c>
      <c r="D69" t="s">
        <v>32</v>
      </c>
      <c r="E69" t="s">
        <v>62</v>
      </c>
      <c r="F69" t="s">
        <v>3072</v>
      </c>
      <c r="G69" t="s">
        <v>22</v>
      </c>
      <c r="H69" s="5">
        <v>45897.677222222221</v>
      </c>
      <c r="I69" s="5">
        <v>46031.792037037034</v>
      </c>
      <c r="J69">
        <v>134</v>
      </c>
      <c r="K69" t="s">
        <v>25</v>
      </c>
      <c r="L69" t="s">
        <v>30</v>
      </c>
    </row>
    <row r="70" spans="1:12" x14ac:dyDescent="0.25">
      <c r="A70" t="s">
        <v>352</v>
      </c>
      <c r="B70">
        <v>115664</v>
      </c>
      <c r="C70" s="3">
        <v>4</v>
      </c>
      <c r="D70" t="s">
        <v>19</v>
      </c>
      <c r="E70" t="s">
        <v>62</v>
      </c>
      <c r="F70" t="s">
        <v>3076</v>
      </c>
      <c r="G70" t="s">
        <v>22</v>
      </c>
      <c r="H70" s="5">
        <v>45901.496423611112</v>
      </c>
      <c r="I70" s="5">
        <v>46035.493437500001</v>
      </c>
      <c r="J70">
        <v>133</v>
      </c>
      <c r="K70" t="s">
        <v>65</v>
      </c>
      <c r="L70" t="s">
        <v>30</v>
      </c>
    </row>
    <row r="71" spans="1:12" x14ac:dyDescent="0.25">
      <c r="A71" t="s">
        <v>357</v>
      </c>
      <c r="B71">
        <v>115579</v>
      </c>
      <c r="C71" s="3" t="s">
        <v>3083</v>
      </c>
      <c r="D71" t="s">
        <v>32</v>
      </c>
      <c r="E71" t="s">
        <v>3073</v>
      </c>
      <c r="F71" t="s">
        <v>3072</v>
      </c>
      <c r="G71" t="s">
        <v>22</v>
      </c>
      <c r="H71" s="5">
        <v>45899.951377314814</v>
      </c>
      <c r="I71" s="5">
        <v>46031.792523148149</v>
      </c>
      <c r="J71">
        <v>131</v>
      </c>
      <c r="K71" t="s">
        <v>25</v>
      </c>
      <c r="L71" t="s">
        <v>30</v>
      </c>
    </row>
    <row r="72" spans="1:12" x14ac:dyDescent="0.25">
      <c r="A72" t="s">
        <v>360</v>
      </c>
      <c r="B72">
        <v>115611</v>
      </c>
      <c r="C72" s="3">
        <v>27</v>
      </c>
      <c r="D72" t="s">
        <v>19</v>
      </c>
      <c r="E72" t="s">
        <v>3073</v>
      </c>
      <c r="F72" t="s">
        <v>3078</v>
      </c>
      <c r="G72" t="s">
        <v>22</v>
      </c>
      <c r="H72" s="5">
        <v>45900.580185185187</v>
      </c>
      <c r="I72" s="5">
        <v>46031.779641203706</v>
      </c>
      <c r="J72">
        <v>131</v>
      </c>
      <c r="K72" t="s">
        <v>65</v>
      </c>
      <c r="L72" t="s">
        <v>30</v>
      </c>
    </row>
    <row r="73" spans="1:12" x14ac:dyDescent="0.25">
      <c r="A73" t="s">
        <v>365</v>
      </c>
      <c r="B73">
        <v>115624</v>
      </c>
      <c r="C73" s="3" t="s">
        <v>3083</v>
      </c>
      <c r="D73" t="s">
        <v>32</v>
      </c>
      <c r="E73" t="s">
        <v>62</v>
      </c>
      <c r="F73" t="s">
        <v>3072</v>
      </c>
      <c r="G73" t="s">
        <v>22</v>
      </c>
      <c r="H73" s="5">
        <v>45900.713368055556</v>
      </c>
      <c r="I73" s="5">
        <v>46031.792951388888</v>
      </c>
      <c r="J73">
        <v>131</v>
      </c>
      <c r="K73" t="s">
        <v>211</v>
      </c>
      <c r="L73" t="s">
        <v>30</v>
      </c>
    </row>
    <row r="74" spans="1:12" x14ac:dyDescent="0.25">
      <c r="A74" t="s">
        <v>369</v>
      </c>
      <c r="B74">
        <v>116019</v>
      </c>
      <c r="C74" s="3">
        <v>1</v>
      </c>
      <c r="D74" t="s">
        <v>19</v>
      </c>
      <c r="E74" t="s">
        <v>3073</v>
      </c>
      <c r="F74" t="s">
        <v>3076</v>
      </c>
      <c r="G74" t="s">
        <v>22</v>
      </c>
      <c r="H74" s="5">
        <v>45903.730821759258</v>
      </c>
      <c r="I74" s="5">
        <v>46035.493101851855</v>
      </c>
      <c r="J74">
        <v>131</v>
      </c>
      <c r="K74" t="s">
        <v>25</v>
      </c>
      <c r="L74" t="s">
        <v>30</v>
      </c>
    </row>
    <row r="75" spans="1:12" x14ac:dyDescent="0.25">
      <c r="A75" t="s">
        <v>373</v>
      </c>
      <c r="B75">
        <v>69708</v>
      </c>
      <c r="C75" s="3">
        <v>37</v>
      </c>
      <c r="D75" t="s">
        <v>32</v>
      </c>
      <c r="E75" t="s">
        <v>227</v>
      </c>
      <c r="F75" t="s">
        <v>3074</v>
      </c>
      <c r="G75" t="s">
        <v>22</v>
      </c>
      <c r="H75" s="5">
        <v>45905.638043981482</v>
      </c>
      <c r="I75" s="5">
        <v>46031.717256944445</v>
      </c>
      <c r="J75">
        <v>126</v>
      </c>
      <c r="K75" t="s">
        <v>25</v>
      </c>
      <c r="L75" t="s">
        <v>30</v>
      </c>
    </row>
    <row r="76" spans="1:12" x14ac:dyDescent="0.25">
      <c r="A76" t="s">
        <v>377</v>
      </c>
      <c r="B76">
        <v>116424</v>
      </c>
      <c r="C76" s="3">
        <v>2</v>
      </c>
      <c r="D76" t="s">
        <v>32</v>
      </c>
      <c r="E76" t="s">
        <v>20</v>
      </c>
      <c r="F76" t="s">
        <v>3076</v>
      </c>
      <c r="G76" t="s">
        <v>22</v>
      </c>
      <c r="H76" s="5">
        <v>45908.858182870368</v>
      </c>
      <c r="I76" s="5">
        <v>46035.492662037039</v>
      </c>
      <c r="J76">
        <v>126</v>
      </c>
      <c r="K76" t="s">
        <v>65</v>
      </c>
      <c r="L76" t="s">
        <v>30</v>
      </c>
    </row>
    <row r="77" spans="1:12" x14ac:dyDescent="0.25">
      <c r="A77" t="s">
        <v>380</v>
      </c>
      <c r="B77">
        <v>116293</v>
      </c>
      <c r="C77" s="3">
        <v>18</v>
      </c>
      <c r="D77" t="s">
        <v>19</v>
      </c>
      <c r="E77" t="s">
        <v>260</v>
      </c>
      <c r="F77" t="s">
        <v>3078</v>
      </c>
      <c r="G77" t="s">
        <v>22</v>
      </c>
      <c r="H77" s="5">
        <v>45907.660405092596</v>
      </c>
      <c r="I77" s="5">
        <v>46031.777997685182</v>
      </c>
      <c r="J77">
        <v>124</v>
      </c>
      <c r="K77" t="s">
        <v>25</v>
      </c>
      <c r="L77" t="s">
        <v>30</v>
      </c>
    </row>
    <row r="78" spans="1:12" x14ac:dyDescent="0.25">
      <c r="A78" t="s">
        <v>384</v>
      </c>
      <c r="B78">
        <v>116564</v>
      </c>
      <c r="C78" s="3" t="s">
        <v>3083</v>
      </c>
      <c r="D78" t="s">
        <v>19</v>
      </c>
      <c r="E78" t="s">
        <v>3073</v>
      </c>
      <c r="F78" t="s">
        <v>3072</v>
      </c>
      <c r="G78" t="s">
        <v>22</v>
      </c>
      <c r="H78" s="5">
        <v>45910.050671296296</v>
      </c>
      <c r="I78" s="5">
        <v>46031.799004629633</v>
      </c>
      <c r="J78">
        <v>121</v>
      </c>
      <c r="K78" t="s">
        <v>25</v>
      </c>
      <c r="L78" t="s">
        <v>30</v>
      </c>
    </row>
    <row r="79" spans="1:12" x14ac:dyDescent="0.25">
      <c r="A79" t="s">
        <v>388</v>
      </c>
      <c r="B79">
        <v>117214</v>
      </c>
      <c r="C79" s="3" t="s">
        <v>3083</v>
      </c>
      <c r="D79" t="s">
        <v>32</v>
      </c>
      <c r="E79" t="s">
        <v>3073</v>
      </c>
      <c r="F79" t="s">
        <v>3072</v>
      </c>
      <c r="G79" t="s">
        <v>22</v>
      </c>
      <c r="H79" s="5">
        <v>45917.621342592596</v>
      </c>
      <c r="I79" s="5">
        <v>46031.798703703702</v>
      </c>
      <c r="J79">
        <v>114</v>
      </c>
      <c r="K79" t="s">
        <v>211</v>
      </c>
      <c r="L79" t="s">
        <v>30</v>
      </c>
    </row>
    <row r="80" spans="1:12" x14ac:dyDescent="0.25">
      <c r="A80" t="s">
        <v>391</v>
      </c>
      <c r="B80">
        <v>116946</v>
      </c>
      <c r="C80" s="3">
        <v>51</v>
      </c>
      <c r="D80" t="s">
        <v>19</v>
      </c>
      <c r="E80" t="s">
        <v>20</v>
      </c>
      <c r="F80" t="s">
        <v>3084</v>
      </c>
      <c r="G80" t="s">
        <v>394</v>
      </c>
      <c r="H80" s="5">
        <v>45917.747627314813</v>
      </c>
      <c r="I80" s="5">
        <v>46031.782326388886</v>
      </c>
      <c r="J80">
        <v>114</v>
      </c>
      <c r="K80" t="s">
        <v>397</v>
      </c>
      <c r="L80" t="s">
        <v>30</v>
      </c>
    </row>
    <row r="81" spans="1:12" x14ac:dyDescent="0.25">
      <c r="A81" t="s">
        <v>399</v>
      </c>
      <c r="B81">
        <v>74524</v>
      </c>
      <c r="C81" s="3">
        <v>39</v>
      </c>
      <c r="D81" t="s">
        <v>32</v>
      </c>
      <c r="E81" t="s">
        <v>227</v>
      </c>
      <c r="F81" t="s">
        <v>3077</v>
      </c>
      <c r="G81" t="s">
        <v>22</v>
      </c>
      <c r="H81" s="5">
        <v>45919.551215277781</v>
      </c>
      <c r="I81" s="5">
        <v>46031.811319444445</v>
      </c>
      <c r="J81">
        <v>112</v>
      </c>
      <c r="K81" t="s">
        <v>25</v>
      </c>
      <c r="L81" t="s">
        <v>30</v>
      </c>
    </row>
    <row r="82" spans="1:12" x14ac:dyDescent="0.25">
      <c r="A82" t="s">
        <v>403</v>
      </c>
      <c r="B82">
        <v>117448</v>
      </c>
      <c r="C82" s="3" t="s">
        <v>3083</v>
      </c>
      <c r="D82" t="s">
        <v>19</v>
      </c>
      <c r="E82" t="s">
        <v>3073</v>
      </c>
      <c r="F82" t="s">
        <v>3072</v>
      </c>
      <c r="G82" t="s">
        <v>22</v>
      </c>
      <c r="H82" s="5">
        <v>45919.631712962961</v>
      </c>
      <c r="I82" s="5">
        <v>46031.793391203704</v>
      </c>
      <c r="J82">
        <v>112</v>
      </c>
      <c r="K82" t="s">
        <v>25</v>
      </c>
      <c r="L82" t="s">
        <v>30</v>
      </c>
    </row>
    <row r="83" spans="1:12" x14ac:dyDescent="0.25">
      <c r="A83" t="s">
        <v>406</v>
      </c>
      <c r="B83">
        <v>117533</v>
      </c>
      <c r="C83" s="3">
        <v>30</v>
      </c>
      <c r="D83" t="s">
        <v>32</v>
      </c>
      <c r="E83" t="s">
        <v>3073</v>
      </c>
      <c r="F83" t="s">
        <v>3074</v>
      </c>
      <c r="G83" t="s">
        <v>22</v>
      </c>
      <c r="H83" s="5">
        <v>45920.748749999999</v>
      </c>
      <c r="I83" s="5">
        <v>46031.710081018522</v>
      </c>
      <c r="J83">
        <v>110</v>
      </c>
      <c r="K83" t="s">
        <v>25</v>
      </c>
      <c r="L83" t="s">
        <v>30</v>
      </c>
    </row>
    <row r="84" spans="1:12" x14ac:dyDescent="0.25">
      <c r="A84" t="s">
        <v>409</v>
      </c>
      <c r="B84">
        <v>117580</v>
      </c>
      <c r="C84" s="3" t="s">
        <v>3083</v>
      </c>
      <c r="D84" t="s">
        <v>32</v>
      </c>
      <c r="E84" t="s">
        <v>3073</v>
      </c>
      <c r="F84" t="s">
        <v>3072</v>
      </c>
      <c r="G84" t="s">
        <v>22</v>
      </c>
      <c r="H84" s="5">
        <v>45921.753078703703</v>
      </c>
      <c r="I84" s="5">
        <v>46031.793703703705</v>
      </c>
      <c r="J84">
        <v>110</v>
      </c>
      <c r="K84" t="s">
        <v>25</v>
      </c>
      <c r="L84" t="s">
        <v>30</v>
      </c>
    </row>
    <row r="85" spans="1:12" x14ac:dyDescent="0.25">
      <c r="A85" t="s">
        <v>412</v>
      </c>
      <c r="B85">
        <v>117917</v>
      </c>
      <c r="C85" s="3">
        <v>10</v>
      </c>
      <c r="D85" t="s">
        <v>19</v>
      </c>
      <c r="E85" t="s">
        <v>20</v>
      </c>
      <c r="F85" t="s">
        <v>3076</v>
      </c>
      <c r="G85" t="s">
        <v>22</v>
      </c>
      <c r="H85" s="5">
        <v>45924.813460648147</v>
      </c>
      <c r="I85" s="5">
        <v>46035.49181712963</v>
      </c>
      <c r="J85">
        <v>110</v>
      </c>
      <c r="K85" t="s">
        <v>397</v>
      </c>
      <c r="L85" t="s">
        <v>30</v>
      </c>
    </row>
    <row r="86" spans="1:12" x14ac:dyDescent="0.25">
      <c r="A86" t="s">
        <v>417</v>
      </c>
      <c r="B86">
        <v>117702</v>
      </c>
      <c r="C86" s="3">
        <v>26</v>
      </c>
      <c r="D86" t="s">
        <v>32</v>
      </c>
      <c r="E86" t="s">
        <v>3073</v>
      </c>
      <c r="F86" t="s">
        <v>3077</v>
      </c>
      <c r="G86" t="s">
        <v>22</v>
      </c>
      <c r="H86" s="5">
        <v>45922.836412037039</v>
      </c>
      <c r="I86" s="5">
        <v>46031.811736111114</v>
      </c>
      <c r="J86">
        <v>108</v>
      </c>
      <c r="K86" t="s">
        <v>65</v>
      </c>
      <c r="L86" t="s">
        <v>30</v>
      </c>
    </row>
    <row r="87" spans="1:12" x14ac:dyDescent="0.25">
      <c r="A87" t="s">
        <v>420</v>
      </c>
      <c r="B87">
        <v>117904</v>
      </c>
      <c r="C87" s="3" t="s">
        <v>3083</v>
      </c>
      <c r="D87" t="s">
        <v>19</v>
      </c>
      <c r="E87" t="s">
        <v>20</v>
      </c>
      <c r="F87" t="s">
        <v>3072</v>
      </c>
      <c r="G87" t="s">
        <v>22</v>
      </c>
      <c r="H87" s="5">
        <v>45924.581979166665</v>
      </c>
      <c r="I87" s="5">
        <v>46031.796597222223</v>
      </c>
      <c r="J87">
        <v>107</v>
      </c>
      <c r="K87" t="s">
        <v>25</v>
      </c>
      <c r="L87" t="s">
        <v>30</v>
      </c>
    </row>
    <row r="88" spans="1:12" x14ac:dyDescent="0.25">
      <c r="A88" t="s">
        <v>424</v>
      </c>
      <c r="B88">
        <v>117926</v>
      </c>
      <c r="C88" s="3">
        <v>35</v>
      </c>
      <c r="D88" t="s">
        <v>32</v>
      </c>
      <c r="E88" t="s">
        <v>20</v>
      </c>
      <c r="F88" t="s">
        <v>3074</v>
      </c>
      <c r="G88" t="s">
        <v>22</v>
      </c>
      <c r="H88" s="5">
        <v>45924.904872685183</v>
      </c>
      <c r="I88" s="5">
        <v>46031.707048611112</v>
      </c>
      <c r="J88">
        <v>106</v>
      </c>
      <c r="K88" t="s">
        <v>25</v>
      </c>
      <c r="L88" t="s">
        <v>30</v>
      </c>
    </row>
    <row r="89" spans="1:12" x14ac:dyDescent="0.25">
      <c r="A89" t="s">
        <v>427</v>
      </c>
      <c r="B89">
        <v>118126</v>
      </c>
      <c r="C89" s="3">
        <v>30</v>
      </c>
      <c r="D89" t="s">
        <v>19</v>
      </c>
      <c r="E89" t="s">
        <v>20</v>
      </c>
      <c r="F89" t="s">
        <v>3085</v>
      </c>
      <c r="G89" t="s">
        <v>22</v>
      </c>
      <c r="H89" s="5">
        <v>45927.114340277774</v>
      </c>
      <c r="I89" s="5">
        <v>46031.753321759257</v>
      </c>
      <c r="J89">
        <v>104</v>
      </c>
      <c r="K89" t="s">
        <v>211</v>
      </c>
      <c r="L89" t="s">
        <v>30</v>
      </c>
    </row>
    <row r="90" spans="1:12" x14ac:dyDescent="0.25">
      <c r="A90" t="s">
        <v>432</v>
      </c>
      <c r="B90">
        <v>118253</v>
      </c>
      <c r="C90" s="3">
        <v>18</v>
      </c>
      <c r="D90" t="s">
        <v>32</v>
      </c>
      <c r="E90" t="s">
        <v>3073</v>
      </c>
      <c r="F90" t="s">
        <v>3074</v>
      </c>
      <c r="G90" t="s">
        <v>22</v>
      </c>
      <c r="H90" s="5">
        <v>45929.43109953704</v>
      </c>
      <c r="I90" s="5">
        <v>46031.703865740739</v>
      </c>
      <c r="J90">
        <v>102</v>
      </c>
      <c r="K90" t="s">
        <v>65</v>
      </c>
      <c r="L90" t="s">
        <v>30</v>
      </c>
    </row>
    <row r="91" spans="1:12" x14ac:dyDescent="0.25">
      <c r="A91" t="s">
        <v>436</v>
      </c>
      <c r="B91">
        <v>118338</v>
      </c>
      <c r="C91" s="3">
        <v>40</v>
      </c>
      <c r="D91" t="s">
        <v>19</v>
      </c>
      <c r="E91" t="s">
        <v>20</v>
      </c>
      <c r="F91" t="s">
        <v>3085</v>
      </c>
      <c r="G91" t="s">
        <v>22</v>
      </c>
      <c r="H91" s="5">
        <v>45929.929189814815</v>
      </c>
      <c r="I91" s="5">
        <v>46031.753831018519</v>
      </c>
      <c r="J91">
        <v>101</v>
      </c>
      <c r="K91" t="s">
        <v>25</v>
      </c>
      <c r="L91" t="s">
        <v>30</v>
      </c>
    </row>
    <row r="92" spans="1:12" x14ac:dyDescent="0.25">
      <c r="A92" t="s">
        <v>440</v>
      </c>
      <c r="B92">
        <v>118466</v>
      </c>
      <c r="C92" s="3">
        <v>60</v>
      </c>
      <c r="D92" t="s">
        <v>32</v>
      </c>
      <c r="E92" t="s">
        <v>20</v>
      </c>
      <c r="F92" t="s">
        <v>3077</v>
      </c>
      <c r="G92" t="s">
        <v>22</v>
      </c>
      <c r="H92" s="5">
        <v>45930.656921296293</v>
      </c>
      <c r="I92" s="5">
        <v>46031.812164351853</v>
      </c>
      <c r="J92">
        <v>101</v>
      </c>
      <c r="K92" t="s">
        <v>25</v>
      </c>
      <c r="L92" t="s">
        <v>30</v>
      </c>
    </row>
    <row r="93" spans="1:12" x14ac:dyDescent="0.25">
      <c r="A93" t="s">
        <v>445</v>
      </c>
      <c r="B93">
        <v>118861</v>
      </c>
      <c r="C93" s="3">
        <v>1</v>
      </c>
      <c r="D93" t="s">
        <v>19</v>
      </c>
      <c r="E93" t="s">
        <v>20</v>
      </c>
      <c r="F93" t="s">
        <v>3076</v>
      </c>
      <c r="G93" t="s">
        <v>22</v>
      </c>
      <c r="H93" s="5">
        <v>45936.081979166665</v>
      </c>
      <c r="I93" s="5">
        <v>46035.49077546296</v>
      </c>
      <c r="J93">
        <v>99</v>
      </c>
      <c r="K93" t="s">
        <v>65</v>
      </c>
      <c r="L93" t="s">
        <v>30</v>
      </c>
    </row>
    <row r="94" spans="1:12" x14ac:dyDescent="0.25">
      <c r="A94" t="s">
        <v>449</v>
      </c>
      <c r="B94">
        <v>118961</v>
      </c>
      <c r="C94" s="3">
        <v>45</v>
      </c>
      <c r="D94" t="s">
        <v>32</v>
      </c>
      <c r="E94" t="s">
        <v>62</v>
      </c>
      <c r="F94" t="s">
        <v>3074</v>
      </c>
      <c r="G94" t="s">
        <v>22</v>
      </c>
      <c r="H94" s="5">
        <v>45936.971655092595</v>
      </c>
      <c r="I94" s="5">
        <v>46031.701956018522</v>
      </c>
      <c r="J94">
        <v>94</v>
      </c>
      <c r="K94" t="s">
        <v>25</v>
      </c>
      <c r="L94" t="s">
        <v>30</v>
      </c>
    </row>
    <row r="95" spans="1:12" x14ac:dyDescent="0.25">
      <c r="A95" t="s">
        <v>453</v>
      </c>
      <c r="B95">
        <v>119472</v>
      </c>
      <c r="C95" s="3">
        <v>3</v>
      </c>
      <c r="D95" t="s">
        <v>19</v>
      </c>
      <c r="E95" t="s">
        <v>3073</v>
      </c>
      <c r="F95" t="s">
        <v>3076</v>
      </c>
      <c r="G95" t="s">
        <v>22</v>
      </c>
      <c r="H95" s="5">
        <v>45942.049745370372</v>
      </c>
      <c r="I95" s="5">
        <v>46035.488530092596</v>
      </c>
      <c r="J95">
        <v>93</v>
      </c>
      <c r="K95" t="s">
        <v>65</v>
      </c>
      <c r="L95" t="s">
        <v>30</v>
      </c>
    </row>
    <row r="96" spans="1:12" x14ac:dyDescent="0.25">
      <c r="A96" t="s">
        <v>458</v>
      </c>
      <c r="B96">
        <v>119099</v>
      </c>
      <c r="C96" s="3">
        <v>24</v>
      </c>
      <c r="D96" t="s">
        <v>32</v>
      </c>
      <c r="E96" t="s">
        <v>3073</v>
      </c>
      <c r="F96" t="s">
        <v>3077</v>
      </c>
      <c r="G96" t="s">
        <v>22</v>
      </c>
      <c r="H96" s="5">
        <v>45938.974849537037</v>
      </c>
      <c r="I96" s="5">
        <v>46031.812465277777</v>
      </c>
      <c r="J96">
        <v>92</v>
      </c>
      <c r="K96" t="s">
        <v>25</v>
      </c>
      <c r="L96" t="s">
        <v>30</v>
      </c>
    </row>
    <row r="97" spans="1:12" x14ac:dyDescent="0.25">
      <c r="A97" t="s">
        <v>461</v>
      </c>
      <c r="B97">
        <v>119215</v>
      </c>
      <c r="C97" s="3">
        <v>15</v>
      </c>
      <c r="D97" t="s">
        <v>19</v>
      </c>
      <c r="E97" t="s">
        <v>62</v>
      </c>
      <c r="F97" t="s">
        <v>3085</v>
      </c>
      <c r="G97" t="s">
        <v>22</v>
      </c>
      <c r="H97" s="5">
        <v>45938.995567129627</v>
      </c>
      <c r="I97" s="5">
        <v>46031.754479166666</v>
      </c>
      <c r="J97">
        <v>92</v>
      </c>
      <c r="K97" t="s">
        <v>25</v>
      </c>
      <c r="L97" t="s">
        <v>30</v>
      </c>
    </row>
    <row r="98" spans="1:12" x14ac:dyDescent="0.25">
      <c r="A98" t="s">
        <v>466</v>
      </c>
      <c r="B98">
        <v>119216</v>
      </c>
      <c r="C98" s="3">
        <v>15</v>
      </c>
      <c r="D98" t="s">
        <v>19</v>
      </c>
      <c r="E98" t="s">
        <v>62</v>
      </c>
      <c r="F98" t="s">
        <v>3085</v>
      </c>
      <c r="G98" t="s">
        <v>22</v>
      </c>
      <c r="H98" s="5">
        <v>45938.995787037034</v>
      </c>
      <c r="I98" s="5">
        <v>46031.755254629628</v>
      </c>
      <c r="J98">
        <v>92</v>
      </c>
      <c r="K98" t="s">
        <v>25</v>
      </c>
      <c r="L98" t="s">
        <v>30</v>
      </c>
    </row>
    <row r="99" spans="1:12" x14ac:dyDescent="0.25">
      <c r="A99" t="s">
        <v>469</v>
      </c>
      <c r="B99">
        <v>119514</v>
      </c>
      <c r="C99" s="3">
        <v>3</v>
      </c>
      <c r="D99" t="s">
        <v>32</v>
      </c>
      <c r="E99" t="s">
        <v>260</v>
      </c>
      <c r="F99" t="s">
        <v>3076</v>
      </c>
      <c r="G99" t="s">
        <v>22</v>
      </c>
      <c r="H99" s="5">
        <v>45942.737280092595</v>
      </c>
      <c r="I99" s="5">
        <v>46035.488125000003</v>
      </c>
      <c r="J99">
        <v>92</v>
      </c>
      <c r="K99" t="s">
        <v>65</v>
      </c>
      <c r="L99" t="s">
        <v>30</v>
      </c>
    </row>
    <row r="100" spans="1:12" x14ac:dyDescent="0.25">
      <c r="A100" t="s">
        <v>473</v>
      </c>
      <c r="B100">
        <v>113780</v>
      </c>
      <c r="C100" s="3">
        <v>53</v>
      </c>
      <c r="D100" t="s">
        <v>32</v>
      </c>
      <c r="E100" t="s">
        <v>3073</v>
      </c>
      <c r="F100" t="s">
        <v>3077</v>
      </c>
      <c r="G100" t="s">
        <v>22</v>
      </c>
      <c r="H100" s="5">
        <v>45942.612175925926</v>
      </c>
      <c r="I100" s="5">
        <v>46031.813194444447</v>
      </c>
      <c r="J100">
        <v>89</v>
      </c>
      <c r="K100" t="s">
        <v>397</v>
      </c>
      <c r="L100" t="s">
        <v>30</v>
      </c>
    </row>
    <row r="101" spans="1:12" x14ac:dyDescent="0.25">
      <c r="A101" t="s">
        <v>478</v>
      </c>
      <c r="B101">
        <v>120085</v>
      </c>
      <c r="C101" s="3">
        <v>1</v>
      </c>
      <c r="D101" t="s">
        <v>19</v>
      </c>
      <c r="E101" t="s">
        <v>62</v>
      </c>
      <c r="F101" t="s">
        <v>3076</v>
      </c>
      <c r="G101" t="s">
        <v>22</v>
      </c>
      <c r="H101" s="5">
        <v>45945.60365740741</v>
      </c>
      <c r="I101" s="5">
        <v>46035.487233796295</v>
      </c>
      <c r="J101">
        <v>89</v>
      </c>
      <c r="K101" t="s">
        <v>65</v>
      </c>
      <c r="L101" t="s">
        <v>30</v>
      </c>
    </row>
    <row r="102" spans="1:12" x14ac:dyDescent="0.25">
      <c r="A102" t="s">
        <v>483</v>
      </c>
      <c r="B102">
        <v>119510</v>
      </c>
      <c r="C102" s="3">
        <v>39</v>
      </c>
      <c r="D102" t="s">
        <v>19</v>
      </c>
      <c r="E102" t="s">
        <v>260</v>
      </c>
      <c r="F102" t="s">
        <v>3086</v>
      </c>
      <c r="G102" t="s">
        <v>22</v>
      </c>
      <c r="H102" s="5">
        <v>45942.802847222221</v>
      </c>
      <c r="I102" s="5">
        <v>46031.760601851849</v>
      </c>
      <c r="J102">
        <v>88</v>
      </c>
      <c r="K102" t="s">
        <v>211</v>
      </c>
      <c r="L102" t="s">
        <v>30</v>
      </c>
    </row>
    <row r="103" spans="1:12" x14ac:dyDescent="0.25">
      <c r="A103" t="s">
        <v>488</v>
      </c>
      <c r="B103">
        <v>99717</v>
      </c>
      <c r="C103" s="3">
        <v>29</v>
      </c>
      <c r="D103" t="s">
        <v>32</v>
      </c>
      <c r="E103" t="s">
        <v>260</v>
      </c>
      <c r="F103" t="s">
        <v>3078</v>
      </c>
      <c r="G103" t="s">
        <v>22</v>
      </c>
      <c r="H103" s="5">
        <v>45947.482430555552</v>
      </c>
      <c r="I103" s="5">
        <v>46034.651747685188</v>
      </c>
      <c r="J103">
        <v>87</v>
      </c>
      <c r="K103" t="s">
        <v>25</v>
      </c>
      <c r="L103" t="s">
        <v>30</v>
      </c>
    </row>
    <row r="104" spans="1:12" x14ac:dyDescent="0.25">
      <c r="A104" t="s">
        <v>494</v>
      </c>
      <c r="B104">
        <v>108267</v>
      </c>
      <c r="C104" s="3">
        <v>20</v>
      </c>
      <c r="D104" t="s">
        <v>19</v>
      </c>
      <c r="E104" t="s">
        <v>3073</v>
      </c>
      <c r="F104" t="s">
        <v>3085</v>
      </c>
      <c r="G104" t="s">
        <v>22</v>
      </c>
      <c r="H104" s="5">
        <v>45944.837361111109</v>
      </c>
      <c r="I104" s="5">
        <v>46031.755798611113</v>
      </c>
      <c r="J104">
        <v>86</v>
      </c>
      <c r="K104" t="s">
        <v>25</v>
      </c>
      <c r="L104" t="s">
        <v>30</v>
      </c>
    </row>
    <row r="105" spans="1:12" x14ac:dyDescent="0.25">
      <c r="A105" t="s">
        <v>498</v>
      </c>
      <c r="B105">
        <v>119945</v>
      </c>
      <c r="C105" s="3">
        <v>30</v>
      </c>
      <c r="D105" t="s">
        <v>19</v>
      </c>
      <c r="E105" t="s">
        <v>3073</v>
      </c>
      <c r="F105" t="s">
        <v>3085</v>
      </c>
      <c r="G105" t="s">
        <v>22</v>
      </c>
      <c r="H105" s="5">
        <v>45945.059502314813</v>
      </c>
      <c r="I105" s="5">
        <v>46031.756145833337</v>
      </c>
      <c r="J105">
        <v>86</v>
      </c>
      <c r="K105" t="s">
        <v>25</v>
      </c>
      <c r="L105" t="s">
        <v>30</v>
      </c>
    </row>
    <row r="106" spans="1:12" x14ac:dyDescent="0.25">
      <c r="A106" t="s">
        <v>501</v>
      </c>
      <c r="B106">
        <v>119942</v>
      </c>
      <c r="C106" s="3">
        <v>18</v>
      </c>
      <c r="D106" t="s">
        <v>32</v>
      </c>
      <c r="E106" t="s">
        <v>20</v>
      </c>
      <c r="F106" t="s">
        <v>3077</v>
      </c>
      <c r="G106" t="s">
        <v>22</v>
      </c>
      <c r="H106" s="5">
        <v>45945.094710648147</v>
      </c>
      <c r="I106" s="5">
        <v>46031.813506944447</v>
      </c>
      <c r="J106">
        <v>86</v>
      </c>
      <c r="K106" t="s">
        <v>25</v>
      </c>
      <c r="L106" t="s">
        <v>30</v>
      </c>
    </row>
    <row r="107" spans="1:12" x14ac:dyDescent="0.25">
      <c r="A107" t="s">
        <v>505</v>
      </c>
      <c r="B107">
        <v>119835</v>
      </c>
      <c r="C107" s="3" t="s">
        <v>3087</v>
      </c>
      <c r="D107" t="s">
        <v>32</v>
      </c>
      <c r="E107" t="s">
        <v>20</v>
      </c>
      <c r="F107" t="s">
        <v>3072</v>
      </c>
      <c r="G107" t="s">
        <v>22</v>
      </c>
      <c r="H107" s="5">
        <v>45945.310081018521</v>
      </c>
      <c r="I107" s="5">
        <v>46031.796979166669</v>
      </c>
      <c r="J107">
        <v>86</v>
      </c>
      <c r="K107" t="s">
        <v>25</v>
      </c>
      <c r="L107" t="s">
        <v>30</v>
      </c>
    </row>
    <row r="108" spans="1:12" x14ac:dyDescent="0.25">
      <c r="A108" t="s">
        <v>509</v>
      </c>
      <c r="B108">
        <v>120330</v>
      </c>
      <c r="C108" s="3">
        <v>24</v>
      </c>
      <c r="D108" t="s">
        <v>32</v>
      </c>
      <c r="E108" t="s">
        <v>62</v>
      </c>
      <c r="F108" t="s">
        <v>3074</v>
      </c>
      <c r="G108" t="s">
        <v>22</v>
      </c>
      <c r="H108" s="5">
        <v>45946.834710648145</v>
      </c>
      <c r="I108" s="5">
        <v>46031.735266203701</v>
      </c>
      <c r="J108">
        <v>84</v>
      </c>
      <c r="K108" t="s">
        <v>25</v>
      </c>
      <c r="L108" t="s">
        <v>30</v>
      </c>
    </row>
    <row r="109" spans="1:12" x14ac:dyDescent="0.25">
      <c r="A109" t="s">
        <v>512</v>
      </c>
      <c r="B109">
        <v>120336</v>
      </c>
      <c r="C109" s="3" t="s">
        <v>3087</v>
      </c>
      <c r="D109" t="s">
        <v>32</v>
      </c>
      <c r="E109" t="s">
        <v>62</v>
      </c>
      <c r="F109" t="s">
        <v>3072</v>
      </c>
      <c r="G109" t="s">
        <v>22</v>
      </c>
      <c r="H109" s="5">
        <v>45947.094953703701</v>
      </c>
      <c r="I109" s="5">
        <v>46031.797905092593</v>
      </c>
      <c r="J109">
        <v>84</v>
      </c>
      <c r="K109" t="s">
        <v>211</v>
      </c>
      <c r="L109" t="s">
        <v>30</v>
      </c>
    </row>
    <row r="110" spans="1:12" x14ac:dyDescent="0.25">
      <c r="A110" t="s">
        <v>515</v>
      </c>
      <c r="B110">
        <v>115152</v>
      </c>
      <c r="C110" s="3">
        <v>20</v>
      </c>
      <c r="D110" t="s">
        <v>32</v>
      </c>
      <c r="E110" t="s">
        <v>3073</v>
      </c>
      <c r="F110" t="s">
        <v>3077</v>
      </c>
      <c r="G110" t="s">
        <v>22</v>
      </c>
      <c r="H110" s="5">
        <v>45947.104421296295</v>
      </c>
      <c r="I110" s="5">
        <v>46031.813796296294</v>
      </c>
      <c r="J110">
        <v>84</v>
      </c>
      <c r="K110" t="s">
        <v>25</v>
      </c>
      <c r="L110" t="s">
        <v>30</v>
      </c>
    </row>
    <row r="111" spans="1:12" x14ac:dyDescent="0.25">
      <c r="A111" t="s">
        <v>518</v>
      </c>
      <c r="B111">
        <v>120660</v>
      </c>
      <c r="C111" s="3">
        <v>5</v>
      </c>
      <c r="D111" t="s">
        <v>32</v>
      </c>
      <c r="E111" t="s">
        <v>3073</v>
      </c>
      <c r="F111" t="s">
        <v>3076</v>
      </c>
      <c r="G111" t="s">
        <v>22</v>
      </c>
      <c r="H111" s="5">
        <v>45950.566874999997</v>
      </c>
      <c r="I111" s="5">
        <v>46035.486932870372</v>
      </c>
      <c r="J111">
        <v>84</v>
      </c>
      <c r="K111" t="s">
        <v>112</v>
      </c>
      <c r="L111" t="s">
        <v>30</v>
      </c>
    </row>
    <row r="112" spans="1:12" x14ac:dyDescent="0.25">
      <c r="A112" t="s">
        <v>521</v>
      </c>
      <c r="B112">
        <v>45836</v>
      </c>
      <c r="C112" s="3">
        <v>3</v>
      </c>
      <c r="D112" t="s">
        <v>32</v>
      </c>
      <c r="E112" t="s">
        <v>227</v>
      </c>
      <c r="F112" t="s">
        <v>3076</v>
      </c>
      <c r="G112" t="s">
        <v>22</v>
      </c>
      <c r="H112" s="5">
        <v>45945.573900462965</v>
      </c>
      <c r="I112" s="5">
        <v>46028.542233796295</v>
      </c>
      <c r="J112">
        <v>82</v>
      </c>
      <c r="K112" t="s">
        <v>25</v>
      </c>
      <c r="L112" t="s">
        <v>30</v>
      </c>
    </row>
    <row r="113" spans="1:12" x14ac:dyDescent="0.25">
      <c r="A113" t="s">
        <v>525</v>
      </c>
      <c r="B113">
        <v>120700</v>
      </c>
      <c r="C113" s="3" t="s">
        <v>3087</v>
      </c>
      <c r="D113" t="s">
        <v>32</v>
      </c>
      <c r="E113" t="s">
        <v>20</v>
      </c>
      <c r="F113" t="s">
        <v>3072</v>
      </c>
      <c r="G113" t="s">
        <v>22</v>
      </c>
      <c r="H113" s="5">
        <v>45950.647303240738</v>
      </c>
      <c r="I113" s="5">
        <v>46031.798206018517</v>
      </c>
      <c r="J113">
        <v>81</v>
      </c>
      <c r="K113" t="s">
        <v>211</v>
      </c>
      <c r="L113" t="s">
        <v>30</v>
      </c>
    </row>
    <row r="114" spans="1:12" x14ac:dyDescent="0.25">
      <c r="A114" t="s">
        <v>529</v>
      </c>
      <c r="B114">
        <v>120801</v>
      </c>
      <c r="C114" s="3">
        <v>34</v>
      </c>
      <c r="D114" t="s">
        <v>32</v>
      </c>
      <c r="E114" t="s">
        <v>3073</v>
      </c>
      <c r="F114" t="s">
        <v>3074</v>
      </c>
      <c r="G114" t="s">
        <v>22</v>
      </c>
      <c r="H114" s="5">
        <v>45951.596643518518</v>
      </c>
      <c r="I114" s="5">
        <v>46031.735682870371</v>
      </c>
      <c r="J114">
        <v>80</v>
      </c>
      <c r="K114" t="s">
        <v>25</v>
      </c>
      <c r="L114" t="s">
        <v>30</v>
      </c>
    </row>
    <row r="115" spans="1:12" x14ac:dyDescent="0.25">
      <c r="A115" t="s">
        <v>533</v>
      </c>
      <c r="B115">
        <v>121107</v>
      </c>
      <c r="C115" s="3">
        <v>10</v>
      </c>
      <c r="D115" t="s">
        <v>19</v>
      </c>
      <c r="E115" t="s">
        <v>3073</v>
      </c>
      <c r="F115" t="s">
        <v>3076</v>
      </c>
      <c r="G115" t="s">
        <v>22</v>
      </c>
      <c r="H115" s="5">
        <v>45954.835185185184</v>
      </c>
      <c r="I115" s="5">
        <v>46035.486562500002</v>
      </c>
      <c r="J115">
        <v>80</v>
      </c>
      <c r="K115" t="s">
        <v>112</v>
      </c>
      <c r="L115" t="s">
        <v>30</v>
      </c>
    </row>
    <row r="116" spans="1:12" x14ac:dyDescent="0.25">
      <c r="A116" t="s">
        <v>537</v>
      </c>
      <c r="B116">
        <v>121158</v>
      </c>
      <c r="C116" s="3">
        <v>29</v>
      </c>
      <c r="D116" t="s">
        <v>32</v>
      </c>
      <c r="E116" t="s">
        <v>3073</v>
      </c>
      <c r="F116" t="s">
        <v>3074</v>
      </c>
      <c r="G116" t="s">
        <v>22</v>
      </c>
      <c r="H116" s="5">
        <v>45955.543749999997</v>
      </c>
      <c r="I116" s="5">
        <v>46031.736354166664</v>
      </c>
      <c r="J116">
        <v>76</v>
      </c>
      <c r="K116" t="s">
        <v>25</v>
      </c>
      <c r="L116" t="s">
        <v>30</v>
      </c>
    </row>
    <row r="117" spans="1:12" x14ac:dyDescent="0.25">
      <c r="A117" t="s">
        <v>540</v>
      </c>
      <c r="B117">
        <v>121331</v>
      </c>
      <c r="C117" s="3">
        <v>42</v>
      </c>
      <c r="D117" t="s">
        <v>19</v>
      </c>
      <c r="E117" t="s">
        <v>20</v>
      </c>
      <c r="F117" t="s">
        <v>3086</v>
      </c>
      <c r="G117" t="s">
        <v>22</v>
      </c>
      <c r="H117" s="5">
        <v>45957.898900462962</v>
      </c>
      <c r="I117" s="5">
        <v>46031.760289351849</v>
      </c>
      <c r="J117">
        <v>73</v>
      </c>
      <c r="K117" t="s">
        <v>25</v>
      </c>
      <c r="L117" t="s">
        <v>30</v>
      </c>
    </row>
    <row r="118" spans="1:12" x14ac:dyDescent="0.25">
      <c r="A118" t="s">
        <v>545</v>
      </c>
      <c r="B118">
        <v>121688</v>
      </c>
      <c r="C118" s="3">
        <v>33</v>
      </c>
      <c r="D118" t="s">
        <v>19</v>
      </c>
      <c r="E118" t="s">
        <v>3073</v>
      </c>
      <c r="F118" t="s">
        <v>3086</v>
      </c>
      <c r="G118" t="s">
        <v>22</v>
      </c>
      <c r="H118" s="5">
        <v>45964.003599537034</v>
      </c>
      <c r="I118" s="5">
        <v>46031.759745370371</v>
      </c>
      <c r="J118">
        <v>67</v>
      </c>
      <c r="K118" t="s">
        <v>25</v>
      </c>
      <c r="L118" t="s">
        <v>30</v>
      </c>
    </row>
    <row r="119" spans="1:12" x14ac:dyDescent="0.25">
      <c r="A119" t="s">
        <v>549</v>
      </c>
      <c r="B119">
        <v>121023</v>
      </c>
      <c r="C119" s="3">
        <v>30</v>
      </c>
      <c r="D119" t="s">
        <v>32</v>
      </c>
      <c r="E119" t="s">
        <v>260</v>
      </c>
      <c r="F119" t="s">
        <v>3074</v>
      </c>
      <c r="G119" t="s">
        <v>22</v>
      </c>
      <c r="H119" s="5">
        <v>45964.995370370372</v>
      </c>
      <c r="I119" s="5">
        <v>46031.739837962959</v>
      </c>
      <c r="J119">
        <v>66</v>
      </c>
      <c r="K119" t="s">
        <v>65</v>
      </c>
      <c r="L119" t="s">
        <v>30</v>
      </c>
    </row>
    <row r="120" spans="1:12" x14ac:dyDescent="0.25">
      <c r="A120" t="s">
        <v>553</v>
      </c>
      <c r="B120">
        <v>121749</v>
      </c>
      <c r="C120" s="3">
        <v>56</v>
      </c>
      <c r="D120" t="s">
        <v>32</v>
      </c>
      <c r="E120" t="s">
        <v>20</v>
      </c>
      <c r="F120" t="s">
        <v>3077</v>
      </c>
      <c r="G120" t="s">
        <v>22</v>
      </c>
      <c r="H120" s="5">
        <v>45964.927581018521</v>
      </c>
      <c r="I120" s="5">
        <v>46028.414583333331</v>
      </c>
      <c r="J120">
        <v>63</v>
      </c>
      <c r="K120" t="s">
        <v>211</v>
      </c>
      <c r="L120" t="s">
        <v>30</v>
      </c>
    </row>
    <row r="121" spans="1:12" x14ac:dyDescent="0.25">
      <c r="A121" t="s">
        <v>557</v>
      </c>
      <c r="B121">
        <v>122126</v>
      </c>
      <c r="C121" s="3">
        <v>25</v>
      </c>
      <c r="D121" t="s">
        <v>32</v>
      </c>
      <c r="E121" t="s">
        <v>20</v>
      </c>
      <c r="F121" t="s">
        <v>3084</v>
      </c>
      <c r="G121" t="s">
        <v>22</v>
      </c>
      <c r="H121" s="5">
        <v>45968.864791666667</v>
      </c>
      <c r="I121" s="5">
        <v>46031.782685185186</v>
      </c>
      <c r="J121">
        <v>62</v>
      </c>
      <c r="K121" t="s">
        <v>25</v>
      </c>
      <c r="L121" t="s">
        <v>30</v>
      </c>
    </row>
    <row r="122" spans="1:12" x14ac:dyDescent="0.25">
      <c r="A122" t="s">
        <v>561</v>
      </c>
      <c r="B122">
        <v>122132</v>
      </c>
      <c r="C122" s="3">
        <v>30</v>
      </c>
      <c r="D122" t="s">
        <v>32</v>
      </c>
      <c r="E122" t="s">
        <v>3073</v>
      </c>
      <c r="F122" t="s">
        <v>3077</v>
      </c>
      <c r="G122" t="s">
        <v>22</v>
      </c>
      <c r="H122" s="5">
        <v>45969.046388888892</v>
      </c>
      <c r="I122" s="5">
        <v>46031.814340277779</v>
      </c>
      <c r="J122">
        <v>62</v>
      </c>
      <c r="K122" t="s">
        <v>65</v>
      </c>
      <c r="L122" t="s">
        <v>30</v>
      </c>
    </row>
    <row r="123" spans="1:12" x14ac:dyDescent="0.25">
      <c r="A123" t="s">
        <v>564</v>
      </c>
      <c r="B123">
        <v>122551</v>
      </c>
      <c r="C123" s="3">
        <v>1</v>
      </c>
      <c r="D123" t="s">
        <v>19</v>
      </c>
      <c r="E123" t="s">
        <v>3073</v>
      </c>
      <c r="F123" t="s">
        <v>3076</v>
      </c>
      <c r="G123" t="s">
        <v>22</v>
      </c>
      <c r="H123" s="5">
        <v>45974.12672453704</v>
      </c>
      <c r="I123" s="5">
        <v>46035.486157407409</v>
      </c>
      <c r="J123">
        <v>61</v>
      </c>
      <c r="K123" t="s">
        <v>25</v>
      </c>
      <c r="L123" t="s">
        <v>30</v>
      </c>
    </row>
    <row r="124" spans="1:12" x14ac:dyDescent="0.25">
      <c r="A124" t="s">
        <v>568</v>
      </c>
      <c r="B124">
        <v>122447</v>
      </c>
      <c r="C124" s="3">
        <v>45</v>
      </c>
      <c r="D124" t="s">
        <v>32</v>
      </c>
      <c r="E124" t="s">
        <v>260</v>
      </c>
      <c r="F124" t="s">
        <v>3077</v>
      </c>
      <c r="G124" t="s">
        <v>22</v>
      </c>
      <c r="H124" s="5">
        <v>45972.829548611109</v>
      </c>
      <c r="I124" s="5">
        <v>46031.814745370371</v>
      </c>
      <c r="J124">
        <v>58</v>
      </c>
      <c r="K124" t="s">
        <v>25</v>
      </c>
      <c r="L124" t="s">
        <v>30</v>
      </c>
    </row>
    <row r="125" spans="1:12" x14ac:dyDescent="0.25">
      <c r="A125" t="s">
        <v>571</v>
      </c>
      <c r="B125">
        <v>122298</v>
      </c>
      <c r="C125" s="3">
        <v>61</v>
      </c>
      <c r="D125" t="s">
        <v>19</v>
      </c>
      <c r="E125" t="s">
        <v>62</v>
      </c>
      <c r="F125" t="s">
        <v>3086</v>
      </c>
      <c r="G125" t="s">
        <v>394</v>
      </c>
      <c r="H125" s="5">
        <v>45971.677187499998</v>
      </c>
      <c r="I125" s="5">
        <v>46028.548136574071</v>
      </c>
      <c r="J125">
        <v>56</v>
      </c>
      <c r="K125" t="s">
        <v>211</v>
      </c>
      <c r="L125" t="s">
        <v>30</v>
      </c>
    </row>
    <row r="126" spans="1:12" x14ac:dyDescent="0.25">
      <c r="A126" t="s">
        <v>576</v>
      </c>
      <c r="B126">
        <v>122742</v>
      </c>
      <c r="C126" s="3">
        <v>47</v>
      </c>
      <c r="D126" t="s">
        <v>19</v>
      </c>
      <c r="E126" t="s">
        <v>3073</v>
      </c>
      <c r="F126" t="s">
        <v>3085</v>
      </c>
      <c r="G126" t="s">
        <v>22</v>
      </c>
      <c r="H126" s="5">
        <v>45975.827546296299</v>
      </c>
      <c r="I126" s="5">
        <v>46031.756585648145</v>
      </c>
      <c r="J126">
        <v>55</v>
      </c>
      <c r="K126" t="s">
        <v>25</v>
      </c>
      <c r="L126" t="s">
        <v>30</v>
      </c>
    </row>
    <row r="127" spans="1:12" x14ac:dyDescent="0.25">
      <c r="A127" t="s">
        <v>580</v>
      </c>
      <c r="B127">
        <v>122828</v>
      </c>
      <c r="C127" s="3">
        <v>23</v>
      </c>
      <c r="D127" t="s">
        <v>32</v>
      </c>
      <c r="E127" t="s">
        <v>260</v>
      </c>
      <c r="F127" t="s">
        <v>3074</v>
      </c>
      <c r="G127" t="s">
        <v>22</v>
      </c>
      <c r="H127" s="5">
        <v>45977.799224537041</v>
      </c>
      <c r="I127" s="5">
        <v>46031.740937499999</v>
      </c>
      <c r="J127">
        <v>53</v>
      </c>
      <c r="K127" t="s">
        <v>25</v>
      </c>
      <c r="L127" t="s">
        <v>30</v>
      </c>
    </row>
    <row r="128" spans="1:12" x14ac:dyDescent="0.25">
      <c r="A128" t="s">
        <v>583</v>
      </c>
      <c r="B128">
        <v>122886</v>
      </c>
      <c r="C128" s="3">
        <v>18</v>
      </c>
      <c r="D128" t="s">
        <v>19</v>
      </c>
      <c r="E128" t="s">
        <v>3073</v>
      </c>
      <c r="F128" t="s">
        <v>3085</v>
      </c>
      <c r="G128" t="s">
        <v>22</v>
      </c>
      <c r="H128" s="5">
        <v>45978.977233796293</v>
      </c>
      <c r="I128" s="5">
        <v>46031.756932870368</v>
      </c>
      <c r="J128">
        <v>52</v>
      </c>
      <c r="K128" t="s">
        <v>65</v>
      </c>
      <c r="L128" t="s">
        <v>30</v>
      </c>
    </row>
    <row r="129" spans="1:12" x14ac:dyDescent="0.25">
      <c r="A129" t="s">
        <v>587</v>
      </c>
      <c r="B129">
        <v>124241</v>
      </c>
      <c r="C129" s="3">
        <v>50</v>
      </c>
      <c r="D129" t="s">
        <v>19</v>
      </c>
      <c r="E129" t="s">
        <v>260</v>
      </c>
      <c r="F129" t="s">
        <v>3078</v>
      </c>
      <c r="G129" t="s">
        <v>22</v>
      </c>
      <c r="H129" s="5">
        <v>45992.798217592594</v>
      </c>
      <c r="I129" s="5">
        <v>46034.65148148148</v>
      </c>
      <c r="J129">
        <v>41</v>
      </c>
      <c r="K129" t="s">
        <v>25</v>
      </c>
      <c r="L129" t="s">
        <v>30</v>
      </c>
    </row>
    <row r="130" spans="1:12" x14ac:dyDescent="0.25">
      <c r="A130" t="s">
        <v>592</v>
      </c>
      <c r="B130">
        <v>124185</v>
      </c>
      <c r="C130" s="3">
        <v>29</v>
      </c>
      <c r="D130" t="s">
        <v>32</v>
      </c>
      <c r="E130" t="s">
        <v>62</v>
      </c>
      <c r="F130" t="s">
        <v>3074</v>
      </c>
      <c r="G130" t="s">
        <v>394</v>
      </c>
      <c r="H130" s="5">
        <v>45992.606724537036</v>
      </c>
      <c r="I130" s="5">
        <v>46029.725601851853</v>
      </c>
      <c r="J130">
        <v>37</v>
      </c>
      <c r="K130" t="s">
        <v>25</v>
      </c>
      <c r="L130" t="s">
        <v>30</v>
      </c>
    </row>
    <row r="131" spans="1:12" x14ac:dyDescent="0.25">
      <c r="A131" t="s">
        <v>595</v>
      </c>
      <c r="B131">
        <v>125012</v>
      </c>
      <c r="C131" s="3">
        <v>78</v>
      </c>
      <c r="D131" t="s">
        <v>32</v>
      </c>
      <c r="E131" t="s">
        <v>3073</v>
      </c>
      <c r="F131" t="s">
        <v>3077</v>
      </c>
      <c r="G131" t="s">
        <v>22</v>
      </c>
      <c r="H131" s="5">
        <v>46001.561990740738</v>
      </c>
      <c r="I131" s="5">
        <v>46032.594282407408</v>
      </c>
      <c r="J131">
        <v>31</v>
      </c>
      <c r="K131" t="s">
        <v>25</v>
      </c>
      <c r="L131" t="s">
        <v>30</v>
      </c>
    </row>
    <row r="132" spans="1:12" x14ac:dyDescent="0.25">
      <c r="A132" t="s">
        <v>600</v>
      </c>
      <c r="B132">
        <v>126002</v>
      </c>
      <c r="C132" s="3">
        <v>17</v>
      </c>
      <c r="D132" t="s">
        <v>32</v>
      </c>
      <c r="E132" t="s">
        <v>20</v>
      </c>
      <c r="F132" t="s">
        <v>3077</v>
      </c>
      <c r="G132" t="s">
        <v>22</v>
      </c>
      <c r="H132" s="5">
        <v>46012.734652777777</v>
      </c>
      <c r="I132" s="5">
        <v>46043.659745370373</v>
      </c>
      <c r="J132">
        <v>30</v>
      </c>
      <c r="K132" t="s">
        <v>25</v>
      </c>
      <c r="L132" t="s">
        <v>30</v>
      </c>
    </row>
    <row r="133" spans="1:12" x14ac:dyDescent="0.25">
      <c r="A133" t="s">
        <v>606</v>
      </c>
      <c r="B133">
        <v>119092</v>
      </c>
      <c r="C133" s="3">
        <v>31</v>
      </c>
      <c r="D133" t="s">
        <v>32</v>
      </c>
      <c r="E133" t="s">
        <v>3073</v>
      </c>
      <c r="F133" t="s">
        <v>3074</v>
      </c>
      <c r="G133" t="s">
        <v>394</v>
      </c>
      <c r="H133" s="5">
        <v>46000.362372685187</v>
      </c>
      <c r="I133" s="5">
        <v>46029.724803240744</v>
      </c>
      <c r="J133">
        <v>29</v>
      </c>
      <c r="K133" t="s">
        <v>25</v>
      </c>
      <c r="L133" t="s">
        <v>30</v>
      </c>
    </row>
    <row r="134" spans="1:12" x14ac:dyDescent="0.25">
      <c r="A134" t="s">
        <v>609</v>
      </c>
      <c r="B134">
        <v>126860</v>
      </c>
      <c r="C134" s="3">
        <v>33</v>
      </c>
      <c r="D134" t="s">
        <v>32</v>
      </c>
      <c r="E134" t="s">
        <v>3073</v>
      </c>
      <c r="F134" t="s">
        <v>3074</v>
      </c>
      <c r="G134" t="s">
        <v>394</v>
      </c>
      <c r="H134" s="5">
        <v>46021.841377314813</v>
      </c>
      <c r="I134" s="5">
        <v>46051.66684027778</v>
      </c>
      <c r="J134">
        <v>29</v>
      </c>
      <c r="K134" t="s">
        <v>25</v>
      </c>
      <c r="L134" t="s">
        <v>30</v>
      </c>
    </row>
    <row r="135" spans="1:12" x14ac:dyDescent="0.25">
      <c r="A135" t="s">
        <v>613</v>
      </c>
      <c r="B135">
        <v>34133</v>
      </c>
      <c r="C135" s="3">
        <v>43</v>
      </c>
      <c r="D135" t="s">
        <v>19</v>
      </c>
      <c r="E135" t="s">
        <v>227</v>
      </c>
      <c r="F135" t="s">
        <v>3085</v>
      </c>
      <c r="G135" t="s">
        <v>394</v>
      </c>
      <c r="H135" s="5">
        <v>45996.566250000003</v>
      </c>
      <c r="I135" s="5">
        <v>46024.648414351854</v>
      </c>
      <c r="J135">
        <v>28</v>
      </c>
      <c r="K135" t="s">
        <v>25</v>
      </c>
      <c r="L135" t="s">
        <v>30</v>
      </c>
    </row>
    <row r="136" spans="1:12" x14ac:dyDescent="0.25">
      <c r="A136" t="s">
        <v>617</v>
      </c>
      <c r="B136">
        <v>125931</v>
      </c>
      <c r="C136" s="3">
        <v>26</v>
      </c>
      <c r="D136" t="s">
        <v>32</v>
      </c>
      <c r="E136" t="s">
        <v>3073</v>
      </c>
      <c r="F136" t="s">
        <v>3074</v>
      </c>
      <c r="G136" t="s">
        <v>22</v>
      </c>
      <c r="H136" s="5">
        <v>46011.258356481485</v>
      </c>
      <c r="I136" s="5">
        <v>46038.582002314812</v>
      </c>
      <c r="J136">
        <v>27</v>
      </c>
      <c r="K136" t="s">
        <v>25</v>
      </c>
      <c r="L136" t="s">
        <v>30</v>
      </c>
    </row>
    <row r="137" spans="1:12" x14ac:dyDescent="0.25">
      <c r="A137" t="s">
        <v>621</v>
      </c>
      <c r="B137">
        <v>126609</v>
      </c>
      <c r="C137" s="3" t="s">
        <v>3088</v>
      </c>
      <c r="D137" t="s">
        <v>32</v>
      </c>
      <c r="E137" t="s">
        <v>62</v>
      </c>
      <c r="F137" t="s">
        <v>3072</v>
      </c>
      <c r="G137" t="s">
        <v>22</v>
      </c>
      <c r="H137" s="5">
        <v>46020.014270833337</v>
      </c>
      <c r="I137" s="5">
        <v>46046.711111111108</v>
      </c>
      <c r="J137">
        <v>26</v>
      </c>
      <c r="K137" t="s">
        <v>25</v>
      </c>
      <c r="L137" t="s">
        <v>30</v>
      </c>
    </row>
    <row r="138" spans="1:12" x14ac:dyDescent="0.25">
      <c r="A138" t="s">
        <v>625</v>
      </c>
      <c r="B138">
        <v>126610</v>
      </c>
      <c r="C138" s="3" t="s">
        <v>3088</v>
      </c>
      <c r="D138" t="s">
        <v>19</v>
      </c>
      <c r="E138" t="s">
        <v>62</v>
      </c>
      <c r="F138" t="s">
        <v>3072</v>
      </c>
      <c r="G138" t="s">
        <v>22</v>
      </c>
      <c r="H138" s="5">
        <v>46020.030289351853</v>
      </c>
      <c r="I138" s="5">
        <v>46046.710717592592</v>
      </c>
      <c r="J138">
        <v>26</v>
      </c>
      <c r="K138" t="s">
        <v>25</v>
      </c>
      <c r="L138" t="s">
        <v>30</v>
      </c>
    </row>
    <row r="139" spans="1:12" x14ac:dyDescent="0.25">
      <c r="A139" t="s">
        <v>629</v>
      </c>
      <c r="B139">
        <v>127015</v>
      </c>
      <c r="C139" s="3">
        <v>41</v>
      </c>
      <c r="D139" t="s">
        <v>19</v>
      </c>
      <c r="E139" t="s">
        <v>3073</v>
      </c>
      <c r="F139" t="s">
        <v>3078</v>
      </c>
      <c r="G139" t="s">
        <v>22</v>
      </c>
      <c r="H139" s="5">
        <v>46023.888657407406</v>
      </c>
      <c r="I139" s="5">
        <v>46050.659143518518</v>
      </c>
      <c r="J139">
        <v>26</v>
      </c>
      <c r="K139" t="s">
        <v>25</v>
      </c>
      <c r="L139" t="s">
        <v>30</v>
      </c>
    </row>
    <row r="140" spans="1:12" x14ac:dyDescent="0.25">
      <c r="A140" t="s">
        <v>633</v>
      </c>
      <c r="B140">
        <v>124796</v>
      </c>
      <c r="C140" s="3" t="s">
        <v>3089</v>
      </c>
      <c r="D140" t="s">
        <v>32</v>
      </c>
      <c r="E140" t="s">
        <v>3073</v>
      </c>
      <c r="F140" t="s">
        <v>3072</v>
      </c>
      <c r="G140" t="s">
        <v>22</v>
      </c>
      <c r="H140" s="5">
        <v>45999.506342592591</v>
      </c>
      <c r="I140" s="5">
        <v>46024.644456018519</v>
      </c>
      <c r="J140">
        <v>25</v>
      </c>
      <c r="K140" t="s">
        <v>25</v>
      </c>
      <c r="L140" t="s">
        <v>30</v>
      </c>
    </row>
    <row r="141" spans="1:12" x14ac:dyDescent="0.25">
      <c r="A141" t="s">
        <v>637</v>
      </c>
      <c r="B141">
        <v>126811</v>
      </c>
      <c r="C141" s="3">
        <v>90</v>
      </c>
      <c r="D141" t="s">
        <v>32</v>
      </c>
      <c r="E141" t="s">
        <v>3073</v>
      </c>
      <c r="F141" t="s">
        <v>3077</v>
      </c>
      <c r="G141" t="s">
        <v>22</v>
      </c>
      <c r="H141" s="5">
        <v>46021.682824074072</v>
      </c>
      <c r="I141" s="5">
        <v>46047.61273148148</v>
      </c>
      <c r="J141">
        <v>25</v>
      </c>
      <c r="K141" t="s">
        <v>211</v>
      </c>
      <c r="L141" t="s">
        <v>30</v>
      </c>
    </row>
    <row r="142" spans="1:12" x14ac:dyDescent="0.25">
      <c r="A142" t="s">
        <v>640</v>
      </c>
      <c r="B142">
        <v>127424</v>
      </c>
      <c r="C142" s="3">
        <v>46</v>
      </c>
      <c r="D142" t="s">
        <v>19</v>
      </c>
      <c r="E142" t="s">
        <v>3073</v>
      </c>
      <c r="F142" t="s">
        <v>3078</v>
      </c>
      <c r="G142" t="s">
        <v>22</v>
      </c>
      <c r="H142" s="5">
        <v>46027.889525462961</v>
      </c>
      <c r="I142" s="5">
        <v>46052.627268518518</v>
      </c>
      <c r="J142">
        <v>24</v>
      </c>
      <c r="K142" t="s">
        <v>25</v>
      </c>
      <c r="L142" t="s">
        <v>30</v>
      </c>
    </row>
    <row r="143" spans="1:12" x14ac:dyDescent="0.25">
      <c r="A143" t="s">
        <v>645</v>
      </c>
      <c r="B143">
        <v>127469</v>
      </c>
      <c r="C143" s="3">
        <v>6</v>
      </c>
      <c r="D143" t="s">
        <v>19</v>
      </c>
      <c r="E143" t="s">
        <v>2589</v>
      </c>
      <c r="F143" t="s">
        <v>3076</v>
      </c>
      <c r="G143" t="s">
        <v>22</v>
      </c>
      <c r="H143" s="5">
        <v>46028.489895833336</v>
      </c>
      <c r="I143" s="5">
        <v>46052.673032407409</v>
      </c>
      <c r="J143">
        <v>24</v>
      </c>
      <c r="K143" t="s">
        <v>25</v>
      </c>
      <c r="L143" t="s">
        <v>30</v>
      </c>
    </row>
    <row r="144" spans="1:12" x14ac:dyDescent="0.25">
      <c r="A144" t="s">
        <v>649</v>
      </c>
      <c r="B144">
        <v>125317</v>
      </c>
      <c r="C144" s="3">
        <v>60</v>
      </c>
      <c r="D144" t="s">
        <v>19</v>
      </c>
      <c r="E144" t="s">
        <v>260</v>
      </c>
      <c r="F144" t="s">
        <v>3086</v>
      </c>
      <c r="G144" t="s">
        <v>22</v>
      </c>
      <c r="H144" s="5">
        <v>46004.841261574074</v>
      </c>
      <c r="I144" s="5">
        <v>46028.550092592595</v>
      </c>
      <c r="J144">
        <v>23</v>
      </c>
      <c r="K144" t="s">
        <v>25</v>
      </c>
      <c r="L144" t="s">
        <v>30</v>
      </c>
    </row>
    <row r="145" spans="1:12" x14ac:dyDescent="0.25">
      <c r="A145" t="s">
        <v>617</v>
      </c>
      <c r="B145">
        <v>126175</v>
      </c>
      <c r="C145" s="3">
        <v>27</v>
      </c>
      <c r="D145" t="s">
        <v>32</v>
      </c>
      <c r="E145" t="s">
        <v>3073</v>
      </c>
      <c r="F145" t="s">
        <v>3074</v>
      </c>
      <c r="G145" t="s">
        <v>394</v>
      </c>
      <c r="H145" s="5">
        <v>46014.654965277776</v>
      </c>
      <c r="I145" s="5">
        <v>46038.604016203702</v>
      </c>
      <c r="J145">
        <v>23</v>
      </c>
      <c r="K145" t="s">
        <v>25</v>
      </c>
      <c r="L145" t="s">
        <v>30</v>
      </c>
    </row>
    <row r="146" spans="1:12" x14ac:dyDescent="0.25">
      <c r="A146" t="s">
        <v>655</v>
      </c>
      <c r="B146">
        <v>126953</v>
      </c>
      <c r="C146" s="3" t="s">
        <v>3088</v>
      </c>
      <c r="D146" t="s">
        <v>32</v>
      </c>
      <c r="E146" t="s">
        <v>3073</v>
      </c>
      <c r="F146" t="s">
        <v>3072</v>
      </c>
      <c r="G146" t="s">
        <v>22</v>
      </c>
      <c r="H146" s="5">
        <v>46022.64947916667</v>
      </c>
      <c r="I146" s="5">
        <v>46046.644224537034</v>
      </c>
      <c r="J146">
        <v>23</v>
      </c>
      <c r="K146" t="s">
        <v>25</v>
      </c>
      <c r="L146" t="s">
        <v>30</v>
      </c>
    </row>
    <row r="147" spans="1:12" x14ac:dyDescent="0.25">
      <c r="A147" t="s">
        <v>658</v>
      </c>
      <c r="B147">
        <v>126960</v>
      </c>
      <c r="C147" s="3" t="s">
        <v>3088</v>
      </c>
      <c r="D147" t="s">
        <v>32</v>
      </c>
      <c r="E147" t="s">
        <v>62</v>
      </c>
      <c r="F147" t="s">
        <v>3072</v>
      </c>
      <c r="G147" t="s">
        <v>394</v>
      </c>
      <c r="H147" s="5">
        <v>46023.463796296295</v>
      </c>
      <c r="I147" s="5">
        <v>46044.678553240738</v>
      </c>
      <c r="J147">
        <v>21</v>
      </c>
      <c r="K147" t="s">
        <v>25</v>
      </c>
      <c r="L147" t="s">
        <v>30</v>
      </c>
    </row>
    <row r="148" spans="1:12" x14ac:dyDescent="0.25">
      <c r="A148" t="s">
        <v>663</v>
      </c>
      <c r="B148">
        <v>127674</v>
      </c>
      <c r="C148" s="3">
        <v>3</v>
      </c>
      <c r="D148" t="s">
        <v>19</v>
      </c>
      <c r="E148" t="s">
        <v>3073</v>
      </c>
      <c r="F148" t="s">
        <v>3084</v>
      </c>
      <c r="G148" t="s">
        <v>664</v>
      </c>
      <c r="H148" s="5">
        <v>46030.597060185188</v>
      </c>
      <c r="I148" s="5">
        <v>46052.527905092589</v>
      </c>
      <c r="J148">
        <v>21</v>
      </c>
      <c r="K148" t="s">
        <v>25</v>
      </c>
      <c r="L148" t="s">
        <v>30</v>
      </c>
    </row>
    <row r="149" spans="1:12" x14ac:dyDescent="0.25">
      <c r="A149" t="s">
        <v>669</v>
      </c>
      <c r="B149">
        <v>125875</v>
      </c>
      <c r="C149" s="3">
        <v>14</v>
      </c>
      <c r="D149" t="s">
        <v>32</v>
      </c>
      <c r="E149" t="s">
        <v>20</v>
      </c>
      <c r="F149" t="s">
        <v>3077</v>
      </c>
      <c r="G149" t="s">
        <v>22</v>
      </c>
      <c r="H149" s="5">
        <v>46010.809166666666</v>
      </c>
      <c r="I149" s="5">
        <v>46030.334050925929</v>
      </c>
      <c r="J149">
        <v>19</v>
      </c>
      <c r="K149" t="s">
        <v>25</v>
      </c>
      <c r="L149" t="s">
        <v>30</v>
      </c>
    </row>
    <row r="150" spans="1:12" x14ac:dyDescent="0.25">
      <c r="A150" t="s">
        <v>673</v>
      </c>
      <c r="B150">
        <v>127778</v>
      </c>
      <c r="C150" s="3">
        <v>2</v>
      </c>
      <c r="D150" t="s">
        <v>19</v>
      </c>
      <c r="E150" t="s">
        <v>3073</v>
      </c>
      <c r="F150" t="s">
        <v>3076</v>
      </c>
      <c r="G150" t="s">
        <v>22</v>
      </c>
      <c r="H150" s="5">
        <v>46030.646782407406</v>
      </c>
      <c r="I150" s="5">
        <v>46050.377465277779</v>
      </c>
      <c r="J150">
        <v>19</v>
      </c>
      <c r="K150" t="s">
        <v>211</v>
      </c>
      <c r="L150" t="s">
        <v>30</v>
      </c>
    </row>
    <row r="151" spans="1:12" x14ac:dyDescent="0.25">
      <c r="A151" t="s">
        <v>676</v>
      </c>
      <c r="B151">
        <v>125589</v>
      </c>
      <c r="C151" s="3">
        <v>50</v>
      </c>
      <c r="D151" t="s">
        <v>32</v>
      </c>
      <c r="E151" t="s">
        <v>3073</v>
      </c>
      <c r="F151" t="s">
        <v>3077</v>
      </c>
      <c r="G151" t="s">
        <v>22</v>
      </c>
      <c r="H151" s="5">
        <v>46007.761157407411</v>
      </c>
      <c r="I151" s="5">
        <v>46025.767337962963</v>
      </c>
      <c r="J151">
        <v>18</v>
      </c>
      <c r="K151" t="s">
        <v>25</v>
      </c>
      <c r="L151" t="s">
        <v>30</v>
      </c>
    </row>
    <row r="152" spans="1:12" x14ac:dyDescent="0.25">
      <c r="A152" t="s">
        <v>679</v>
      </c>
      <c r="B152">
        <v>125920</v>
      </c>
      <c r="C152" s="3">
        <v>25</v>
      </c>
      <c r="D152" t="s">
        <v>19</v>
      </c>
      <c r="E152" t="s">
        <v>62</v>
      </c>
      <c r="F152" t="s">
        <v>3078</v>
      </c>
      <c r="G152" t="s">
        <v>22</v>
      </c>
      <c r="H152" s="5">
        <v>46010.824641203704</v>
      </c>
      <c r="I152" s="5">
        <v>46029.442499999997</v>
      </c>
      <c r="J152">
        <v>18</v>
      </c>
      <c r="K152" t="s">
        <v>25</v>
      </c>
      <c r="L152" t="s">
        <v>30</v>
      </c>
    </row>
    <row r="153" spans="1:12" x14ac:dyDescent="0.25">
      <c r="A153" t="s">
        <v>684</v>
      </c>
      <c r="B153">
        <v>126975</v>
      </c>
      <c r="C153" s="3">
        <v>37</v>
      </c>
      <c r="D153" t="s">
        <v>19</v>
      </c>
      <c r="E153" t="s">
        <v>3073</v>
      </c>
      <c r="F153" t="s">
        <v>3090</v>
      </c>
      <c r="G153" t="s">
        <v>394</v>
      </c>
      <c r="H153" s="5">
        <v>46024.60837962963</v>
      </c>
      <c r="I153" s="5">
        <v>46042.806030092594</v>
      </c>
      <c r="J153">
        <v>18</v>
      </c>
      <c r="K153" t="s">
        <v>25</v>
      </c>
      <c r="L153" t="s">
        <v>30</v>
      </c>
    </row>
    <row r="154" spans="1:12" x14ac:dyDescent="0.25">
      <c r="A154" t="s">
        <v>689</v>
      </c>
      <c r="B154">
        <v>127221</v>
      </c>
      <c r="C154" s="3">
        <v>25</v>
      </c>
      <c r="D154" t="s">
        <v>32</v>
      </c>
      <c r="E154" t="s">
        <v>3073</v>
      </c>
      <c r="F154" t="s">
        <v>3074</v>
      </c>
      <c r="G154" t="s">
        <v>22</v>
      </c>
      <c r="H154" s="5">
        <v>46026.560057870367</v>
      </c>
      <c r="I154" s="5">
        <v>46044.617118055554</v>
      </c>
      <c r="J154">
        <v>18</v>
      </c>
      <c r="K154" t="s">
        <v>25</v>
      </c>
      <c r="L154" t="s">
        <v>30</v>
      </c>
    </row>
    <row r="155" spans="1:12" x14ac:dyDescent="0.25">
      <c r="A155" t="s">
        <v>692</v>
      </c>
      <c r="B155">
        <v>89842</v>
      </c>
      <c r="C155" s="3">
        <v>39</v>
      </c>
      <c r="D155" t="s">
        <v>19</v>
      </c>
      <c r="E155" t="s">
        <v>3073</v>
      </c>
      <c r="F155" t="s">
        <v>3078</v>
      </c>
      <c r="G155" t="s">
        <v>22</v>
      </c>
      <c r="H155" s="5">
        <v>46031.979317129626</v>
      </c>
      <c r="I155" s="5">
        <v>46050.611168981479</v>
      </c>
      <c r="J155">
        <v>18</v>
      </c>
      <c r="K155" t="s">
        <v>25</v>
      </c>
      <c r="L155" t="s">
        <v>30</v>
      </c>
    </row>
    <row r="156" spans="1:12" x14ac:dyDescent="0.25">
      <c r="A156" t="s">
        <v>696</v>
      </c>
      <c r="B156">
        <v>125593</v>
      </c>
      <c r="C156" s="3">
        <v>17</v>
      </c>
      <c r="D156" t="s">
        <v>32</v>
      </c>
      <c r="E156" t="s">
        <v>3073</v>
      </c>
      <c r="F156" t="s">
        <v>3074</v>
      </c>
      <c r="G156" t="s">
        <v>22</v>
      </c>
      <c r="H156" s="5">
        <v>46007.63553240741</v>
      </c>
      <c r="I156" s="5">
        <v>46024.787569444445</v>
      </c>
      <c r="J156">
        <v>17</v>
      </c>
      <c r="K156" t="s">
        <v>25</v>
      </c>
      <c r="L156" t="s">
        <v>30</v>
      </c>
    </row>
    <row r="157" spans="1:12" x14ac:dyDescent="0.25">
      <c r="A157" t="s">
        <v>699</v>
      </c>
      <c r="B157">
        <v>125881</v>
      </c>
      <c r="C157" s="3">
        <v>42</v>
      </c>
      <c r="D157" t="s">
        <v>32</v>
      </c>
      <c r="E157" t="s">
        <v>3073</v>
      </c>
      <c r="F157" t="s">
        <v>3091</v>
      </c>
      <c r="G157" t="s">
        <v>701</v>
      </c>
      <c r="H157" s="5">
        <v>46010.593101851853</v>
      </c>
      <c r="I157" s="5">
        <v>46028.415300925924</v>
      </c>
      <c r="J157">
        <v>17</v>
      </c>
      <c r="K157" t="s">
        <v>25</v>
      </c>
      <c r="L157" t="s">
        <v>30</v>
      </c>
    </row>
    <row r="158" spans="1:12" x14ac:dyDescent="0.25">
      <c r="A158" t="s">
        <v>705</v>
      </c>
      <c r="B158">
        <v>126174</v>
      </c>
      <c r="C158" s="3">
        <v>4</v>
      </c>
      <c r="D158" t="s">
        <v>19</v>
      </c>
      <c r="E158" t="s">
        <v>3073</v>
      </c>
      <c r="F158" t="s">
        <v>3076</v>
      </c>
      <c r="G158" t="s">
        <v>22</v>
      </c>
      <c r="H158" s="5">
        <v>46013.788391203707</v>
      </c>
      <c r="I158" s="5">
        <v>46031.537986111114</v>
      </c>
      <c r="J158">
        <v>17</v>
      </c>
      <c r="K158" t="s">
        <v>25</v>
      </c>
      <c r="L158" t="s">
        <v>30</v>
      </c>
    </row>
    <row r="159" spans="1:12" x14ac:dyDescent="0.25">
      <c r="A159" t="s">
        <v>709</v>
      </c>
      <c r="B159">
        <v>127241</v>
      </c>
      <c r="C159" s="3" t="s">
        <v>3088</v>
      </c>
      <c r="D159" t="s">
        <v>19</v>
      </c>
      <c r="E159" t="s">
        <v>3073</v>
      </c>
      <c r="F159" t="s">
        <v>3072</v>
      </c>
      <c r="G159" t="s">
        <v>22</v>
      </c>
      <c r="H159" s="5">
        <v>46026.855706018519</v>
      </c>
      <c r="I159" s="5">
        <v>46044.617395833331</v>
      </c>
      <c r="J159">
        <v>17</v>
      </c>
      <c r="K159" t="s">
        <v>25</v>
      </c>
      <c r="L159" t="s">
        <v>30</v>
      </c>
    </row>
    <row r="160" spans="1:12" x14ac:dyDescent="0.25">
      <c r="A160" t="s">
        <v>712</v>
      </c>
      <c r="B160">
        <v>45310</v>
      </c>
      <c r="C160" s="3">
        <v>55</v>
      </c>
      <c r="D160" t="s">
        <v>32</v>
      </c>
      <c r="E160" t="s">
        <v>227</v>
      </c>
      <c r="F160" t="s">
        <v>3091</v>
      </c>
      <c r="G160" t="s">
        <v>394</v>
      </c>
      <c r="H160" s="5">
        <v>46034.361018518517</v>
      </c>
      <c r="I160" s="5">
        <v>46051.606817129628</v>
      </c>
      <c r="J160">
        <v>17</v>
      </c>
      <c r="K160" t="s">
        <v>25</v>
      </c>
      <c r="L160" t="s">
        <v>30</v>
      </c>
    </row>
    <row r="161" spans="1:12" x14ac:dyDescent="0.25">
      <c r="A161" t="s">
        <v>717</v>
      </c>
      <c r="B161">
        <v>127595</v>
      </c>
      <c r="C161" s="3">
        <v>64</v>
      </c>
      <c r="D161" t="s">
        <v>32</v>
      </c>
      <c r="E161" t="s">
        <v>260</v>
      </c>
      <c r="F161" t="s">
        <v>3077</v>
      </c>
      <c r="G161" t="s">
        <v>394</v>
      </c>
      <c r="H161" s="5">
        <v>46029.855844907404</v>
      </c>
      <c r="I161" s="5">
        <v>46046.560995370368</v>
      </c>
      <c r="J161">
        <v>16</v>
      </c>
      <c r="K161" t="s">
        <v>25</v>
      </c>
      <c r="L161" t="s">
        <v>30</v>
      </c>
    </row>
    <row r="162" spans="1:12" x14ac:dyDescent="0.25">
      <c r="A162" t="s">
        <v>721</v>
      </c>
      <c r="B162">
        <v>126855</v>
      </c>
      <c r="C162" s="3">
        <v>47</v>
      </c>
      <c r="D162" t="s">
        <v>19</v>
      </c>
      <c r="E162" t="s">
        <v>20</v>
      </c>
      <c r="F162" t="s">
        <v>3085</v>
      </c>
      <c r="G162" t="s">
        <v>22</v>
      </c>
      <c r="H162" s="5">
        <v>46021.90556712963</v>
      </c>
      <c r="I162" s="5">
        <v>46037.669687499998</v>
      </c>
      <c r="J162">
        <v>15</v>
      </c>
      <c r="K162" t="s">
        <v>112</v>
      </c>
      <c r="L162" t="s">
        <v>30</v>
      </c>
    </row>
    <row r="163" spans="1:12" x14ac:dyDescent="0.25">
      <c r="A163" t="s">
        <v>725</v>
      </c>
      <c r="B163">
        <v>125810</v>
      </c>
      <c r="C163" s="3" t="s">
        <v>3089</v>
      </c>
      <c r="D163" t="s">
        <v>32</v>
      </c>
      <c r="E163" t="s">
        <v>3073</v>
      </c>
      <c r="F163" t="s">
        <v>3072</v>
      </c>
      <c r="G163" t="s">
        <v>22</v>
      </c>
      <c r="H163" s="5">
        <v>46009.755937499998</v>
      </c>
      <c r="I163" s="5">
        <v>46024.71534722222</v>
      </c>
      <c r="J163">
        <v>14</v>
      </c>
      <c r="K163" t="s">
        <v>25</v>
      </c>
      <c r="L163" t="s">
        <v>30</v>
      </c>
    </row>
    <row r="164" spans="1:12" x14ac:dyDescent="0.25">
      <c r="A164" t="s">
        <v>728</v>
      </c>
      <c r="B164">
        <v>125950</v>
      </c>
      <c r="C164" s="3">
        <v>1</v>
      </c>
      <c r="D164" t="s">
        <v>19</v>
      </c>
      <c r="E164" t="s">
        <v>62</v>
      </c>
      <c r="F164" t="s">
        <v>3076</v>
      </c>
      <c r="G164" t="s">
        <v>22</v>
      </c>
      <c r="H164" s="5">
        <v>46011.560532407406</v>
      </c>
      <c r="I164" s="5">
        <v>46025.722615740742</v>
      </c>
      <c r="J164">
        <v>14</v>
      </c>
      <c r="K164" t="s">
        <v>25</v>
      </c>
      <c r="L164" t="s">
        <v>30</v>
      </c>
    </row>
    <row r="165" spans="1:12" x14ac:dyDescent="0.25">
      <c r="A165" t="s">
        <v>731</v>
      </c>
      <c r="B165">
        <v>126166</v>
      </c>
      <c r="C165" s="3" t="s">
        <v>3089</v>
      </c>
      <c r="D165" t="s">
        <v>19</v>
      </c>
      <c r="E165" t="s">
        <v>260</v>
      </c>
      <c r="F165" t="s">
        <v>3072</v>
      </c>
      <c r="G165" t="s">
        <v>22</v>
      </c>
      <c r="H165" s="5">
        <v>46013.724895833337</v>
      </c>
      <c r="I165" s="5">
        <v>46028.487326388888</v>
      </c>
      <c r="J165">
        <v>14</v>
      </c>
      <c r="K165" t="s">
        <v>211</v>
      </c>
      <c r="L165" t="s">
        <v>30</v>
      </c>
    </row>
    <row r="166" spans="1:12" x14ac:dyDescent="0.25">
      <c r="A166" t="s">
        <v>735</v>
      </c>
      <c r="B166">
        <v>126263</v>
      </c>
      <c r="C166" s="3">
        <v>36</v>
      </c>
      <c r="D166" t="s">
        <v>32</v>
      </c>
      <c r="E166" t="s">
        <v>260</v>
      </c>
      <c r="F166" t="s">
        <v>3074</v>
      </c>
      <c r="G166" t="s">
        <v>22</v>
      </c>
      <c r="H166" s="5">
        <v>46014.709398148145</v>
      </c>
      <c r="I166" s="5">
        <v>46029.363645833335</v>
      </c>
      <c r="J166">
        <v>14</v>
      </c>
      <c r="K166" t="s">
        <v>25</v>
      </c>
      <c r="L166" t="s">
        <v>30</v>
      </c>
    </row>
    <row r="167" spans="1:12" x14ac:dyDescent="0.25">
      <c r="A167" t="s">
        <v>738</v>
      </c>
      <c r="B167">
        <v>127978</v>
      </c>
      <c r="C167" s="3">
        <v>46</v>
      </c>
      <c r="D167" t="s">
        <v>32</v>
      </c>
      <c r="E167" t="s">
        <v>3073</v>
      </c>
      <c r="F167" t="s">
        <v>3077</v>
      </c>
      <c r="G167" t="s">
        <v>22</v>
      </c>
      <c r="H167" s="5">
        <v>46032.641574074078</v>
      </c>
      <c r="I167" s="5">
        <v>46047.5700462963</v>
      </c>
      <c r="J167">
        <v>14</v>
      </c>
      <c r="K167" t="s">
        <v>25</v>
      </c>
      <c r="L167" t="s">
        <v>30</v>
      </c>
    </row>
    <row r="168" spans="1:12" x14ac:dyDescent="0.25">
      <c r="A168" t="s">
        <v>741</v>
      </c>
      <c r="B168">
        <v>128166</v>
      </c>
      <c r="C168" s="3" t="s">
        <v>3088</v>
      </c>
      <c r="D168" t="s">
        <v>32</v>
      </c>
      <c r="E168" t="s">
        <v>3073</v>
      </c>
      <c r="F168" t="s">
        <v>3072</v>
      </c>
      <c r="G168" t="s">
        <v>22</v>
      </c>
      <c r="H168" s="5">
        <v>46034.878854166665</v>
      </c>
      <c r="I168" s="5">
        <v>46049.684293981481</v>
      </c>
      <c r="J168">
        <v>14</v>
      </c>
      <c r="K168" t="s">
        <v>25</v>
      </c>
      <c r="L168" t="s">
        <v>30</v>
      </c>
    </row>
    <row r="169" spans="1:12" x14ac:dyDescent="0.25">
      <c r="A169" t="s">
        <v>744</v>
      </c>
      <c r="B169">
        <v>44466</v>
      </c>
      <c r="C169" s="3">
        <v>27</v>
      </c>
      <c r="D169" t="s">
        <v>32</v>
      </c>
      <c r="E169" t="s">
        <v>227</v>
      </c>
      <c r="F169" t="s">
        <v>3074</v>
      </c>
      <c r="G169" t="s">
        <v>22</v>
      </c>
      <c r="H169" s="5">
        <v>46015.677442129629</v>
      </c>
      <c r="I169" s="5">
        <v>46028.943576388891</v>
      </c>
      <c r="J169">
        <v>13</v>
      </c>
      <c r="K169" t="s">
        <v>25</v>
      </c>
      <c r="L169" t="s">
        <v>30</v>
      </c>
    </row>
    <row r="170" spans="1:12" x14ac:dyDescent="0.25">
      <c r="A170" t="s">
        <v>748</v>
      </c>
      <c r="B170">
        <v>127123</v>
      </c>
      <c r="C170" s="3">
        <v>16</v>
      </c>
      <c r="D170" t="s">
        <v>32</v>
      </c>
      <c r="E170" t="s">
        <v>2589</v>
      </c>
      <c r="F170" t="s">
        <v>3077</v>
      </c>
      <c r="G170" t="s">
        <v>22</v>
      </c>
      <c r="H170" s="5">
        <v>46025.410833333335</v>
      </c>
      <c r="I170" s="5">
        <v>46038.661203703705</v>
      </c>
      <c r="J170">
        <v>13</v>
      </c>
      <c r="K170" t="s">
        <v>397</v>
      </c>
      <c r="L170" t="s">
        <v>30</v>
      </c>
    </row>
    <row r="171" spans="1:12" x14ac:dyDescent="0.25">
      <c r="A171" t="s">
        <v>753</v>
      </c>
      <c r="B171">
        <v>10369</v>
      </c>
      <c r="C171" s="3">
        <v>20</v>
      </c>
      <c r="D171" t="s">
        <v>19</v>
      </c>
      <c r="E171" t="s">
        <v>754</v>
      </c>
      <c r="F171" t="s">
        <v>3085</v>
      </c>
      <c r="G171" t="s">
        <v>22</v>
      </c>
      <c r="H171" s="5">
        <v>46034.492638888885</v>
      </c>
      <c r="I171" s="5">
        <v>46047.623738425929</v>
      </c>
      <c r="J171">
        <v>13</v>
      </c>
      <c r="K171" t="s">
        <v>25</v>
      </c>
      <c r="L171" t="s">
        <v>30</v>
      </c>
    </row>
    <row r="172" spans="1:12" x14ac:dyDescent="0.25">
      <c r="A172" t="s">
        <v>757</v>
      </c>
      <c r="B172">
        <v>127143</v>
      </c>
      <c r="C172" s="3">
        <v>19</v>
      </c>
      <c r="D172" t="s">
        <v>19</v>
      </c>
      <c r="E172" t="s">
        <v>260</v>
      </c>
      <c r="F172" t="s">
        <v>3085</v>
      </c>
      <c r="G172" t="s">
        <v>22</v>
      </c>
      <c r="H172" s="5">
        <v>46025.431851851848</v>
      </c>
      <c r="I172" s="5">
        <v>46037.77584490741</v>
      </c>
      <c r="J172">
        <v>12</v>
      </c>
      <c r="K172" t="s">
        <v>25</v>
      </c>
      <c r="L172" t="s">
        <v>30</v>
      </c>
    </row>
    <row r="173" spans="1:12" x14ac:dyDescent="0.25">
      <c r="A173" t="s">
        <v>762</v>
      </c>
      <c r="B173">
        <v>124780</v>
      </c>
      <c r="C173" s="3">
        <v>53</v>
      </c>
      <c r="D173" t="s">
        <v>19</v>
      </c>
      <c r="E173" t="s">
        <v>3073</v>
      </c>
      <c r="F173" t="s">
        <v>763</v>
      </c>
      <c r="G173" t="s">
        <v>22</v>
      </c>
      <c r="H173" s="5">
        <v>46027.91814814815</v>
      </c>
      <c r="I173" s="5">
        <v>46040.430960648147</v>
      </c>
      <c r="J173">
        <v>12</v>
      </c>
      <c r="K173" t="s">
        <v>211</v>
      </c>
      <c r="L173" t="s">
        <v>30</v>
      </c>
    </row>
    <row r="174" spans="1:12" x14ac:dyDescent="0.25">
      <c r="A174" t="s">
        <v>768</v>
      </c>
      <c r="B174">
        <v>123257</v>
      </c>
      <c r="C174" s="3">
        <v>8</v>
      </c>
      <c r="D174" t="s">
        <v>19</v>
      </c>
      <c r="E174" t="s">
        <v>20</v>
      </c>
      <c r="F174" t="s">
        <v>3076</v>
      </c>
      <c r="G174" t="s">
        <v>22</v>
      </c>
      <c r="H174" s="5">
        <v>46029.799895833334</v>
      </c>
      <c r="I174" s="5">
        <v>46042.654282407406</v>
      </c>
      <c r="J174">
        <v>12</v>
      </c>
      <c r="K174" t="s">
        <v>25</v>
      </c>
      <c r="L174" t="s">
        <v>30</v>
      </c>
    </row>
    <row r="175" spans="1:12" x14ac:dyDescent="0.25">
      <c r="A175" t="s">
        <v>772</v>
      </c>
      <c r="B175">
        <v>127840</v>
      </c>
      <c r="C175" s="3">
        <v>68</v>
      </c>
      <c r="D175" t="s">
        <v>32</v>
      </c>
      <c r="E175" t="s">
        <v>260</v>
      </c>
      <c r="F175" t="s">
        <v>3090</v>
      </c>
      <c r="G175" t="s">
        <v>394</v>
      </c>
      <c r="H175" s="5">
        <v>46031.524953703702</v>
      </c>
      <c r="I175" s="5">
        <v>46044.386296296296</v>
      </c>
      <c r="J175">
        <v>12</v>
      </c>
      <c r="K175" t="s">
        <v>25</v>
      </c>
      <c r="L175" t="s">
        <v>30</v>
      </c>
    </row>
    <row r="176" spans="1:12" x14ac:dyDescent="0.25">
      <c r="A176" t="s">
        <v>777</v>
      </c>
      <c r="B176">
        <v>11852</v>
      </c>
      <c r="C176" s="3">
        <v>52</v>
      </c>
      <c r="D176" t="s">
        <v>32</v>
      </c>
      <c r="E176" t="s">
        <v>754</v>
      </c>
      <c r="F176" t="s">
        <v>3078</v>
      </c>
      <c r="G176" t="s">
        <v>22</v>
      </c>
      <c r="H176" s="5">
        <v>46040.508750000001</v>
      </c>
      <c r="I176" s="5">
        <v>46052.521087962959</v>
      </c>
      <c r="J176">
        <v>12</v>
      </c>
      <c r="K176" t="s">
        <v>25</v>
      </c>
      <c r="L176" t="s">
        <v>30</v>
      </c>
    </row>
    <row r="177" spans="1:12" x14ac:dyDescent="0.25">
      <c r="A177" t="s">
        <v>781</v>
      </c>
      <c r="B177">
        <v>126733</v>
      </c>
      <c r="C177" s="3">
        <v>33</v>
      </c>
      <c r="D177" t="s">
        <v>32</v>
      </c>
      <c r="E177" t="s">
        <v>3073</v>
      </c>
      <c r="F177" t="s">
        <v>3074</v>
      </c>
      <c r="G177" t="s">
        <v>22</v>
      </c>
      <c r="H177" s="5">
        <v>46021.19091435185</v>
      </c>
      <c r="I177" s="5">
        <v>46032.611689814818</v>
      </c>
      <c r="J177">
        <v>11</v>
      </c>
      <c r="K177" t="s">
        <v>25</v>
      </c>
      <c r="L177" t="s">
        <v>30</v>
      </c>
    </row>
    <row r="178" spans="1:12" x14ac:dyDescent="0.25">
      <c r="A178" t="s">
        <v>784</v>
      </c>
      <c r="B178">
        <v>126817</v>
      </c>
      <c r="C178" s="3" t="s">
        <v>3088</v>
      </c>
      <c r="D178" t="s">
        <v>19</v>
      </c>
      <c r="E178" t="s">
        <v>3073</v>
      </c>
      <c r="F178" t="s">
        <v>3072</v>
      </c>
      <c r="G178" t="s">
        <v>22</v>
      </c>
      <c r="H178" s="5">
        <v>46021.563252314816</v>
      </c>
      <c r="I178" s="5">
        <v>46032.603668981479</v>
      </c>
      <c r="J178">
        <v>11</v>
      </c>
      <c r="K178" t="s">
        <v>25</v>
      </c>
      <c r="L178" t="s">
        <v>30</v>
      </c>
    </row>
    <row r="179" spans="1:12" x14ac:dyDescent="0.25">
      <c r="A179" t="s">
        <v>787</v>
      </c>
      <c r="B179">
        <v>126999</v>
      </c>
      <c r="C179" s="3">
        <v>72</v>
      </c>
      <c r="D179" t="s">
        <v>19</v>
      </c>
      <c r="E179" t="s">
        <v>260</v>
      </c>
      <c r="F179" t="s">
        <v>3090</v>
      </c>
      <c r="G179" t="s">
        <v>292</v>
      </c>
      <c r="H179" s="5">
        <v>46023.651423611111</v>
      </c>
      <c r="I179" s="5">
        <v>46035.426145833335</v>
      </c>
      <c r="J179">
        <v>11</v>
      </c>
      <c r="K179" t="s">
        <v>211</v>
      </c>
      <c r="L179" t="s">
        <v>30</v>
      </c>
    </row>
    <row r="180" spans="1:12" x14ac:dyDescent="0.25">
      <c r="A180" t="s">
        <v>791</v>
      </c>
      <c r="B180">
        <v>127206</v>
      </c>
      <c r="C180" s="3">
        <v>20</v>
      </c>
      <c r="D180" t="s">
        <v>32</v>
      </c>
      <c r="E180" t="s">
        <v>3073</v>
      </c>
      <c r="F180" t="s">
        <v>3074</v>
      </c>
      <c r="G180" t="s">
        <v>22</v>
      </c>
      <c r="H180" s="5">
        <v>46026.33221064815</v>
      </c>
      <c r="I180" s="5">
        <v>46037.602037037039</v>
      </c>
      <c r="J180">
        <v>11</v>
      </c>
      <c r="K180" t="s">
        <v>25</v>
      </c>
      <c r="L180" t="s">
        <v>30</v>
      </c>
    </row>
    <row r="181" spans="1:12" x14ac:dyDescent="0.25">
      <c r="A181" t="s">
        <v>794</v>
      </c>
      <c r="B181">
        <v>127555</v>
      </c>
      <c r="C181" s="3">
        <v>32</v>
      </c>
      <c r="D181" t="s">
        <v>32</v>
      </c>
      <c r="E181" t="s">
        <v>3073</v>
      </c>
      <c r="F181" t="s">
        <v>3074</v>
      </c>
      <c r="G181" t="s">
        <v>22</v>
      </c>
      <c r="H181" s="5">
        <v>46028.87841435185</v>
      </c>
      <c r="I181" s="5">
        <v>46040.681030092594</v>
      </c>
      <c r="J181">
        <v>11</v>
      </c>
      <c r="K181" t="s">
        <v>25</v>
      </c>
      <c r="L181" t="s">
        <v>30</v>
      </c>
    </row>
    <row r="182" spans="1:12" x14ac:dyDescent="0.25">
      <c r="A182" t="s">
        <v>797</v>
      </c>
      <c r="B182">
        <v>128054</v>
      </c>
      <c r="C182" s="3">
        <v>3</v>
      </c>
      <c r="D182" t="s">
        <v>32</v>
      </c>
      <c r="E182" t="s">
        <v>20</v>
      </c>
      <c r="F182" t="s">
        <v>3076</v>
      </c>
      <c r="G182" t="s">
        <v>22</v>
      </c>
      <c r="H182" s="5">
        <v>46034.006979166668</v>
      </c>
      <c r="I182" s="5">
        <v>46045.664571759262</v>
      </c>
      <c r="J182">
        <v>11</v>
      </c>
      <c r="K182" t="s">
        <v>112</v>
      </c>
      <c r="L182" t="s">
        <v>30</v>
      </c>
    </row>
    <row r="183" spans="1:12" x14ac:dyDescent="0.25">
      <c r="A183" t="s">
        <v>800</v>
      </c>
      <c r="B183">
        <v>126286</v>
      </c>
      <c r="C183" s="3">
        <v>23</v>
      </c>
      <c r="D183" t="s">
        <v>19</v>
      </c>
      <c r="E183" t="s">
        <v>3073</v>
      </c>
      <c r="F183" t="s">
        <v>3085</v>
      </c>
      <c r="G183" t="s">
        <v>22</v>
      </c>
      <c r="H183" s="5">
        <v>46015.242847222224</v>
      </c>
      <c r="I183" s="5">
        <v>46025.775810185187</v>
      </c>
      <c r="J183">
        <v>10</v>
      </c>
      <c r="K183" t="s">
        <v>25</v>
      </c>
      <c r="L183" t="s">
        <v>30</v>
      </c>
    </row>
    <row r="184" spans="1:12" x14ac:dyDescent="0.25">
      <c r="A184" t="s">
        <v>803</v>
      </c>
      <c r="B184">
        <v>111986</v>
      </c>
      <c r="C184" s="3">
        <v>85</v>
      </c>
      <c r="D184" t="s">
        <v>32</v>
      </c>
      <c r="E184" t="s">
        <v>3073</v>
      </c>
      <c r="F184" t="s">
        <v>3090</v>
      </c>
      <c r="G184" t="s">
        <v>22</v>
      </c>
      <c r="H184" s="5">
        <v>46024.722870370373</v>
      </c>
      <c r="I184" s="5">
        <v>46035.426678240743</v>
      </c>
      <c r="J184">
        <v>10</v>
      </c>
      <c r="K184" t="s">
        <v>211</v>
      </c>
      <c r="L184" t="s">
        <v>30</v>
      </c>
    </row>
    <row r="185" spans="1:12" x14ac:dyDescent="0.25">
      <c r="A185" t="s">
        <v>808</v>
      </c>
      <c r="B185">
        <v>127100</v>
      </c>
      <c r="C185" s="3">
        <v>1</v>
      </c>
      <c r="D185" t="s">
        <v>19</v>
      </c>
      <c r="E185" t="s">
        <v>3073</v>
      </c>
      <c r="F185" t="s">
        <v>3076</v>
      </c>
      <c r="G185" t="s">
        <v>22</v>
      </c>
      <c r="H185" s="5">
        <v>46024.984861111108</v>
      </c>
      <c r="I185" s="5">
        <v>46035.552361111113</v>
      </c>
      <c r="J185">
        <v>10</v>
      </c>
      <c r="K185" t="s">
        <v>397</v>
      </c>
      <c r="L185" t="s">
        <v>30</v>
      </c>
    </row>
    <row r="186" spans="1:12" x14ac:dyDescent="0.25">
      <c r="A186" t="s">
        <v>812</v>
      </c>
      <c r="B186">
        <v>128292</v>
      </c>
      <c r="C186" s="3" t="s">
        <v>3088</v>
      </c>
      <c r="D186" t="s">
        <v>32</v>
      </c>
      <c r="E186" t="s">
        <v>20</v>
      </c>
      <c r="F186" t="s">
        <v>3072</v>
      </c>
      <c r="G186" t="s">
        <v>22</v>
      </c>
      <c r="H186" s="5">
        <v>46035.731898148151</v>
      </c>
      <c r="I186" s="5">
        <v>46045.733217592591</v>
      </c>
      <c r="J186">
        <v>10</v>
      </c>
      <c r="K186" t="s">
        <v>211</v>
      </c>
      <c r="L186" t="s">
        <v>30</v>
      </c>
    </row>
    <row r="187" spans="1:12" x14ac:dyDescent="0.25">
      <c r="A187" t="s">
        <v>815</v>
      </c>
      <c r="B187">
        <v>108840</v>
      </c>
      <c r="C187" s="3">
        <v>63</v>
      </c>
      <c r="D187" t="s">
        <v>32</v>
      </c>
      <c r="E187" t="s">
        <v>3073</v>
      </c>
      <c r="F187" t="s">
        <v>3091</v>
      </c>
      <c r="G187" t="s">
        <v>394</v>
      </c>
      <c r="H187" s="5">
        <v>46040.913923611108</v>
      </c>
      <c r="I187" s="5">
        <v>46051.60665509259</v>
      </c>
      <c r="J187">
        <v>10</v>
      </c>
      <c r="K187" t="s">
        <v>397</v>
      </c>
      <c r="L187" t="s">
        <v>30</v>
      </c>
    </row>
    <row r="188" spans="1:12" x14ac:dyDescent="0.25">
      <c r="A188" t="s">
        <v>819</v>
      </c>
      <c r="B188">
        <v>128792</v>
      </c>
      <c r="C188" s="3" t="s">
        <v>3088</v>
      </c>
      <c r="D188" t="s">
        <v>19</v>
      </c>
      <c r="E188" t="s">
        <v>260</v>
      </c>
      <c r="F188" t="s">
        <v>3072</v>
      </c>
      <c r="G188" t="s">
        <v>22</v>
      </c>
      <c r="H188" s="5">
        <v>46041.031273148146</v>
      </c>
      <c r="I188" s="5">
        <v>46051.438888888886</v>
      </c>
      <c r="J188">
        <v>10</v>
      </c>
      <c r="K188" t="s">
        <v>211</v>
      </c>
      <c r="L188" t="s">
        <v>30</v>
      </c>
    </row>
    <row r="189" spans="1:12" x14ac:dyDescent="0.25">
      <c r="A189" t="s">
        <v>822</v>
      </c>
      <c r="B189">
        <v>128926</v>
      </c>
      <c r="C189" s="3">
        <v>69</v>
      </c>
      <c r="D189" t="s">
        <v>32</v>
      </c>
      <c r="E189" t="s">
        <v>2589</v>
      </c>
      <c r="F189" t="s">
        <v>3077</v>
      </c>
      <c r="G189" t="s">
        <v>22</v>
      </c>
      <c r="H189" s="5">
        <v>46041.895601851851</v>
      </c>
      <c r="I189" s="5">
        <v>46052.531122685185</v>
      </c>
      <c r="J189">
        <v>10</v>
      </c>
      <c r="K189" t="s">
        <v>211</v>
      </c>
      <c r="L189" t="s">
        <v>30</v>
      </c>
    </row>
    <row r="190" spans="1:12" x14ac:dyDescent="0.25">
      <c r="A190" t="s">
        <v>826</v>
      </c>
      <c r="B190">
        <v>126362</v>
      </c>
      <c r="C190" s="3">
        <v>45</v>
      </c>
      <c r="D190" t="s">
        <v>32</v>
      </c>
      <c r="E190" t="s">
        <v>62</v>
      </c>
      <c r="F190" t="s">
        <v>3074</v>
      </c>
      <c r="G190" t="s">
        <v>22</v>
      </c>
      <c r="H190" s="5">
        <v>46015.650960648149</v>
      </c>
      <c r="I190" s="5">
        <v>46024.746631944443</v>
      </c>
      <c r="J190">
        <v>9</v>
      </c>
      <c r="K190" t="s">
        <v>25</v>
      </c>
      <c r="L190" t="s">
        <v>30</v>
      </c>
    </row>
    <row r="191" spans="1:12" x14ac:dyDescent="0.25">
      <c r="A191" t="s">
        <v>829</v>
      </c>
      <c r="B191">
        <v>126405</v>
      </c>
      <c r="C191" s="3">
        <v>38</v>
      </c>
      <c r="D191" t="s">
        <v>19</v>
      </c>
      <c r="E191" t="s">
        <v>3073</v>
      </c>
      <c r="F191" t="s">
        <v>3086</v>
      </c>
      <c r="G191" t="s">
        <v>22</v>
      </c>
      <c r="H191" s="5">
        <v>46016.73636574074</v>
      </c>
      <c r="I191" s="5">
        <v>46026.691192129627</v>
      </c>
      <c r="J191">
        <v>9</v>
      </c>
      <c r="K191" t="s">
        <v>25</v>
      </c>
      <c r="L191" t="s">
        <v>30</v>
      </c>
    </row>
    <row r="192" spans="1:12" x14ac:dyDescent="0.25">
      <c r="A192" t="s">
        <v>832</v>
      </c>
      <c r="B192">
        <v>127180</v>
      </c>
      <c r="C192" s="3">
        <v>29</v>
      </c>
      <c r="D192" t="s">
        <v>32</v>
      </c>
      <c r="E192" t="s">
        <v>260</v>
      </c>
      <c r="F192" t="s">
        <v>3077</v>
      </c>
      <c r="G192" t="s">
        <v>22</v>
      </c>
      <c r="H192" s="5">
        <v>46025.836967592593</v>
      </c>
      <c r="I192" s="5">
        <v>46035.753483796296</v>
      </c>
      <c r="J192">
        <v>9</v>
      </c>
      <c r="K192" t="s">
        <v>25</v>
      </c>
      <c r="L192" t="s">
        <v>30</v>
      </c>
    </row>
    <row r="193" spans="1:12" x14ac:dyDescent="0.25">
      <c r="A193" t="s">
        <v>835</v>
      </c>
      <c r="B193">
        <v>110539</v>
      </c>
      <c r="C193" s="3">
        <v>6</v>
      </c>
      <c r="D193" t="s">
        <v>32</v>
      </c>
      <c r="E193" t="s">
        <v>20</v>
      </c>
      <c r="F193" t="s">
        <v>3076</v>
      </c>
      <c r="G193" t="s">
        <v>22</v>
      </c>
      <c r="H193" s="5">
        <v>46025.923298611109</v>
      </c>
      <c r="I193" s="5">
        <v>46035.526712962965</v>
      </c>
      <c r="J193">
        <v>9</v>
      </c>
      <c r="K193" t="s">
        <v>25</v>
      </c>
      <c r="L193" t="s">
        <v>30</v>
      </c>
    </row>
    <row r="194" spans="1:12" x14ac:dyDescent="0.25">
      <c r="A194" t="s">
        <v>838</v>
      </c>
      <c r="B194">
        <v>127220</v>
      </c>
      <c r="C194" s="3">
        <v>32</v>
      </c>
      <c r="D194" t="s">
        <v>32</v>
      </c>
      <c r="E194" t="s">
        <v>3073</v>
      </c>
      <c r="F194" t="s">
        <v>3074</v>
      </c>
      <c r="G194" t="s">
        <v>22</v>
      </c>
      <c r="H194" s="5">
        <v>46026.576562499999</v>
      </c>
      <c r="I194" s="5">
        <v>46035.589953703704</v>
      </c>
      <c r="J194">
        <v>9</v>
      </c>
      <c r="K194" t="s">
        <v>25</v>
      </c>
      <c r="L194" t="s">
        <v>30</v>
      </c>
    </row>
    <row r="195" spans="1:12" x14ac:dyDescent="0.25">
      <c r="A195" t="s">
        <v>841</v>
      </c>
      <c r="B195">
        <v>127243</v>
      </c>
      <c r="C195" s="3">
        <v>32</v>
      </c>
      <c r="D195" t="s">
        <v>19</v>
      </c>
      <c r="E195" t="s">
        <v>20</v>
      </c>
      <c r="F195" t="s">
        <v>3085</v>
      </c>
      <c r="G195" t="s">
        <v>22</v>
      </c>
      <c r="H195" s="5">
        <v>46026.85324074074</v>
      </c>
      <c r="I195" s="5">
        <v>46036.458101851851</v>
      </c>
      <c r="J195">
        <v>9</v>
      </c>
      <c r="K195" t="s">
        <v>211</v>
      </c>
      <c r="L195" t="s">
        <v>30</v>
      </c>
    </row>
    <row r="196" spans="1:12" x14ac:dyDescent="0.25">
      <c r="A196" t="s">
        <v>844</v>
      </c>
      <c r="B196">
        <v>124582</v>
      </c>
      <c r="C196" s="3">
        <v>43</v>
      </c>
      <c r="D196" t="s">
        <v>32</v>
      </c>
      <c r="E196" t="s">
        <v>20</v>
      </c>
      <c r="F196" t="s">
        <v>3077</v>
      </c>
      <c r="G196" t="s">
        <v>394</v>
      </c>
      <c r="H196" s="5">
        <v>46028.579699074071</v>
      </c>
      <c r="I196" s="5">
        <v>46037.615358796298</v>
      </c>
      <c r="J196">
        <v>9</v>
      </c>
      <c r="K196" t="s">
        <v>25</v>
      </c>
      <c r="L196" t="s">
        <v>30</v>
      </c>
    </row>
    <row r="197" spans="1:12" x14ac:dyDescent="0.25">
      <c r="A197" t="s">
        <v>847</v>
      </c>
      <c r="B197">
        <v>102055</v>
      </c>
      <c r="C197" s="3">
        <v>21</v>
      </c>
      <c r="D197" t="s">
        <v>32</v>
      </c>
      <c r="E197" t="s">
        <v>3073</v>
      </c>
      <c r="F197" t="s">
        <v>3077</v>
      </c>
      <c r="G197" t="s">
        <v>22</v>
      </c>
      <c r="H197" s="5">
        <v>46029.749675925923</v>
      </c>
      <c r="I197" s="5">
        <v>46039.620011574072</v>
      </c>
      <c r="J197">
        <v>9</v>
      </c>
      <c r="K197" t="s">
        <v>112</v>
      </c>
      <c r="L197" t="s">
        <v>30</v>
      </c>
    </row>
    <row r="198" spans="1:12" x14ac:dyDescent="0.25">
      <c r="A198" t="s">
        <v>850</v>
      </c>
      <c r="B198">
        <v>2041</v>
      </c>
      <c r="C198" s="3">
        <v>62</v>
      </c>
      <c r="D198" t="s">
        <v>32</v>
      </c>
      <c r="E198" t="s">
        <v>754</v>
      </c>
      <c r="F198" t="s">
        <v>3090</v>
      </c>
      <c r="G198" t="s">
        <v>394</v>
      </c>
      <c r="H198" s="5">
        <v>46033.528113425928</v>
      </c>
      <c r="I198" s="5">
        <v>46042.537418981483</v>
      </c>
      <c r="J198">
        <v>9</v>
      </c>
      <c r="K198" t="s">
        <v>25</v>
      </c>
      <c r="L198" t="s">
        <v>30</v>
      </c>
    </row>
    <row r="199" spans="1:12" x14ac:dyDescent="0.25">
      <c r="A199" t="s">
        <v>854</v>
      </c>
      <c r="B199">
        <v>128545</v>
      </c>
      <c r="C199" s="3">
        <v>4</v>
      </c>
      <c r="D199" t="s">
        <v>19</v>
      </c>
      <c r="E199" t="s">
        <v>62</v>
      </c>
      <c r="F199" t="s">
        <v>3076</v>
      </c>
      <c r="G199" t="s">
        <v>22</v>
      </c>
      <c r="H199" s="5">
        <v>46037.675497685188</v>
      </c>
      <c r="I199" s="5">
        <v>46046.713136574072</v>
      </c>
      <c r="J199">
        <v>9</v>
      </c>
      <c r="K199" t="s">
        <v>25</v>
      </c>
      <c r="L199" t="s">
        <v>30</v>
      </c>
    </row>
    <row r="200" spans="1:12" x14ac:dyDescent="0.25">
      <c r="A200" t="s">
        <v>857</v>
      </c>
      <c r="B200">
        <v>128572</v>
      </c>
      <c r="C200" s="3">
        <v>53</v>
      </c>
      <c r="D200" t="s">
        <v>32</v>
      </c>
      <c r="E200" t="s">
        <v>2589</v>
      </c>
      <c r="F200" t="s">
        <v>3077</v>
      </c>
      <c r="G200" t="s">
        <v>22</v>
      </c>
      <c r="H200" s="5">
        <v>46038.087453703702</v>
      </c>
      <c r="I200" s="5">
        <v>46047.591585648152</v>
      </c>
      <c r="J200">
        <v>9</v>
      </c>
      <c r="K200" t="s">
        <v>25</v>
      </c>
      <c r="L200" t="s">
        <v>30</v>
      </c>
    </row>
    <row r="201" spans="1:12" x14ac:dyDescent="0.25">
      <c r="A201" t="s">
        <v>705</v>
      </c>
      <c r="B201">
        <v>126174</v>
      </c>
      <c r="C201" s="3">
        <v>4</v>
      </c>
      <c r="D201" t="s">
        <v>19</v>
      </c>
      <c r="E201" t="s">
        <v>3073</v>
      </c>
      <c r="F201" t="s">
        <v>3076</v>
      </c>
      <c r="G201" t="s">
        <v>22</v>
      </c>
      <c r="H201" s="5">
        <v>46040.800636574073</v>
      </c>
      <c r="I201" s="5">
        <v>46050.586192129631</v>
      </c>
      <c r="J201">
        <v>9</v>
      </c>
      <c r="K201" t="s">
        <v>25</v>
      </c>
      <c r="L201" t="s">
        <v>30</v>
      </c>
    </row>
    <row r="202" spans="1:12" x14ac:dyDescent="0.25">
      <c r="A202" t="s">
        <v>862</v>
      </c>
      <c r="B202">
        <v>106275</v>
      </c>
      <c r="C202" s="3">
        <v>77</v>
      </c>
      <c r="D202" t="s">
        <v>19</v>
      </c>
      <c r="E202" t="s">
        <v>3073</v>
      </c>
      <c r="F202" t="s">
        <v>3084</v>
      </c>
      <c r="G202" t="s">
        <v>394</v>
      </c>
      <c r="H202" s="5">
        <v>46041.617222222223</v>
      </c>
      <c r="I202" s="5">
        <v>46051.532835648148</v>
      </c>
      <c r="J202">
        <v>9</v>
      </c>
      <c r="K202" t="s">
        <v>211</v>
      </c>
      <c r="L202" t="s">
        <v>30</v>
      </c>
    </row>
    <row r="203" spans="1:12" x14ac:dyDescent="0.25">
      <c r="A203" t="s">
        <v>868</v>
      </c>
      <c r="B203">
        <v>80132</v>
      </c>
      <c r="C203" s="3">
        <v>73</v>
      </c>
      <c r="D203" t="s">
        <v>19</v>
      </c>
      <c r="E203" t="s">
        <v>20</v>
      </c>
      <c r="F203" t="s">
        <v>3085</v>
      </c>
      <c r="G203" t="s">
        <v>394</v>
      </c>
      <c r="H203" s="5">
        <v>46042.584282407406</v>
      </c>
      <c r="I203" s="5">
        <v>46051.70239583333</v>
      </c>
      <c r="J203">
        <v>9</v>
      </c>
      <c r="K203" t="s">
        <v>25</v>
      </c>
      <c r="L203" t="s">
        <v>30</v>
      </c>
    </row>
    <row r="204" spans="1:12" x14ac:dyDescent="0.25">
      <c r="A204" t="s">
        <v>873</v>
      </c>
      <c r="B204">
        <v>129074</v>
      </c>
      <c r="C204" s="3">
        <v>64</v>
      </c>
      <c r="D204" t="s">
        <v>19</v>
      </c>
      <c r="E204" t="s">
        <v>20</v>
      </c>
      <c r="F204" t="s">
        <v>3085</v>
      </c>
      <c r="G204" t="s">
        <v>22</v>
      </c>
      <c r="H204" s="5">
        <v>46042.817488425928</v>
      </c>
      <c r="I204" s="5">
        <v>46052.579143518517</v>
      </c>
      <c r="J204">
        <v>9</v>
      </c>
      <c r="K204" t="s">
        <v>112</v>
      </c>
      <c r="L204" t="s">
        <v>30</v>
      </c>
    </row>
    <row r="205" spans="1:12" x14ac:dyDescent="0.25">
      <c r="A205" t="s">
        <v>877</v>
      </c>
      <c r="B205">
        <v>126289</v>
      </c>
      <c r="C205" s="3">
        <v>29</v>
      </c>
      <c r="D205" t="s">
        <v>32</v>
      </c>
      <c r="E205" t="s">
        <v>62</v>
      </c>
      <c r="F205" t="s">
        <v>3074</v>
      </c>
      <c r="G205" t="s">
        <v>22</v>
      </c>
      <c r="H205" s="5">
        <v>46015.663634259261</v>
      </c>
      <c r="I205" s="5">
        <v>46024.403402777774</v>
      </c>
      <c r="J205">
        <v>8</v>
      </c>
      <c r="K205" t="s">
        <v>25</v>
      </c>
      <c r="L205" t="s">
        <v>30</v>
      </c>
    </row>
    <row r="206" spans="1:12" x14ac:dyDescent="0.25">
      <c r="A206" t="s">
        <v>880</v>
      </c>
      <c r="B206">
        <v>126353</v>
      </c>
      <c r="C206" s="3" t="s">
        <v>3088</v>
      </c>
      <c r="D206" t="s">
        <v>32</v>
      </c>
      <c r="E206" t="s">
        <v>62</v>
      </c>
      <c r="F206" t="s">
        <v>3072</v>
      </c>
      <c r="G206" t="s">
        <v>22</v>
      </c>
      <c r="H206" s="5">
        <v>46015.884085648147</v>
      </c>
      <c r="I206" s="5">
        <v>46024.398738425924</v>
      </c>
      <c r="J206">
        <v>8</v>
      </c>
      <c r="K206" t="s">
        <v>25</v>
      </c>
      <c r="L206" t="s">
        <v>30</v>
      </c>
    </row>
    <row r="207" spans="1:12" x14ac:dyDescent="0.25">
      <c r="A207" t="s">
        <v>883</v>
      </c>
      <c r="B207">
        <v>60471</v>
      </c>
      <c r="C207" s="3">
        <v>70</v>
      </c>
      <c r="D207" t="s">
        <v>19</v>
      </c>
      <c r="E207" t="s">
        <v>227</v>
      </c>
      <c r="F207" t="s">
        <v>3086</v>
      </c>
      <c r="G207" t="s">
        <v>22</v>
      </c>
      <c r="H207" s="5">
        <v>46016.6169212963</v>
      </c>
      <c r="I207" s="5">
        <v>46024.729849537034</v>
      </c>
      <c r="J207">
        <v>8</v>
      </c>
      <c r="K207" t="s">
        <v>25</v>
      </c>
      <c r="L207" t="s">
        <v>30</v>
      </c>
    </row>
    <row r="208" spans="1:12" x14ac:dyDescent="0.25">
      <c r="A208" t="s">
        <v>887</v>
      </c>
      <c r="B208">
        <v>126600</v>
      </c>
      <c r="C208" s="3">
        <v>42</v>
      </c>
      <c r="D208" t="s">
        <v>32</v>
      </c>
      <c r="E208" t="s">
        <v>3073</v>
      </c>
      <c r="F208" t="s">
        <v>3091</v>
      </c>
      <c r="G208" t="s">
        <v>22</v>
      </c>
      <c r="H208" s="5">
        <v>46020.634097222224</v>
      </c>
      <c r="I208" s="5">
        <v>46028.640219907407</v>
      </c>
      <c r="J208">
        <v>8</v>
      </c>
      <c r="K208" t="s">
        <v>25</v>
      </c>
      <c r="L208" t="s">
        <v>30</v>
      </c>
    </row>
    <row r="209" spans="1:12" x14ac:dyDescent="0.25">
      <c r="A209" t="s">
        <v>890</v>
      </c>
      <c r="B209">
        <v>29719</v>
      </c>
      <c r="C209" s="3">
        <v>52</v>
      </c>
      <c r="D209" t="s">
        <v>19</v>
      </c>
      <c r="E209" t="s">
        <v>227</v>
      </c>
      <c r="F209" t="s">
        <v>3090</v>
      </c>
      <c r="G209" t="s">
        <v>394</v>
      </c>
      <c r="H209" s="5">
        <v>46021.541018518517</v>
      </c>
      <c r="I209" s="5">
        <v>46030.497731481482</v>
      </c>
      <c r="J209">
        <v>8</v>
      </c>
      <c r="K209" t="s">
        <v>211</v>
      </c>
      <c r="L209" t="s">
        <v>30</v>
      </c>
    </row>
    <row r="210" spans="1:12" x14ac:dyDescent="0.25">
      <c r="A210" t="s">
        <v>893</v>
      </c>
      <c r="B210">
        <v>126949</v>
      </c>
      <c r="C210" s="3">
        <v>46</v>
      </c>
      <c r="D210" t="s">
        <v>32</v>
      </c>
      <c r="E210" t="s">
        <v>20</v>
      </c>
      <c r="F210" t="s">
        <v>3077</v>
      </c>
      <c r="G210" t="s">
        <v>22</v>
      </c>
      <c r="H210" s="5">
        <v>46022.709490740737</v>
      </c>
      <c r="I210" s="5">
        <v>46030.744293981479</v>
      </c>
      <c r="J210">
        <v>8</v>
      </c>
      <c r="K210" t="s">
        <v>25</v>
      </c>
      <c r="L210" t="s">
        <v>30</v>
      </c>
    </row>
    <row r="211" spans="1:12" x14ac:dyDescent="0.25">
      <c r="A211" t="s">
        <v>896</v>
      </c>
      <c r="B211">
        <v>127022</v>
      </c>
      <c r="C211" s="3">
        <v>17</v>
      </c>
      <c r="D211" t="s">
        <v>32</v>
      </c>
      <c r="E211" t="s">
        <v>62</v>
      </c>
      <c r="F211" t="s">
        <v>3077</v>
      </c>
      <c r="G211" t="s">
        <v>22</v>
      </c>
      <c r="H211" s="5">
        <v>46024.727407407408</v>
      </c>
      <c r="I211" s="5">
        <v>46033.694328703707</v>
      </c>
      <c r="J211">
        <v>8</v>
      </c>
      <c r="K211" t="s">
        <v>25</v>
      </c>
      <c r="L211" t="s">
        <v>30</v>
      </c>
    </row>
    <row r="212" spans="1:12" x14ac:dyDescent="0.25">
      <c r="A212" t="s">
        <v>899</v>
      </c>
      <c r="B212">
        <v>127203</v>
      </c>
      <c r="C212" s="3">
        <v>23</v>
      </c>
      <c r="D212" t="s">
        <v>32</v>
      </c>
      <c r="E212" t="s">
        <v>3073</v>
      </c>
      <c r="F212" t="s">
        <v>3074</v>
      </c>
      <c r="G212" t="s">
        <v>22</v>
      </c>
      <c r="H212" s="5">
        <v>46026.063518518517</v>
      </c>
      <c r="I212" s="5">
        <v>46034.510011574072</v>
      </c>
      <c r="J212">
        <v>8</v>
      </c>
      <c r="K212" t="s">
        <v>25</v>
      </c>
      <c r="L212" t="s">
        <v>30</v>
      </c>
    </row>
    <row r="213" spans="1:12" x14ac:dyDescent="0.25">
      <c r="A213" t="s">
        <v>902</v>
      </c>
      <c r="B213">
        <v>127245</v>
      </c>
      <c r="C213" s="3">
        <v>12</v>
      </c>
      <c r="D213" t="s">
        <v>19</v>
      </c>
      <c r="E213" t="s">
        <v>3073</v>
      </c>
      <c r="F213" t="s">
        <v>3076</v>
      </c>
      <c r="G213" t="s">
        <v>22</v>
      </c>
      <c r="H213" s="5">
        <v>46026.859432870369</v>
      </c>
      <c r="I213" s="5">
        <v>46035.420254629629</v>
      </c>
      <c r="J213">
        <v>8</v>
      </c>
      <c r="K213" t="s">
        <v>25</v>
      </c>
      <c r="L213" t="s">
        <v>30</v>
      </c>
    </row>
    <row r="214" spans="1:12" x14ac:dyDescent="0.25">
      <c r="A214" t="s">
        <v>907</v>
      </c>
      <c r="B214">
        <v>123126</v>
      </c>
      <c r="C214" s="3">
        <v>46</v>
      </c>
      <c r="D214" t="s">
        <v>19</v>
      </c>
      <c r="E214" t="s">
        <v>3073</v>
      </c>
      <c r="F214" t="s">
        <v>3085</v>
      </c>
      <c r="G214" t="s">
        <v>22</v>
      </c>
      <c r="H214" s="5">
        <v>46027.642592592594</v>
      </c>
      <c r="I214" s="5">
        <v>46035.727094907408</v>
      </c>
      <c r="J214">
        <v>8</v>
      </c>
      <c r="K214" t="s">
        <v>25</v>
      </c>
      <c r="L214" t="s">
        <v>30</v>
      </c>
    </row>
    <row r="215" spans="1:12" x14ac:dyDescent="0.25">
      <c r="A215" t="s">
        <v>911</v>
      </c>
      <c r="B215">
        <v>127796</v>
      </c>
      <c r="C215" s="3">
        <v>30</v>
      </c>
      <c r="D215" t="s">
        <v>32</v>
      </c>
      <c r="E215" t="s">
        <v>3073</v>
      </c>
      <c r="F215" t="s">
        <v>3074</v>
      </c>
      <c r="G215" t="s">
        <v>22</v>
      </c>
      <c r="H215" s="5">
        <v>46030.773564814815</v>
      </c>
      <c r="I215" s="5">
        <v>46039.68341435185</v>
      </c>
      <c r="J215">
        <v>8</v>
      </c>
      <c r="K215" t="s">
        <v>25</v>
      </c>
      <c r="L215" t="s">
        <v>30</v>
      </c>
    </row>
    <row r="216" spans="1:12" x14ac:dyDescent="0.25">
      <c r="A216" t="s">
        <v>914</v>
      </c>
      <c r="B216">
        <v>6603</v>
      </c>
      <c r="C216" s="3">
        <v>61</v>
      </c>
      <c r="D216" t="s">
        <v>32</v>
      </c>
      <c r="E216" t="s">
        <v>3073</v>
      </c>
      <c r="F216" t="s">
        <v>3090</v>
      </c>
      <c r="G216" t="s">
        <v>394</v>
      </c>
      <c r="H216" s="5">
        <v>46033.650138888886</v>
      </c>
      <c r="I216" s="5">
        <v>46042.511759259258</v>
      </c>
      <c r="J216">
        <v>8</v>
      </c>
      <c r="K216" t="s">
        <v>25</v>
      </c>
      <c r="L216" t="s">
        <v>30</v>
      </c>
    </row>
    <row r="217" spans="1:12" x14ac:dyDescent="0.25">
      <c r="A217" t="s">
        <v>917</v>
      </c>
      <c r="B217">
        <v>128170</v>
      </c>
      <c r="C217" s="3">
        <v>40</v>
      </c>
      <c r="D217" t="s">
        <v>19</v>
      </c>
      <c r="E217" t="s">
        <v>62</v>
      </c>
      <c r="F217" t="s">
        <v>763</v>
      </c>
      <c r="G217" t="s">
        <v>22</v>
      </c>
      <c r="H217" s="5">
        <v>46035.405636574076</v>
      </c>
      <c r="I217" s="5">
        <v>46043.444976851853</v>
      </c>
      <c r="J217">
        <v>8</v>
      </c>
      <c r="K217" t="s">
        <v>211</v>
      </c>
      <c r="L217" t="s">
        <v>30</v>
      </c>
    </row>
    <row r="218" spans="1:12" x14ac:dyDescent="0.25">
      <c r="A218" t="s">
        <v>921</v>
      </c>
      <c r="B218">
        <v>128416</v>
      </c>
      <c r="C218" s="3">
        <v>65</v>
      </c>
      <c r="D218" t="s">
        <v>32</v>
      </c>
      <c r="E218" t="s">
        <v>62</v>
      </c>
      <c r="F218" t="s">
        <v>3091</v>
      </c>
      <c r="G218" t="s">
        <v>22</v>
      </c>
      <c r="H218" s="5">
        <v>46036.765972222223</v>
      </c>
      <c r="I218" s="5">
        <v>46045.694687499999</v>
      </c>
      <c r="J218">
        <v>8</v>
      </c>
      <c r="K218" t="s">
        <v>25</v>
      </c>
      <c r="L218" t="s">
        <v>30</v>
      </c>
    </row>
    <row r="219" spans="1:12" x14ac:dyDescent="0.25">
      <c r="A219" t="s">
        <v>926</v>
      </c>
      <c r="B219">
        <v>128468</v>
      </c>
      <c r="C219" s="3">
        <v>33</v>
      </c>
      <c r="D219" t="s">
        <v>32</v>
      </c>
      <c r="E219" t="s">
        <v>3073</v>
      </c>
      <c r="F219" t="s">
        <v>3077</v>
      </c>
      <c r="G219" t="s">
        <v>22</v>
      </c>
      <c r="H219" s="5">
        <v>46037.053842592592</v>
      </c>
      <c r="I219" s="5">
        <v>46045.516377314816</v>
      </c>
      <c r="J219">
        <v>8</v>
      </c>
      <c r="K219" t="s">
        <v>25</v>
      </c>
      <c r="L219" t="s">
        <v>30</v>
      </c>
    </row>
    <row r="220" spans="1:12" x14ac:dyDescent="0.25">
      <c r="A220" t="s">
        <v>930</v>
      </c>
      <c r="B220">
        <v>128546</v>
      </c>
      <c r="C220" s="3">
        <v>1</v>
      </c>
      <c r="D220" t="s">
        <v>19</v>
      </c>
      <c r="E220" t="s">
        <v>3073</v>
      </c>
      <c r="F220" t="s">
        <v>3076</v>
      </c>
      <c r="G220" t="s">
        <v>22</v>
      </c>
      <c r="H220" s="5">
        <v>46037.772638888891</v>
      </c>
      <c r="I220" s="5">
        <v>46046.658032407409</v>
      </c>
      <c r="J220">
        <v>8</v>
      </c>
      <c r="K220" t="s">
        <v>112</v>
      </c>
      <c r="L220" t="s">
        <v>30</v>
      </c>
    </row>
    <row r="221" spans="1:12" x14ac:dyDescent="0.25">
      <c r="A221" t="s">
        <v>933</v>
      </c>
      <c r="B221">
        <v>128786</v>
      </c>
      <c r="C221" s="3">
        <v>61</v>
      </c>
      <c r="D221" t="s">
        <v>32</v>
      </c>
      <c r="E221" t="s">
        <v>3073</v>
      </c>
      <c r="F221" t="s">
        <v>3091</v>
      </c>
      <c r="G221" t="s">
        <v>22</v>
      </c>
      <c r="H221" s="5">
        <v>46040.914675925924</v>
      </c>
      <c r="I221" s="5">
        <v>46049.586469907408</v>
      </c>
      <c r="J221">
        <v>8</v>
      </c>
      <c r="K221" t="s">
        <v>25</v>
      </c>
      <c r="L221" t="s">
        <v>30</v>
      </c>
    </row>
    <row r="222" spans="1:12" x14ac:dyDescent="0.25">
      <c r="A222" t="s">
        <v>936</v>
      </c>
      <c r="B222">
        <v>32062</v>
      </c>
      <c r="C222" s="3">
        <v>25</v>
      </c>
      <c r="D222" t="s">
        <v>32</v>
      </c>
      <c r="E222" t="s">
        <v>227</v>
      </c>
      <c r="F222" t="s">
        <v>3077</v>
      </c>
      <c r="G222" t="s">
        <v>22</v>
      </c>
      <c r="H222" s="5">
        <v>46041.702499999999</v>
      </c>
      <c r="I222" s="5">
        <v>46050.36996527778</v>
      </c>
      <c r="J222">
        <v>8</v>
      </c>
      <c r="K222" t="s">
        <v>25</v>
      </c>
      <c r="L222" t="s">
        <v>30</v>
      </c>
    </row>
    <row r="223" spans="1:12" x14ac:dyDescent="0.25">
      <c r="A223" t="s">
        <v>940</v>
      </c>
      <c r="B223">
        <v>129087</v>
      </c>
      <c r="C223" s="3" t="s">
        <v>3088</v>
      </c>
      <c r="D223" t="s">
        <v>32</v>
      </c>
      <c r="E223" t="s">
        <v>260</v>
      </c>
      <c r="F223" t="s">
        <v>3072</v>
      </c>
      <c r="G223" t="s">
        <v>22</v>
      </c>
      <c r="H223" s="5">
        <v>46042.990706018521</v>
      </c>
      <c r="I223" s="5">
        <v>46051.707361111112</v>
      </c>
      <c r="J223">
        <v>8</v>
      </c>
      <c r="K223" t="s">
        <v>112</v>
      </c>
      <c r="L223" t="s">
        <v>30</v>
      </c>
    </row>
    <row r="224" spans="1:12" x14ac:dyDescent="0.25">
      <c r="A224" t="s">
        <v>944</v>
      </c>
      <c r="B224">
        <v>129181</v>
      </c>
      <c r="C224" s="3">
        <v>3</v>
      </c>
      <c r="D224" t="s">
        <v>19</v>
      </c>
      <c r="E224" t="s">
        <v>62</v>
      </c>
      <c r="F224" t="s">
        <v>3076</v>
      </c>
      <c r="G224" t="s">
        <v>22</v>
      </c>
      <c r="H224" s="5">
        <v>46043.822500000002</v>
      </c>
      <c r="I224" s="5">
        <v>46052.499571759261</v>
      </c>
      <c r="J224">
        <v>8</v>
      </c>
      <c r="K224" t="s">
        <v>25</v>
      </c>
      <c r="L224" t="s">
        <v>30</v>
      </c>
    </row>
    <row r="225" spans="1:12" x14ac:dyDescent="0.25">
      <c r="A225" t="s">
        <v>947</v>
      </c>
      <c r="B225">
        <v>129306</v>
      </c>
      <c r="C225" s="3">
        <v>83</v>
      </c>
      <c r="D225" t="s">
        <v>19</v>
      </c>
      <c r="E225" t="s">
        <v>3073</v>
      </c>
      <c r="F225" t="s">
        <v>3086</v>
      </c>
      <c r="G225" t="s">
        <v>22</v>
      </c>
      <c r="H225" s="5">
        <v>46045.079479166663</v>
      </c>
      <c r="I225" s="5">
        <v>46053.737233796295</v>
      </c>
      <c r="J225">
        <v>8</v>
      </c>
      <c r="K225" t="s">
        <v>25</v>
      </c>
      <c r="L225" t="s">
        <v>30</v>
      </c>
    </row>
    <row r="226" spans="1:12" x14ac:dyDescent="0.25">
      <c r="A226" t="s">
        <v>952</v>
      </c>
      <c r="B226">
        <v>126535</v>
      </c>
      <c r="C226" s="3">
        <v>27</v>
      </c>
      <c r="D226" t="s">
        <v>32</v>
      </c>
      <c r="E226" t="s">
        <v>260</v>
      </c>
      <c r="F226" t="s">
        <v>3077</v>
      </c>
      <c r="G226" t="s">
        <v>22</v>
      </c>
      <c r="H226" s="5">
        <v>46018.668287037035</v>
      </c>
      <c r="I226" s="5">
        <v>46026.403483796297</v>
      </c>
      <c r="J226">
        <v>7</v>
      </c>
      <c r="K226" t="s">
        <v>25</v>
      </c>
      <c r="L226" t="s">
        <v>30</v>
      </c>
    </row>
    <row r="227" spans="1:12" x14ac:dyDescent="0.25">
      <c r="A227" t="s">
        <v>955</v>
      </c>
      <c r="B227">
        <v>126553</v>
      </c>
      <c r="C227" s="3">
        <v>39</v>
      </c>
      <c r="D227" t="s">
        <v>32</v>
      </c>
      <c r="E227" t="s">
        <v>3073</v>
      </c>
      <c r="F227" t="s">
        <v>3074</v>
      </c>
      <c r="G227" t="s">
        <v>22</v>
      </c>
      <c r="H227" s="5">
        <v>46018.732719907406</v>
      </c>
      <c r="I227" s="5">
        <v>46025.803506944445</v>
      </c>
      <c r="J227">
        <v>7</v>
      </c>
      <c r="K227" t="s">
        <v>25</v>
      </c>
      <c r="L227" t="s">
        <v>30</v>
      </c>
    </row>
    <row r="228" spans="1:12" x14ac:dyDescent="0.25">
      <c r="A228" t="s">
        <v>959</v>
      </c>
      <c r="B228">
        <v>126572</v>
      </c>
      <c r="C228" s="3">
        <v>7</v>
      </c>
      <c r="D228" t="s">
        <v>32</v>
      </c>
      <c r="E228" t="s">
        <v>3073</v>
      </c>
      <c r="F228" t="s">
        <v>3076</v>
      </c>
      <c r="G228" t="s">
        <v>22</v>
      </c>
      <c r="H228" s="5">
        <v>46019.586435185185</v>
      </c>
      <c r="I228" s="5">
        <v>46026.595995370371</v>
      </c>
      <c r="J228">
        <v>7</v>
      </c>
      <c r="K228" t="s">
        <v>25</v>
      </c>
      <c r="L228" t="s">
        <v>30</v>
      </c>
    </row>
    <row r="229" spans="1:12" x14ac:dyDescent="0.25">
      <c r="A229" t="s">
        <v>963</v>
      </c>
      <c r="B229">
        <v>92538</v>
      </c>
      <c r="C229" s="3">
        <v>92</v>
      </c>
      <c r="D229" t="s">
        <v>19</v>
      </c>
      <c r="E229" t="s">
        <v>20</v>
      </c>
      <c r="F229" t="s">
        <v>3086</v>
      </c>
      <c r="G229" t="s">
        <v>22</v>
      </c>
      <c r="H229" s="5">
        <v>46020.107256944444</v>
      </c>
      <c r="I229" s="5">
        <v>46027.557141203702</v>
      </c>
      <c r="J229">
        <v>7</v>
      </c>
      <c r="K229" t="s">
        <v>211</v>
      </c>
      <c r="L229" t="s">
        <v>30</v>
      </c>
    </row>
    <row r="230" spans="1:12" x14ac:dyDescent="0.25">
      <c r="A230" t="s">
        <v>968</v>
      </c>
      <c r="B230">
        <v>126476</v>
      </c>
      <c r="C230" s="3">
        <v>32</v>
      </c>
      <c r="D230" t="s">
        <v>32</v>
      </c>
      <c r="E230" t="s">
        <v>3073</v>
      </c>
      <c r="F230" t="s">
        <v>3077</v>
      </c>
      <c r="G230" t="s">
        <v>664</v>
      </c>
      <c r="H230" s="5">
        <v>46022.441932870373</v>
      </c>
      <c r="I230" s="5">
        <v>46029.75371527778</v>
      </c>
      <c r="J230">
        <v>7</v>
      </c>
      <c r="K230" t="s">
        <v>25</v>
      </c>
      <c r="L230" t="s">
        <v>30</v>
      </c>
    </row>
    <row r="231" spans="1:12" x14ac:dyDescent="0.25">
      <c r="A231" t="s">
        <v>972</v>
      </c>
      <c r="B231">
        <v>127130</v>
      </c>
      <c r="C231" s="3">
        <v>22</v>
      </c>
      <c r="D231" t="s">
        <v>19</v>
      </c>
      <c r="E231" t="s">
        <v>3073</v>
      </c>
      <c r="F231" t="s">
        <v>3085</v>
      </c>
      <c r="G231" t="s">
        <v>22</v>
      </c>
      <c r="H231" s="5">
        <v>46025.062083333331</v>
      </c>
      <c r="I231" s="5">
        <v>46032.676817129628</v>
      </c>
      <c r="J231">
        <v>7</v>
      </c>
      <c r="K231" t="s">
        <v>25</v>
      </c>
      <c r="L231" t="s">
        <v>30</v>
      </c>
    </row>
    <row r="232" spans="1:12" x14ac:dyDescent="0.25">
      <c r="A232" t="s">
        <v>976</v>
      </c>
      <c r="B232">
        <v>127140</v>
      </c>
      <c r="C232" s="3" t="s">
        <v>3088</v>
      </c>
      <c r="D232" t="s">
        <v>19</v>
      </c>
      <c r="E232" t="s">
        <v>2589</v>
      </c>
      <c r="F232" t="s">
        <v>3072</v>
      </c>
      <c r="G232" t="s">
        <v>22</v>
      </c>
      <c r="H232" s="5">
        <v>46025.113078703704</v>
      </c>
      <c r="I232" s="5">
        <v>46032.689270833333</v>
      </c>
      <c r="J232">
        <v>7</v>
      </c>
      <c r="K232" t="s">
        <v>112</v>
      </c>
      <c r="L232" t="s">
        <v>30</v>
      </c>
    </row>
    <row r="233" spans="1:12" x14ac:dyDescent="0.25">
      <c r="A233" t="s">
        <v>979</v>
      </c>
      <c r="B233">
        <v>10898</v>
      </c>
      <c r="C233" s="3">
        <v>34</v>
      </c>
      <c r="D233" t="s">
        <v>32</v>
      </c>
      <c r="E233" t="s">
        <v>754</v>
      </c>
      <c r="F233" t="s">
        <v>3074</v>
      </c>
      <c r="G233" t="s">
        <v>394</v>
      </c>
      <c r="H233" s="5">
        <v>46027.452685185184</v>
      </c>
      <c r="I233" s="5">
        <v>46034.594814814816</v>
      </c>
      <c r="J233">
        <v>7</v>
      </c>
      <c r="K233" t="s">
        <v>25</v>
      </c>
      <c r="L233" t="s">
        <v>30</v>
      </c>
    </row>
    <row r="234" spans="1:12" x14ac:dyDescent="0.25">
      <c r="A234" t="s">
        <v>982</v>
      </c>
      <c r="B234">
        <v>127283</v>
      </c>
      <c r="C234" s="3">
        <v>14</v>
      </c>
      <c r="D234" t="s">
        <v>19</v>
      </c>
      <c r="E234" t="s">
        <v>62</v>
      </c>
      <c r="F234" t="s">
        <v>3086</v>
      </c>
      <c r="G234" t="s">
        <v>22</v>
      </c>
      <c r="H234" s="5">
        <v>46027.58189814815</v>
      </c>
      <c r="I234" s="5">
        <v>46035.327673611115</v>
      </c>
      <c r="J234">
        <v>7</v>
      </c>
      <c r="K234" t="s">
        <v>25</v>
      </c>
      <c r="L234" t="s">
        <v>30</v>
      </c>
    </row>
    <row r="235" spans="1:12" x14ac:dyDescent="0.25">
      <c r="A235" t="s">
        <v>985</v>
      </c>
      <c r="B235">
        <v>127416</v>
      </c>
      <c r="C235" s="3">
        <v>19</v>
      </c>
      <c r="D235" t="s">
        <v>32</v>
      </c>
      <c r="E235" t="s">
        <v>62</v>
      </c>
      <c r="F235" t="s">
        <v>3074</v>
      </c>
      <c r="G235" t="s">
        <v>22</v>
      </c>
      <c r="H235" s="5">
        <v>46027.821250000001</v>
      </c>
      <c r="I235" s="5">
        <v>46035.501828703702</v>
      </c>
      <c r="J235">
        <v>7</v>
      </c>
      <c r="K235" t="s">
        <v>25</v>
      </c>
      <c r="L235" t="s">
        <v>30</v>
      </c>
    </row>
    <row r="236" spans="1:12" x14ac:dyDescent="0.25">
      <c r="A236" t="s">
        <v>988</v>
      </c>
      <c r="B236">
        <v>127427</v>
      </c>
      <c r="C236" s="3">
        <v>1</v>
      </c>
      <c r="D236" t="s">
        <v>19</v>
      </c>
      <c r="E236" t="s">
        <v>62</v>
      </c>
      <c r="F236" t="s">
        <v>3072</v>
      </c>
      <c r="G236" t="s">
        <v>22</v>
      </c>
      <c r="H236" s="5">
        <v>46027.906539351854</v>
      </c>
      <c r="I236" s="5">
        <v>46035.502106481479</v>
      </c>
      <c r="J236">
        <v>7</v>
      </c>
      <c r="K236" t="s">
        <v>25</v>
      </c>
      <c r="L236" t="s">
        <v>30</v>
      </c>
    </row>
    <row r="237" spans="1:12" x14ac:dyDescent="0.25">
      <c r="A237" t="s">
        <v>991</v>
      </c>
      <c r="B237">
        <v>127705</v>
      </c>
      <c r="C237" s="3">
        <v>23</v>
      </c>
      <c r="D237" t="s">
        <v>32</v>
      </c>
      <c r="E237" t="s">
        <v>3073</v>
      </c>
      <c r="F237" t="s">
        <v>3074</v>
      </c>
      <c r="G237" t="s">
        <v>22</v>
      </c>
      <c r="H237" s="5">
        <v>46030.024664351855</v>
      </c>
      <c r="I237" s="5">
        <v>46037.603680555556</v>
      </c>
      <c r="J237">
        <v>7</v>
      </c>
      <c r="K237" t="s">
        <v>25</v>
      </c>
      <c r="L237" t="s">
        <v>30</v>
      </c>
    </row>
    <row r="238" spans="1:12" x14ac:dyDescent="0.25">
      <c r="A238" t="s">
        <v>994</v>
      </c>
      <c r="B238">
        <v>127963</v>
      </c>
      <c r="C238" s="3">
        <v>43</v>
      </c>
      <c r="D238" t="s">
        <v>19</v>
      </c>
      <c r="E238" t="s">
        <v>260</v>
      </c>
      <c r="F238" t="s">
        <v>3085</v>
      </c>
      <c r="G238" t="s">
        <v>22</v>
      </c>
      <c r="H238" s="5">
        <v>46032.215775462966</v>
      </c>
      <c r="I238" s="5">
        <v>46039.693726851852</v>
      </c>
      <c r="J238">
        <v>7</v>
      </c>
      <c r="K238" t="s">
        <v>25</v>
      </c>
      <c r="L238" t="s">
        <v>30</v>
      </c>
    </row>
    <row r="239" spans="1:12" x14ac:dyDescent="0.25">
      <c r="A239" t="s">
        <v>997</v>
      </c>
      <c r="B239">
        <v>128005</v>
      </c>
      <c r="C239" s="3">
        <v>20</v>
      </c>
      <c r="D239" t="s">
        <v>32</v>
      </c>
      <c r="E239" t="s">
        <v>3073</v>
      </c>
      <c r="F239" t="s">
        <v>3074</v>
      </c>
      <c r="G239" t="s">
        <v>22</v>
      </c>
      <c r="H239" s="5">
        <v>46032.708101851851</v>
      </c>
      <c r="I239" s="5">
        <v>46040.366226851853</v>
      </c>
      <c r="J239">
        <v>7</v>
      </c>
      <c r="K239" t="s">
        <v>112</v>
      </c>
      <c r="L239" t="s">
        <v>30</v>
      </c>
    </row>
    <row r="240" spans="1:12" x14ac:dyDescent="0.25">
      <c r="A240" t="s">
        <v>1000</v>
      </c>
      <c r="B240">
        <v>122880</v>
      </c>
      <c r="C240" s="3">
        <v>24</v>
      </c>
      <c r="D240" t="s">
        <v>32</v>
      </c>
      <c r="E240" t="s">
        <v>3073</v>
      </c>
      <c r="F240" t="s">
        <v>3074</v>
      </c>
      <c r="G240" t="s">
        <v>394</v>
      </c>
      <c r="H240" s="5">
        <v>46035.75644675926</v>
      </c>
      <c r="I240" s="5">
        <v>46043.570219907408</v>
      </c>
      <c r="J240">
        <v>7</v>
      </c>
      <c r="K240" t="s">
        <v>25</v>
      </c>
      <c r="L240" t="s">
        <v>30</v>
      </c>
    </row>
    <row r="241" spans="1:12" x14ac:dyDescent="0.25">
      <c r="A241" t="s">
        <v>1003</v>
      </c>
      <c r="B241">
        <v>128366</v>
      </c>
      <c r="C241" s="3" t="s">
        <v>3088</v>
      </c>
      <c r="D241" t="s">
        <v>19</v>
      </c>
      <c r="E241" t="s">
        <v>3073</v>
      </c>
      <c r="F241" t="s">
        <v>3072</v>
      </c>
      <c r="G241" t="s">
        <v>22</v>
      </c>
      <c r="H241" s="5">
        <v>46036.49359953704</v>
      </c>
      <c r="I241" s="5">
        <v>46043.546805555554</v>
      </c>
      <c r="J241">
        <v>7</v>
      </c>
      <c r="K241" t="s">
        <v>25</v>
      </c>
      <c r="L241" t="s">
        <v>30</v>
      </c>
    </row>
    <row r="242" spans="1:12" x14ac:dyDescent="0.25">
      <c r="A242" t="s">
        <v>1006</v>
      </c>
      <c r="B242">
        <v>128485</v>
      </c>
      <c r="C242" s="3">
        <v>90</v>
      </c>
      <c r="D242" t="s">
        <v>19</v>
      </c>
      <c r="E242" t="s">
        <v>3073</v>
      </c>
      <c r="F242" t="s">
        <v>3085</v>
      </c>
      <c r="G242" t="s">
        <v>22</v>
      </c>
      <c r="H242" s="5">
        <v>46037.663182870368</v>
      </c>
      <c r="I242" s="5">
        <v>46045.51934027778</v>
      </c>
      <c r="J242">
        <v>7</v>
      </c>
      <c r="K242" t="s">
        <v>25</v>
      </c>
      <c r="L242" t="s">
        <v>30</v>
      </c>
    </row>
    <row r="243" spans="1:12" x14ac:dyDescent="0.25">
      <c r="A243" t="s">
        <v>1010</v>
      </c>
      <c r="B243">
        <v>128670</v>
      </c>
      <c r="C243" s="3">
        <v>19</v>
      </c>
      <c r="D243" t="s">
        <v>19</v>
      </c>
      <c r="E243" t="s">
        <v>3073</v>
      </c>
      <c r="F243" t="s">
        <v>3084</v>
      </c>
      <c r="G243" t="s">
        <v>22</v>
      </c>
      <c r="H243" s="5">
        <v>46038.991215277776</v>
      </c>
      <c r="I243" s="5">
        <v>46046.613668981481</v>
      </c>
      <c r="J243">
        <v>7</v>
      </c>
      <c r="K243" t="s">
        <v>25</v>
      </c>
      <c r="L243" t="s">
        <v>30</v>
      </c>
    </row>
    <row r="244" spans="1:12" x14ac:dyDescent="0.25">
      <c r="A244" t="s">
        <v>1014</v>
      </c>
      <c r="B244">
        <v>128678</v>
      </c>
      <c r="C244" s="3">
        <v>38</v>
      </c>
      <c r="D244" t="s">
        <v>32</v>
      </c>
      <c r="E244" t="s">
        <v>3073</v>
      </c>
      <c r="F244" t="s">
        <v>3091</v>
      </c>
      <c r="G244" t="s">
        <v>22</v>
      </c>
      <c r="H244" s="5">
        <v>46039.078460648147</v>
      </c>
      <c r="I244" s="5">
        <v>46046.508981481478</v>
      </c>
      <c r="J244">
        <v>7</v>
      </c>
      <c r="K244" t="s">
        <v>25</v>
      </c>
      <c r="L244" t="s">
        <v>30</v>
      </c>
    </row>
    <row r="245" spans="1:12" x14ac:dyDescent="0.25">
      <c r="A245" t="s">
        <v>1018</v>
      </c>
      <c r="B245">
        <v>128750</v>
      </c>
      <c r="C245" s="3">
        <v>38</v>
      </c>
      <c r="D245" t="s">
        <v>32</v>
      </c>
      <c r="E245" t="s">
        <v>3073</v>
      </c>
      <c r="F245" t="s">
        <v>3074</v>
      </c>
      <c r="G245" t="s">
        <v>394</v>
      </c>
      <c r="H245" s="5">
        <v>46040.416805555556</v>
      </c>
      <c r="I245" s="5">
        <v>46047.732557870368</v>
      </c>
      <c r="J245">
        <v>7</v>
      </c>
      <c r="K245" t="s">
        <v>25</v>
      </c>
      <c r="L245" t="s">
        <v>30</v>
      </c>
    </row>
    <row r="246" spans="1:12" x14ac:dyDescent="0.25">
      <c r="A246" t="s">
        <v>1021</v>
      </c>
      <c r="B246">
        <v>128760</v>
      </c>
      <c r="C246" s="3" t="s">
        <v>3088</v>
      </c>
      <c r="D246" t="s">
        <v>32</v>
      </c>
      <c r="E246" t="s">
        <v>3073</v>
      </c>
      <c r="F246" t="s">
        <v>3072</v>
      </c>
      <c r="G246" t="s">
        <v>22</v>
      </c>
      <c r="H246" s="5">
        <v>46040.702384259261</v>
      </c>
      <c r="I246" s="5">
        <v>46047.73233796296</v>
      </c>
      <c r="J246">
        <v>7</v>
      </c>
      <c r="K246" t="s">
        <v>25</v>
      </c>
      <c r="L246" t="s">
        <v>30</v>
      </c>
    </row>
    <row r="247" spans="1:12" x14ac:dyDescent="0.25">
      <c r="A247" t="s">
        <v>1024</v>
      </c>
      <c r="B247">
        <v>128761</v>
      </c>
      <c r="C247" s="3" t="s">
        <v>3088</v>
      </c>
      <c r="D247" t="s">
        <v>32</v>
      </c>
      <c r="E247" t="s">
        <v>3073</v>
      </c>
      <c r="F247" t="s">
        <v>3072</v>
      </c>
      <c r="G247" t="s">
        <v>22</v>
      </c>
      <c r="H247" s="5">
        <v>46040.70453703704</v>
      </c>
      <c r="I247" s="5">
        <v>46047.731932870367</v>
      </c>
      <c r="J247">
        <v>7</v>
      </c>
      <c r="K247" t="s">
        <v>25</v>
      </c>
      <c r="L247" t="s">
        <v>30</v>
      </c>
    </row>
    <row r="248" spans="1:12" x14ac:dyDescent="0.25">
      <c r="A248" t="s">
        <v>1027</v>
      </c>
      <c r="B248">
        <v>128826</v>
      </c>
      <c r="C248" s="3">
        <v>45</v>
      </c>
      <c r="D248" t="s">
        <v>19</v>
      </c>
      <c r="E248" t="s">
        <v>3073</v>
      </c>
      <c r="F248" t="s">
        <v>3078</v>
      </c>
      <c r="G248" t="s">
        <v>22</v>
      </c>
      <c r="H248" s="5">
        <v>46041.519432870373</v>
      </c>
      <c r="I248" s="5">
        <v>46048.657442129632</v>
      </c>
      <c r="J248">
        <v>7</v>
      </c>
      <c r="K248" t="s">
        <v>25</v>
      </c>
      <c r="L248" t="s">
        <v>30</v>
      </c>
    </row>
    <row r="249" spans="1:12" x14ac:dyDescent="0.25">
      <c r="A249" t="s">
        <v>1030</v>
      </c>
      <c r="B249">
        <v>128945</v>
      </c>
      <c r="C249" s="3">
        <v>19</v>
      </c>
      <c r="D249" t="s">
        <v>32</v>
      </c>
      <c r="E249" t="s">
        <v>62</v>
      </c>
      <c r="F249" t="s">
        <v>3074</v>
      </c>
      <c r="G249" t="s">
        <v>22</v>
      </c>
      <c r="H249" s="5">
        <v>46041.775243055556</v>
      </c>
      <c r="I249" s="5">
        <v>46049.41002314815</v>
      </c>
      <c r="J249">
        <v>7</v>
      </c>
      <c r="K249" t="s">
        <v>25</v>
      </c>
      <c r="L249" t="s">
        <v>30</v>
      </c>
    </row>
    <row r="250" spans="1:12" x14ac:dyDescent="0.25">
      <c r="A250" t="s">
        <v>1033</v>
      </c>
      <c r="B250">
        <v>104177</v>
      </c>
      <c r="C250" s="3">
        <v>35</v>
      </c>
      <c r="D250" t="s">
        <v>32</v>
      </c>
      <c r="E250" t="s">
        <v>3073</v>
      </c>
      <c r="F250" t="s">
        <v>3074</v>
      </c>
      <c r="G250" t="s">
        <v>292</v>
      </c>
      <c r="H250" s="5">
        <v>46043.559155092589</v>
      </c>
      <c r="I250" s="5">
        <v>46050.625844907408</v>
      </c>
      <c r="J250">
        <v>7</v>
      </c>
      <c r="K250" t="s">
        <v>25</v>
      </c>
      <c r="L250" t="s">
        <v>30</v>
      </c>
    </row>
    <row r="251" spans="1:12" x14ac:dyDescent="0.25">
      <c r="A251" t="s">
        <v>1036</v>
      </c>
      <c r="B251">
        <v>129016</v>
      </c>
      <c r="C251" s="3">
        <v>25</v>
      </c>
      <c r="D251" t="s">
        <v>32</v>
      </c>
      <c r="E251" t="s">
        <v>3073</v>
      </c>
      <c r="F251" t="s">
        <v>3074</v>
      </c>
      <c r="G251" t="s">
        <v>22</v>
      </c>
      <c r="H251" s="5">
        <v>46044.629988425928</v>
      </c>
      <c r="I251" s="5">
        <v>46052.472800925927</v>
      </c>
      <c r="J251">
        <v>7</v>
      </c>
      <c r="K251" t="s">
        <v>25</v>
      </c>
      <c r="L251" t="s">
        <v>30</v>
      </c>
    </row>
    <row r="252" spans="1:12" x14ac:dyDescent="0.25">
      <c r="A252" t="s">
        <v>1040</v>
      </c>
      <c r="B252">
        <v>72747</v>
      </c>
      <c r="C252" s="3">
        <v>57</v>
      </c>
      <c r="D252" t="s">
        <v>32</v>
      </c>
      <c r="E252" t="s">
        <v>227</v>
      </c>
      <c r="F252" t="s">
        <v>3078</v>
      </c>
      <c r="G252" t="s">
        <v>22</v>
      </c>
      <c r="H252" s="5">
        <v>46044.686550925922</v>
      </c>
      <c r="I252" s="5">
        <v>46052.36917824074</v>
      </c>
      <c r="J252">
        <v>7</v>
      </c>
      <c r="K252" t="s">
        <v>25</v>
      </c>
      <c r="L252" t="s">
        <v>30</v>
      </c>
    </row>
    <row r="253" spans="1:12" x14ac:dyDescent="0.25">
      <c r="A253" t="s">
        <v>1044</v>
      </c>
      <c r="B253">
        <v>129448</v>
      </c>
      <c r="C253" s="3">
        <v>23</v>
      </c>
      <c r="D253" t="s">
        <v>32</v>
      </c>
      <c r="E253" t="s">
        <v>3073</v>
      </c>
      <c r="F253" t="s">
        <v>3074</v>
      </c>
      <c r="G253" t="s">
        <v>22</v>
      </c>
      <c r="H253" s="5">
        <v>46046.140509259261</v>
      </c>
      <c r="I253" s="5">
        <v>46053.610763888886</v>
      </c>
      <c r="J253">
        <v>7</v>
      </c>
      <c r="K253" t="s">
        <v>25</v>
      </c>
      <c r="L253" t="s">
        <v>30</v>
      </c>
    </row>
    <row r="254" spans="1:12" x14ac:dyDescent="0.25">
      <c r="A254" t="s">
        <v>1048</v>
      </c>
      <c r="B254">
        <v>126510</v>
      </c>
      <c r="C254" s="3" t="s">
        <v>3088</v>
      </c>
      <c r="D254" t="s">
        <v>19</v>
      </c>
      <c r="E254" t="s">
        <v>3073</v>
      </c>
      <c r="F254" t="s">
        <v>3072</v>
      </c>
      <c r="G254" t="s">
        <v>22</v>
      </c>
      <c r="H254" s="5">
        <v>46018.39502314815</v>
      </c>
      <c r="I254" s="5">
        <v>46024.706273148149</v>
      </c>
      <c r="J254">
        <v>6</v>
      </c>
      <c r="K254" t="s">
        <v>25</v>
      </c>
      <c r="L254" t="s">
        <v>30</v>
      </c>
    </row>
    <row r="255" spans="1:12" x14ac:dyDescent="0.25">
      <c r="A255" t="s">
        <v>1051</v>
      </c>
      <c r="B255">
        <v>126525</v>
      </c>
      <c r="C255" s="3">
        <v>1</v>
      </c>
      <c r="D255" t="s">
        <v>19</v>
      </c>
      <c r="E255" t="s">
        <v>3073</v>
      </c>
      <c r="F255" t="s">
        <v>3076</v>
      </c>
      <c r="G255" t="s">
        <v>22</v>
      </c>
      <c r="H255" s="5">
        <v>46018.601273148146</v>
      </c>
      <c r="I255" s="5">
        <v>46024.760821759257</v>
      </c>
      <c r="J255">
        <v>6</v>
      </c>
      <c r="K255" t="s">
        <v>25</v>
      </c>
      <c r="L255" t="s">
        <v>30</v>
      </c>
    </row>
    <row r="256" spans="1:12" x14ac:dyDescent="0.25">
      <c r="A256" t="s">
        <v>1054</v>
      </c>
      <c r="B256">
        <v>126560</v>
      </c>
      <c r="C256" s="3" t="s">
        <v>3088</v>
      </c>
      <c r="D256" t="s">
        <v>32</v>
      </c>
      <c r="E256" t="s">
        <v>3073</v>
      </c>
      <c r="F256" t="s">
        <v>3072</v>
      </c>
      <c r="G256" t="s">
        <v>22</v>
      </c>
      <c r="H256" s="5">
        <v>46019.00068287037</v>
      </c>
      <c r="I256" s="5">
        <v>46025.805324074077</v>
      </c>
      <c r="J256">
        <v>6</v>
      </c>
      <c r="K256" t="s">
        <v>112</v>
      </c>
      <c r="L256" t="s">
        <v>30</v>
      </c>
    </row>
    <row r="257" spans="1:12" x14ac:dyDescent="0.25">
      <c r="A257" t="s">
        <v>1057</v>
      </c>
      <c r="B257">
        <v>126559</v>
      </c>
      <c r="C257" s="3" t="s">
        <v>3088</v>
      </c>
      <c r="D257" t="s">
        <v>19</v>
      </c>
      <c r="E257" t="s">
        <v>3073</v>
      </c>
      <c r="F257" t="s">
        <v>3072</v>
      </c>
      <c r="G257" t="s">
        <v>22</v>
      </c>
      <c r="H257" s="5">
        <v>46019.007025462961</v>
      </c>
      <c r="I257" s="5">
        <v>46025.803773148145</v>
      </c>
      <c r="J257">
        <v>6</v>
      </c>
      <c r="K257" t="s">
        <v>112</v>
      </c>
      <c r="L257" t="s">
        <v>30</v>
      </c>
    </row>
    <row r="258" spans="1:12" x14ac:dyDescent="0.25">
      <c r="A258" t="s">
        <v>1060</v>
      </c>
      <c r="B258">
        <v>115475</v>
      </c>
      <c r="C258" s="3">
        <v>66</v>
      </c>
      <c r="D258" t="s">
        <v>19</v>
      </c>
      <c r="E258" t="s">
        <v>20</v>
      </c>
      <c r="F258" t="s">
        <v>3085</v>
      </c>
      <c r="G258" t="s">
        <v>1062</v>
      </c>
      <c r="H258" s="5">
        <v>46019.906435185185</v>
      </c>
      <c r="I258" s="5">
        <v>46026.677291666667</v>
      </c>
      <c r="J258">
        <v>6</v>
      </c>
      <c r="K258" t="s">
        <v>25</v>
      </c>
      <c r="L258" t="s">
        <v>30</v>
      </c>
    </row>
    <row r="259" spans="1:12" x14ac:dyDescent="0.25">
      <c r="A259" t="s">
        <v>1065</v>
      </c>
      <c r="B259">
        <v>126605</v>
      </c>
      <c r="C259" s="3">
        <v>30</v>
      </c>
      <c r="D259" t="s">
        <v>19</v>
      </c>
      <c r="E259" t="s">
        <v>260</v>
      </c>
      <c r="F259" t="s">
        <v>3085</v>
      </c>
      <c r="G259" t="s">
        <v>22</v>
      </c>
      <c r="H259" s="5">
        <v>46019.946793981479</v>
      </c>
      <c r="I259" s="5">
        <v>46026.390057870369</v>
      </c>
      <c r="J259">
        <v>6</v>
      </c>
      <c r="K259" t="s">
        <v>25</v>
      </c>
      <c r="L259" t="s">
        <v>30</v>
      </c>
    </row>
    <row r="260" spans="1:12" x14ac:dyDescent="0.25">
      <c r="A260" t="s">
        <v>1069</v>
      </c>
      <c r="B260">
        <v>126649</v>
      </c>
      <c r="C260" s="3">
        <v>6</v>
      </c>
      <c r="D260" t="s">
        <v>32</v>
      </c>
      <c r="E260" t="s">
        <v>20</v>
      </c>
      <c r="F260" t="s">
        <v>3076</v>
      </c>
      <c r="G260" t="s">
        <v>22</v>
      </c>
      <c r="H260" s="5">
        <v>46020.574050925927</v>
      </c>
      <c r="I260" s="5">
        <v>46027.570590277777</v>
      </c>
      <c r="J260">
        <v>6</v>
      </c>
      <c r="K260" t="s">
        <v>25</v>
      </c>
      <c r="L260" t="s">
        <v>30</v>
      </c>
    </row>
    <row r="261" spans="1:12" x14ac:dyDescent="0.25">
      <c r="A261" t="s">
        <v>1072</v>
      </c>
      <c r="B261">
        <v>126865</v>
      </c>
      <c r="C261" s="3" t="s">
        <v>3088</v>
      </c>
      <c r="D261" t="s">
        <v>19</v>
      </c>
      <c r="E261" t="s">
        <v>20</v>
      </c>
      <c r="F261" t="s">
        <v>3072</v>
      </c>
      <c r="G261" t="s">
        <v>22</v>
      </c>
      <c r="H261" s="5">
        <v>46021.95921296296</v>
      </c>
      <c r="I261" s="5">
        <v>46028.624606481484</v>
      </c>
      <c r="J261">
        <v>6</v>
      </c>
      <c r="K261" t="s">
        <v>25</v>
      </c>
      <c r="L261" t="s">
        <v>30</v>
      </c>
    </row>
    <row r="262" spans="1:12" x14ac:dyDescent="0.25">
      <c r="A262" t="s">
        <v>1075</v>
      </c>
      <c r="B262">
        <v>125298</v>
      </c>
      <c r="C262" s="3">
        <v>18</v>
      </c>
      <c r="D262" t="s">
        <v>32</v>
      </c>
      <c r="E262" t="s">
        <v>3073</v>
      </c>
      <c r="F262" t="s">
        <v>3077</v>
      </c>
      <c r="G262" t="s">
        <v>22</v>
      </c>
      <c r="H262" s="5">
        <v>46022.130300925928</v>
      </c>
      <c r="I262" s="5">
        <v>46028.72587962963</v>
      </c>
      <c r="J262">
        <v>6</v>
      </c>
      <c r="K262" t="s">
        <v>25</v>
      </c>
      <c r="L262" t="s">
        <v>30</v>
      </c>
    </row>
    <row r="263" spans="1:12" x14ac:dyDescent="0.25">
      <c r="A263" t="s">
        <v>1078</v>
      </c>
      <c r="B263">
        <v>126868</v>
      </c>
      <c r="C263" s="3" t="s">
        <v>3088</v>
      </c>
      <c r="D263" t="s">
        <v>32</v>
      </c>
      <c r="E263" t="s">
        <v>3073</v>
      </c>
      <c r="F263" t="s">
        <v>3072</v>
      </c>
      <c r="G263" t="s">
        <v>22</v>
      </c>
      <c r="H263" s="5">
        <v>46022.301481481481</v>
      </c>
      <c r="I263" s="5">
        <v>46028.643506944441</v>
      </c>
      <c r="J263">
        <v>6</v>
      </c>
      <c r="K263" t="s">
        <v>25</v>
      </c>
      <c r="L263" t="s">
        <v>30</v>
      </c>
    </row>
    <row r="264" spans="1:12" x14ac:dyDescent="0.25">
      <c r="A264" t="s">
        <v>1081</v>
      </c>
      <c r="B264">
        <v>127070</v>
      </c>
      <c r="C264" s="3">
        <v>3</v>
      </c>
      <c r="D264" t="s">
        <v>19</v>
      </c>
      <c r="E264" t="s">
        <v>62</v>
      </c>
      <c r="F264" t="s">
        <v>3076</v>
      </c>
      <c r="G264" t="s">
        <v>22</v>
      </c>
      <c r="H264" s="5">
        <v>46024.610648148147</v>
      </c>
      <c r="I264" s="5">
        <v>46031.554224537038</v>
      </c>
      <c r="J264">
        <v>6</v>
      </c>
      <c r="K264" t="s">
        <v>25</v>
      </c>
      <c r="L264" t="s">
        <v>30</v>
      </c>
    </row>
    <row r="265" spans="1:12" x14ac:dyDescent="0.25">
      <c r="A265" t="s">
        <v>1084</v>
      </c>
      <c r="B265">
        <v>127095</v>
      </c>
      <c r="C265" s="3">
        <v>42</v>
      </c>
      <c r="D265" t="s">
        <v>32</v>
      </c>
      <c r="E265" t="s">
        <v>260</v>
      </c>
      <c r="F265" t="s">
        <v>3077</v>
      </c>
      <c r="G265" t="s">
        <v>22</v>
      </c>
      <c r="H265" s="5">
        <v>46024.854224537034</v>
      </c>
      <c r="I265" s="5">
        <v>46031.738900462966</v>
      </c>
      <c r="J265">
        <v>6</v>
      </c>
      <c r="K265" t="s">
        <v>25</v>
      </c>
      <c r="L265" t="s">
        <v>30</v>
      </c>
    </row>
    <row r="266" spans="1:12" x14ac:dyDescent="0.25">
      <c r="A266" t="s">
        <v>1087</v>
      </c>
      <c r="B266">
        <v>127171</v>
      </c>
      <c r="C266" s="3">
        <v>27</v>
      </c>
      <c r="D266" t="s">
        <v>32</v>
      </c>
      <c r="E266" t="s">
        <v>260</v>
      </c>
      <c r="F266" t="s">
        <v>3074</v>
      </c>
      <c r="G266" t="s">
        <v>22</v>
      </c>
      <c r="H266" s="5">
        <v>46025.620358796295</v>
      </c>
      <c r="I266" s="5">
        <v>46031.75917824074</v>
      </c>
      <c r="J266">
        <v>6</v>
      </c>
      <c r="K266" t="s">
        <v>25</v>
      </c>
      <c r="L266" t="s">
        <v>30</v>
      </c>
    </row>
    <row r="267" spans="1:12" x14ac:dyDescent="0.25">
      <c r="A267" t="s">
        <v>1090</v>
      </c>
      <c r="B267">
        <v>127192</v>
      </c>
      <c r="C267" s="3">
        <v>20</v>
      </c>
      <c r="D267" t="s">
        <v>32</v>
      </c>
      <c r="E267" t="s">
        <v>62</v>
      </c>
      <c r="F267" t="s">
        <v>3074</v>
      </c>
      <c r="G267" t="s">
        <v>22</v>
      </c>
      <c r="H267" s="5">
        <v>46025.911041666666</v>
      </c>
      <c r="I267" s="5">
        <v>46032.687048611115</v>
      </c>
      <c r="J267">
        <v>6</v>
      </c>
      <c r="K267" t="s">
        <v>25</v>
      </c>
      <c r="L267" t="s">
        <v>30</v>
      </c>
    </row>
    <row r="268" spans="1:12" x14ac:dyDescent="0.25">
      <c r="A268" t="s">
        <v>1093</v>
      </c>
      <c r="B268">
        <v>127196</v>
      </c>
      <c r="C268" s="3" t="s">
        <v>3088</v>
      </c>
      <c r="D268" t="s">
        <v>19</v>
      </c>
      <c r="E268" t="s">
        <v>62</v>
      </c>
      <c r="F268" t="s">
        <v>3072</v>
      </c>
      <c r="G268" t="s">
        <v>22</v>
      </c>
      <c r="H268" s="5">
        <v>46026.623240740744</v>
      </c>
      <c r="I268" s="5">
        <v>46032.675717592596</v>
      </c>
      <c r="J268">
        <v>6</v>
      </c>
      <c r="K268" t="s">
        <v>25</v>
      </c>
      <c r="L268" t="s">
        <v>30</v>
      </c>
    </row>
    <row r="269" spans="1:12" x14ac:dyDescent="0.25">
      <c r="A269" t="s">
        <v>1096</v>
      </c>
      <c r="B269">
        <v>127400</v>
      </c>
      <c r="C269" s="3" t="s">
        <v>3088</v>
      </c>
      <c r="D269" t="s">
        <v>32</v>
      </c>
      <c r="E269" t="s">
        <v>3073</v>
      </c>
      <c r="F269" t="s">
        <v>3072</v>
      </c>
      <c r="G269" t="s">
        <v>22</v>
      </c>
      <c r="H269" s="5">
        <v>46027.721956018519</v>
      </c>
      <c r="I269" s="5">
        <v>46034.594560185185</v>
      </c>
      <c r="J269">
        <v>6</v>
      </c>
      <c r="K269" t="s">
        <v>25</v>
      </c>
      <c r="L269" t="s">
        <v>30</v>
      </c>
    </row>
    <row r="270" spans="1:12" x14ac:dyDescent="0.25">
      <c r="A270" t="s">
        <v>1099</v>
      </c>
      <c r="B270">
        <v>127373</v>
      </c>
      <c r="C270" s="3">
        <v>80</v>
      </c>
      <c r="D270" t="s">
        <v>32</v>
      </c>
      <c r="E270" t="s">
        <v>3073</v>
      </c>
      <c r="F270" t="s">
        <v>3077</v>
      </c>
      <c r="G270" t="s">
        <v>22</v>
      </c>
      <c r="H270" s="5">
        <v>46027.797812500001</v>
      </c>
      <c r="I270" s="5">
        <v>46034.460046296299</v>
      </c>
      <c r="J270">
        <v>6</v>
      </c>
      <c r="K270" t="s">
        <v>112</v>
      </c>
      <c r="L270" t="s">
        <v>30</v>
      </c>
    </row>
    <row r="271" spans="1:12" x14ac:dyDescent="0.25">
      <c r="A271" t="s">
        <v>1104</v>
      </c>
      <c r="B271">
        <v>127559</v>
      </c>
      <c r="C271" s="3" t="s">
        <v>3089</v>
      </c>
      <c r="D271" t="s">
        <v>19</v>
      </c>
      <c r="E271" t="s">
        <v>62</v>
      </c>
      <c r="F271" t="s">
        <v>3076</v>
      </c>
      <c r="G271" t="s">
        <v>22</v>
      </c>
      <c r="H271" s="5">
        <v>46028.925844907404</v>
      </c>
      <c r="I271" s="5">
        <v>46035.642708333333</v>
      </c>
      <c r="J271">
        <v>6</v>
      </c>
      <c r="K271" t="s">
        <v>25</v>
      </c>
      <c r="L271" t="s">
        <v>30</v>
      </c>
    </row>
    <row r="272" spans="1:12" x14ac:dyDescent="0.25">
      <c r="A272" t="s">
        <v>1107</v>
      </c>
      <c r="B272">
        <v>127571</v>
      </c>
      <c r="C272" s="3">
        <v>26</v>
      </c>
      <c r="D272" t="s">
        <v>32</v>
      </c>
      <c r="E272" t="s">
        <v>3073</v>
      </c>
      <c r="F272" t="s">
        <v>3074</v>
      </c>
      <c r="G272" t="s">
        <v>22</v>
      </c>
      <c r="H272" s="5">
        <v>46029.312222222223</v>
      </c>
      <c r="I272" s="5">
        <v>46035.385150462964</v>
      </c>
      <c r="J272">
        <v>6</v>
      </c>
      <c r="K272" t="s">
        <v>25</v>
      </c>
      <c r="L272" t="s">
        <v>30</v>
      </c>
    </row>
    <row r="273" spans="1:12" x14ac:dyDescent="0.25">
      <c r="A273" t="s">
        <v>1033</v>
      </c>
      <c r="B273">
        <v>104177</v>
      </c>
      <c r="C273" s="3">
        <v>35</v>
      </c>
      <c r="D273" t="s">
        <v>32</v>
      </c>
      <c r="E273" t="s">
        <v>3073</v>
      </c>
      <c r="F273" t="s">
        <v>3074</v>
      </c>
      <c r="G273" t="s">
        <v>292</v>
      </c>
      <c r="H273" s="5">
        <v>46031.613194444442</v>
      </c>
      <c r="I273" s="5">
        <v>46038.551886574074</v>
      </c>
      <c r="J273">
        <v>6</v>
      </c>
      <c r="K273" t="s">
        <v>25</v>
      </c>
      <c r="L273" t="s">
        <v>30</v>
      </c>
    </row>
    <row r="274" spans="1:12" x14ac:dyDescent="0.25">
      <c r="A274" t="s">
        <v>1113</v>
      </c>
      <c r="B274">
        <v>127866</v>
      </c>
      <c r="C274" s="3">
        <v>1</v>
      </c>
      <c r="D274" t="s">
        <v>32</v>
      </c>
      <c r="E274" t="s">
        <v>62</v>
      </c>
      <c r="F274" t="s">
        <v>3076</v>
      </c>
      <c r="G274" t="s">
        <v>22</v>
      </c>
      <c r="H274" s="5">
        <v>46031.669317129628</v>
      </c>
      <c r="I274" s="5">
        <v>46037.764872685184</v>
      </c>
      <c r="J274">
        <v>6</v>
      </c>
      <c r="K274" t="s">
        <v>25</v>
      </c>
      <c r="L274" t="s">
        <v>30</v>
      </c>
    </row>
    <row r="275" spans="1:12" x14ac:dyDescent="0.25">
      <c r="A275" t="s">
        <v>1116</v>
      </c>
      <c r="B275">
        <v>128025</v>
      </c>
      <c r="C275" s="3">
        <v>22</v>
      </c>
      <c r="D275" t="s">
        <v>19</v>
      </c>
      <c r="E275" t="s">
        <v>3073</v>
      </c>
      <c r="F275" t="s">
        <v>3085</v>
      </c>
      <c r="G275" t="s">
        <v>22</v>
      </c>
      <c r="H275" s="5">
        <v>46033.180787037039</v>
      </c>
      <c r="I275" s="5">
        <v>46039.705069444448</v>
      </c>
      <c r="J275">
        <v>6</v>
      </c>
      <c r="K275" t="s">
        <v>25</v>
      </c>
      <c r="L275" t="s">
        <v>30</v>
      </c>
    </row>
    <row r="276" spans="1:12" x14ac:dyDescent="0.25">
      <c r="A276" t="s">
        <v>1119</v>
      </c>
      <c r="B276">
        <v>128053</v>
      </c>
      <c r="C276" s="3">
        <v>37</v>
      </c>
      <c r="D276" t="s">
        <v>32</v>
      </c>
      <c r="E276" t="s">
        <v>20</v>
      </c>
      <c r="F276" t="s">
        <v>3074</v>
      </c>
      <c r="G276" t="s">
        <v>22</v>
      </c>
      <c r="H276" s="5">
        <v>46034.600856481484</v>
      </c>
      <c r="I276" s="5">
        <v>46040.667025462964</v>
      </c>
      <c r="J276">
        <v>6</v>
      </c>
      <c r="K276" t="s">
        <v>25</v>
      </c>
      <c r="L276" t="s">
        <v>30</v>
      </c>
    </row>
    <row r="277" spans="1:12" x14ac:dyDescent="0.25">
      <c r="A277" t="s">
        <v>1122</v>
      </c>
      <c r="B277">
        <v>128168</v>
      </c>
      <c r="C277" s="3">
        <v>35</v>
      </c>
      <c r="D277" t="s">
        <v>19</v>
      </c>
      <c r="E277" t="s">
        <v>3073</v>
      </c>
      <c r="F277" t="s">
        <v>3078</v>
      </c>
      <c r="G277" t="s">
        <v>22</v>
      </c>
      <c r="H277" s="5">
        <v>46034.851597222223</v>
      </c>
      <c r="I277" s="5">
        <v>46041.453831018516</v>
      </c>
      <c r="J277">
        <v>6</v>
      </c>
      <c r="K277" t="s">
        <v>25</v>
      </c>
      <c r="L277" t="s">
        <v>30</v>
      </c>
    </row>
    <row r="278" spans="1:12" x14ac:dyDescent="0.25">
      <c r="A278" t="s">
        <v>1125</v>
      </c>
      <c r="B278">
        <v>128189</v>
      </c>
      <c r="C278" s="3">
        <v>25</v>
      </c>
      <c r="D278" t="s">
        <v>32</v>
      </c>
      <c r="E278" t="s">
        <v>3073</v>
      </c>
      <c r="F278" t="s">
        <v>3074</v>
      </c>
      <c r="G278" t="s">
        <v>22</v>
      </c>
      <c r="H278" s="5">
        <v>46035.429791666669</v>
      </c>
      <c r="I278" s="5">
        <v>46041.608865740738</v>
      </c>
      <c r="J278">
        <v>6</v>
      </c>
      <c r="K278" t="s">
        <v>25</v>
      </c>
      <c r="L278" t="s">
        <v>30</v>
      </c>
    </row>
    <row r="279" spans="1:12" x14ac:dyDescent="0.25">
      <c r="A279" t="s">
        <v>1129</v>
      </c>
      <c r="B279">
        <v>128298</v>
      </c>
      <c r="C279" s="3">
        <v>20</v>
      </c>
      <c r="D279" t="s">
        <v>32</v>
      </c>
      <c r="E279" t="s">
        <v>3073</v>
      </c>
      <c r="F279" t="s">
        <v>3091</v>
      </c>
      <c r="G279" t="s">
        <v>22</v>
      </c>
      <c r="H279" s="5">
        <v>46035.719826388886</v>
      </c>
      <c r="I279" s="5">
        <v>46042.66679398148</v>
      </c>
      <c r="J279">
        <v>6</v>
      </c>
      <c r="K279" t="s">
        <v>25</v>
      </c>
      <c r="L279" t="s">
        <v>30</v>
      </c>
    </row>
    <row r="280" spans="1:12" x14ac:dyDescent="0.25">
      <c r="A280" t="s">
        <v>1133</v>
      </c>
      <c r="B280">
        <v>59696</v>
      </c>
      <c r="C280" s="3">
        <v>28</v>
      </c>
      <c r="D280" t="s">
        <v>32</v>
      </c>
      <c r="E280" t="s">
        <v>3073</v>
      </c>
      <c r="F280" t="s">
        <v>3074</v>
      </c>
      <c r="G280" t="s">
        <v>22</v>
      </c>
      <c r="H280" s="5">
        <v>46037.421296296299</v>
      </c>
      <c r="I280" s="5">
        <v>46043.591145833336</v>
      </c>
      <c r="J280">
        <v>6</v>
      </c>
      <c r="K280" t="s">
        <v>25</v>
      </c>
      <c r="L280" t="s">
        <v>30</v>
      </c>
    </row>
    <row r="281" spans="1:12" x14ac:dyDescent="0.25">
      <c r="A281" t="s">
        <v>1137</v>
      </c>
      <c r="B281">
        <v>91531</v>
      </c>
      <c r="C281" s="3">
        <v>49</v>
      </c>
      <c r="D281" t="s">
        <v>32</v>
      </c>
      <c r="E281" t="s">
        <v>3073</v>
      </c>
      <c r="F281" t="s">
        <v>3090</v>
      </c>
      <c r="G281" t="s">
        <v>22</v>
      </c>
      <c r="H281" s="5">
        <v>46037.549444444441</v>
      </c>
      <c r="I281" s="5">
        <v>46043.686585648145</v>
      </c>
      <c r="J281">
        <v>6</v>
      </c>
      <c r="K281" t="s">
        <v>25</v>
      </c>
      <c r="L281" t="s">
        <v>30</v>
      </c>
    </row>
    <row r="282" spans="1:12" x14ac:dyDescent="0.25">
      <c r="A282" t="s">
        <v>1142</v>
      </c>
      <c r="B282">
        <v>104772</v>
      </c>
      <c r="C282" s="3">
        <v>49</v>
      </c>
      <c r="D282" t="s">
        <v>32</v>
      </c>
      <c r="E282" t="s">
        <v>62</v>
      </c>
      <c r="F282" t="s">
        <v>3077</v>
      </c>
      <c r="G282" t="s">
        <v>22</v>
      </c>
      <c r="H282" s="5">
        <v>46037.958993055552</v>
      </c>
      <c r="I282" s="5">
        <v>46044.640104166669</v>
      </c>
      <c r="J282">
        <v>6</v>
      </c>
      <c r="K282" t="s">
        <v>25</v>
      </c>
      <c r="L282" t="s">
        <v>30</v>
      </c>
    </row>
    <row r="283" spans="1:12" x14ac:dyDescent="0.25">
      <c r="A283" t="s">
        <v>1145</v>
      </c>
      <c r="B283">
        <v>128566</v>
      </c>
      <c r="C283" s="3">
        <v>6</v>
      </c>
      <c r="D283" t="s">
        <v>32</v>
      </c>
      <c r="E283" t="s">
        <v>2589</v>
      </c>
      <c r="F283" t="s">
        <v>3076</v>
      </c>
      <c r="G283" t="s">
        <v>22</v>
      </c>
      <c r="H283" s="5">
        <v>46038.00199074074</v>
      </c>
      <c r="I283" s="5">
        <v>46044.605162037034</v>
      </c>
      <c r="J283">
        <v>6</v>
      </c>
      <c r="K283" t="s">
        <v>112</v>
      </c>
      <c r="L283" t="s">
        <v>30</v>
      </c>
    </row>
    <row r="284" spans="1:12" x14ac:dyDescent="0.25">
      <c r="A284" t="s">
        <v>1148</v>
      </c>
      <c r="B284">
        <v>128749</v>
      </c>
      <c r="C284" s="3">
        <v>24</v>
      </c>
      <c r="D284" t="s">
        <v>32</v>
      </c>
      <c r="E284" t="s">
        <v>3073</v>
      </c>
      <c r="F284" t="s">
        <v>3074</v>
      </c>
      <c r="G284" t="s">
        <v>22</v>
      </c>
      <c r="H284" s="5">
        <v>46040.502534722225</v>
      </c>
      <c r="I284" s="5">
        <v>46046.750138888892</v>
      </c>
      <c r="J284">
        <v>6</v>
      </c>
      <c r="K284" t="s">
        <v>25</v>
      </c>
      <c r="L284" t="s">
        <v>30</v>
      </c>
    </row>
    <row r="285" spans="1:12" x14ac:dyDescent="0.25">
      <c r="A285" t="s">
        <v>1151</v>
      </c>
      <c r="B285">
        <v>129088</v>
      </c>
      <c r="C285" s="3">
        <v>65</v>
      </c>
      <c r="D285" t="s">
        <v>19</v>
      </c>
      <c r="E285" t="s">
        <v>3073</v>
      </c>
      <c r="F285" t="s">
        <v>3090</v>
      </c>
      <c r="G285" t="s">
        <v>22</v>
      </c>
      <c r="H285" s="5">
        <v>46043.027708333335</v>
      </c>
      <c r="I285" s="5">
        <v>46049.423078703701</v>
      </c>
      <c r="J285">
        <v>6</v>
      </c>
      <c r="K285" t="s">
        <v>397</v>
      </c>
      <c r="L285" t="s">
        <v>30</v>
      </c>
    </row>
    <row r="286" spans="1:12" x14ac:dyDescent="0.25">
      <c r="A286" t="s">
        <v>1154</v>
      </c>
      <c r="B286">
        <v>103008</v>
      </c>
      <c r="C286" s="3">
        <v>1</v>
      </c>
      <c r="D286" t="s">
        <v>19</v>
      </c>
      <c r="E286" t="s">
        <v>3073</v>
      </c>
      <c r="F286" t="s">
        <v>3076</v>
      </c>
      <c r="G286" t="s">
        <v>22</v>
      </c>
      <c r="H286" s="5">
        <v>46043.477881944447</v>
      </c>
      <c r="I286" s="5">
        <v>46050.390381944446</v>
      </c>
      <c r="J286">
        <v>6</v>
      </c>
      <c r="K286" t="s">
        <v>25</v>
      </c>
      <c r="L286" t="s">
        <v>30</v>
      </c>
    </row>
    <row r="287" spans="1:12" x14ac:dyDescent="0.25">
      <c r="A287" t="s">
        <v>1157</v>
      </c>
      <c r="B287">
        <v>129187</v>
      </c>
      <c r="C287" s="3">
        <v>19</v>
      </c>
      <c r="D287" t="s">
        <v>32</v>
      </c>
      <c r="E287" t="s">
        <v>260</v>
      </c>
      <c r="F287" t="s">
        <v>3074</v>
      </c>
      <c r="G287" t="s">
        <v>22</v>
      </c>
      <c r="H287" s="5">
        <v>46044.303495370368</v>
      </c>
      <c r="I287" s="5">
        <v>46050.678553240738</v>
      </c>
      <c r="J287">
        <v>6</v>
      </c>
      <c r="K287" t="s">
        <v>25</v>
      </c>
      <c r="L287" t="s">
        <v>30</v>
      </c>
    </row>
    <row r="288" spans="1:12" x14ac:dyDescent="0.25">
      <c r="A288" t="s">
        <v>1161</v>
      </c>
      <c r="B288">
        <v>129301</v>
      </c>
      <c r="C288" s="3">
        <v>27</v>
      </c>
      <c r="D288" t="s">
        <v>32</v>
      </c>
      <c r="E288" t="s">
        <v>3073</v>
      </c>
      <c r="F288" t="s">
        <v>3074</v>
      </c>
      <c r="G288" t="s">
        <v>22</v>
      </c>
      <c r="H288" s="5">
        <v>46044.961875000001</v>
      </c>
      <c r="I288" s="5">
        <v>46051.603680555556</v>
      </c>
      <c r="J288">
        <v>6</v>
      </c>
      <c r="K288" t="s">
        <v>25</v>
      </c>
      <c r="L288" t="s">
        <v>30</v>
      </c>
    </row>
    <row r="289" spans="1:12" x14ac:dyDescent="0.25">
      <c r="A289" t="s">
        <v>1164</v>
      </c>
      <c r="B289">
        <v>129429</v>
      </c>
      <c r="C289" s="3">
        <v>30</v>
      </c>
      <c r="D289" t="s">
        <v>32</v>
      </c>
      <c r="E289" t="s">
        <v>62</v>
      </c>
      <c r="F289" t="s">
        <v>3074</v>
      </c>
      <c r="G289" t="s">
        <v>22</v>
      </c>
      <c r="H289" s="5">
        <v>46045.770983796298</v>
      </c>
      <c r="I289" s="5">
        <v>46052.726956018516</v>
      </c>
      <c r="J289">
        <v>6</v>
      </c>
      <c r="K289" t="s">
        <v>25</v>
      </c>
      <c r="L289" t="s">
        <v>30</v>
      </c>
    </row>
    <row r="290" spans="1:12" x14ac:dyDescent="0.25">
      <c r="A290" t="s">
        <v>1167</v>
      </c>
      <c r="B290">
        <v>129390</v>
      </c>
      <c r="C290" s="3">
        <v>35</v>
      </c>
      <c r="D290" t="s">
        <v>19</v>
      </c>
      <c r="E290" t="s">
        <v>3073</v>
      </c>
      <c r="F290" t="s">
        <v>3085</v>
      </c>
      <c r="G290" t="s">
        <v>22</v>
      </c>
      <c r="H290" s="5">
        <v>46045.927060185182</v>
      </c>
      <c r="I290" s="5">
        <v>46052.621030092596</v>
      </c>
      <c r="J290">
        <v>6</v>
      </c>
      <c r="K290" t="s">
        <v>112</v>
      </c>
      <c r="L290" t="s">
        <v>30</v>
      </c>
    </row>
    <row r="291" spans="1:12" x14ac:dyDescent="0.25">
      <c r="A291" t="s">
        <v>1171</v>
      </c>
      <c r="B291">
        <v>129447</v>
      </c>
      <c r="C291" s="3" t="s">
        <v>3092</v>
      </c>
      <c r="D291" t="s">
        <v>19</v>
      </c>
      <c r="E291" t="s">
        <v>62</v>
      </c>
      <c r="F291" t="s">
        <v>3072</v>
      </c>
      <c r="G291" t="s">
        <v>22</v>
      </c>
      <c r="H291" s="5">
        <v>46046.341724537036</v>
      </c>
      <c r="I291" s="5">
        <v>46052.727280092593</v>
      </c>
      <c r="J291">
        <v>6</v>
      </c>
      <c r="K291" t="s">
        <v>25</v>
      </c>
      <c r="L291" t="s">
        <v>30</v>
      </c>
    </row>
    <row r="292" spans="1:12" x14ac:dyDescent="0.25">
      <c r="A292" t="s">
        <v>791</v>
      </c>
      <c r="B292">
        <v>127206</v>
      </c>
      <c r="C292" s="3">
        <v>20</v>
      </c>
      <c r="D292" t="s">
        <v>32</v>
      </c>
      <c r="E292" t="s">
        <v>3073</v>
      </c>
      <c r="F292" t="s">
        <v>3074</v>
      </c>
      <c r="G292" t="s">
        <v>22</v>
      </c>
      <c r="H292" s="5">
        <v>46046.869629629633</v>
      </c>
      <c r="I292" s="5">
        <v>46053.73096064815</v>
      </c>
      <c r="J292">
        <v>6</v>
      </c>
      <c r="K292" t="s">
        <v>25</v>
      </c>
      <c r="L292" t="s">
        <v>30</v>
      </c>
    </row>
    <row r="293" spans="1:12" x14ac:dyDescent="0.25">
      <c r="A293" t="s">
        <v>1177</v>
      </c>
      <c r="B293">
        <v>126590</v>
      </c>
      <c r="C293" s="3" t="s">
        <v>3089</v>
      </c>
      <c r="D293" t="s">
        <v>19</v>
      </c>
      <c r="E293" t="s">
        <v>3073</v>
      </c>
      <c r="F293" t="s">
        <v>3072</v>
      </c>
      <c r="G293" t="s">
        <v>22</v>
      </c>
      <c r="H293" s="5">
        <v>46019.660451388889</v>
      </c>
      <c r="I293" s="5">
        <v>46024.668194444443</v>
      </c>
      <c r="J293">
        <v>5</v>
      </c>
      <c r="K293" t="s">
        <v>25</v>
      </c>
      <c r="L293" t="s">
        <v>30</v>
      </c>
    </row>
    <row r="294" spans="1:12" x14ac:dyDescent="0.25">
      <c r="A294" t="s">
        <v>1180</v>
      </c>
      <c r="B294">
        <v>126791</v>
      </c>
      <c r="C294" s="3">
        <v>33</v>
      </c>
      <c r="D294" t="s">
        <v>32</v>
      </c>
      <c r="E294" t="s">
        <v>3073</v>
      </c>
      <c r="F294" t="s">
        <v>3074</v>
      </c>
      <c r="G294" t="s">
        <v>394</v>
      </c>
      <c r="H294" s="5">
        <v>46021.472696759258</v>
      </c>
      <c r="I294" s="5">
        <v>46026.560682870368</v>
      </c>
      <c r="J294">
        <v>5</v>
      </c>
      <c r="K294" t="s">
        <v>25</v>
      </c>
      <c r="L294" t="s">
        <v>30</v>
      </c>
    </row>
    <row r="295" spans="1:12" x14ac:dyDescent="0.25">
      <c r="A295" t="s">
        <v>1183</v>
      </c>
      <c r="B295">
        <v>126874</v>
      </c>
      <c r="C295" s="3" t="s">
        <v>3088</v>
      </c>
      <c r="D295" t="s">
        <v>19</v>
      </c>
      <c r="E295" t="s">
        <v>3073</v>
      </c>
      <c r="F295" t="s">
        <v>3072</v>
      </c>
      <c r="G295" t="s">
        <v>22</v>
      </c>
      <c r="H295" s="5">
        <v>46022.533020833333</v>
      </c>
      <c r="I295" s="5">
        <v>46027.724016203705</v>
      </c>
      <c r="J295">
        <v>5</v>
      </c>
      <c r="K295" t="s">
        <v>211</v>
      </c>
      <c r="L295" t="s">
        <v>30</v>
      </c>
    </row>
    <row r="296" spans="1:12" x14ac:dyDescent="0.25">
      <c r="A296" t="s">
        <v>1186</v>
      </c>
      <c r="B296">
        <v>126956</v>
      </c>
      <c r="C296" s="3">
        <v>63</v>
      </c>
      <c r="D296" t="s">
        <v>32</v>
      </c>
      <c r="E296" t="s">
        <v>20</v>
      </c>
      <c r="F296" t="s">
        <v>763</v>
      </c>
      <c r="G296" t="s">
        <v>22</v>
      </c>
      <c r="H296" s="5">
        <v>46022.711631944447</v>
      </c>
      <c r="I296" s="5">
        <v>46028.544016203705</v>
      </c>
      <c r="J296">
        <v>5</v>
      </c>
      <c r="K296" t="s">
        <v>211</v>
      </c>
      <c r="L296" t="s">
        <v>30</v>
      </c>
    </row>
    <row r="297" spans="1:12" x14ac:dyDescent="0.25">
      <c r="A297" t="s">
        <v>1190</v>
      </c>
      <c r="B297">
        <v>126977</v>
      </c>
      <c r="C297" s="3">
        <v>21</v>
      </c>
      <c r="D297" t="s">
        <v>19</v>
      </c>
      <c r="E297" t="s">
        <v>3073</v>
      </c>
      <c r="F297" t="s">
        <v>3085</v>
      </c>
      <c r="G297" t="s">
        <v>22</v>
      </c>
      <c r="H297" s="5">
        <v>46023.209918981483</v>
      </c>
      <c r="I297" s="5">
        <v>46028.556481481479</v>
      </c>
      <c r="J297">
        <v>5</v>
      </c>
      <c r="K297" t="s">
        <v>25</v>
      </c>
      <c r="L297" t="s">
        <v>30</v>
      </c>
    </row>
    <row r="298" spans="1:12" x14ac:dyDescent="0.25">
      <c r="A298" t="s">
        <v>1193</v>
      </c>
      <c r="B298">
        <v>127035</v>
      </c>
      <c r="C298" s="3">
        <v>27</v>
      </c>
      <c r="D298" t="s">
        <v>32</v>
      </c>
      <c r="E298" t="s">
        <v>62</v>
      </c>
      <c r="F298" t="s">
        <v>3074</v>
      </c>
      <c r="G298" t="s">
        <v>22</v>
      </c>
      <c r="H298" s="5">
        <v>46024.381180555552</v>
      </c>
      <c r="I298" s="5">
        <v>46029.602546296293</v>
      </c>
      <c r="J298">
        <v>5</v>
      </c>
      <c r="K298" t="s">
        <v>25</v>
      </c>
      <c r="L298" t="s">
        <v>30</v>
      </c>
    </row>
    <row r="299" spans="1:12" x14ac:dyDescent="0.25">
      <c r="A299" t="s">
        <v>1196</v>
      </c>
      <c r="B299">
        <v>91632</v>
      </c>
      <c r="C299" s="3">
        <v>81</v>
      </c>
      <c r="D299" t="s">
        <v>19</v>
      </c>
      <c r="E299" t="s">
        <v>20</v>
      </c>
      <c r="F299" t="s">
        <v>3086</v>
      </c>
      <c r="G299" t="s">
        <v>22</v>
      </c>
      <c r="H299" s="5">
        <v>46024.949502314812</v>
      </c>
      <c r="I299" s="5">
        <v>46030.653055555558</v>
      </c>
      <c r="J299">
        <v>5</v>
      </c>
      <c r="K299" t="s">
        <v>211</v>
      </c>
      <c r="L299" t="s">
        <v>30</v>
      </c>
    </row>
    <row r="300" spans="1:12" x14ac:dyDescent="0.25">
      <c r="A300" t="s">
        <v>1200</v>
      </c>
      <c r="B300">
        <v>126767</v>
      </c>
      <c r="C300" s="3">
        <v>80</v>
      </c>
      <c r="D300" t="s">
        <v>32</v>
      </c>
      <c r="E300" t="s">
        <v>62</v>
      </c>
      <c r="F300" t="s">
        <v>3091</v>
      </c>
      <c r="G300" t="s">
        <v>22</v>
      </c>
      <c r="H300" s="5">
        <v>46025.148912037039</v>
      </c>
      <c r="I300" s="5">
        <v>46030.757638888892</v>
      </c>
      <c r="J300">
        <v>5</v>
      </c>
      <c r="K300" t="s">
        <v>25</v>
      </c>
      <c r="L300" t="s">
        <v>30</v>
      </c>
    </row>
    <row r="301" spans="1:12" x14ac:dyDescent="0.25">
      <c r="A301" t="s">
        <v>1203</v>
      </c>
      <c r="B301">
        <v>127138</v>
      </c>
      <c r="C301" s="3">
        <v>12</v>
      </c>
      <c r="D301" t="s">
        <v>32</v>
      </c>
      <c r="E301" t="s">
        <v>3073</v>
      </c>
      <c r="F301" t="s">
        <v>3076</v>
      </c>
      <c r="G301" t="s">
        <v>22</v>
      </c>
      <c r="H301" s="5">
        <v>46025.280243055553</v>
      </c>
      <c r="I301" s="5">
        <v>46030.716006944444</v>
      </c>
      <c r="J301">
        <v>5</v>
      </c>
      <c r="K301" t="s">
        <v>25</v>
      </c>
      <c r="L301" t="s">
        <v>30</v>
      </c>
    </row>
    <row r="302" spans="1:12" x14ac:dyDescent="0.25">
      <c r="A302" t="s">
        <v>1206</v>
      </c>
      <c r="B302">
        <v>127201</v>
      </c>
      <c r="C302" s="3">
        <v>70</v>
      </c>
      <c r="D302" t="s">
        <v>19</v>
      </c>
      <c r="E302" t="s">
        <v>62</v>
      </c>
      <c r="F302" t="s">
        <v>763</v>
      </c>
      <c r="G302" t="s">
        <v>22</v>
      </c>
      <c r="H302" s="5">
        <v>46026.134988425925</v>
      </c>
      <c r="I302" s="5">
        <v>46031.664618055554</v>
      </c>
      <c r="J302">
        <v>5</v>
      </c>
      <c r="K302" t="s">
        <v>211</v>
      </c>
      <c r="L302" t="s">
        <v>30</v>
      </c>
    </row>
    <row r="303" spans="1:12" x14ac:dyDescent="0.25">
      <c r="A303" t="s">
        <v>1209</v>
      </c>
      <c r="B303">
        <v>127248</v>
      </c>
      <c r="C303" s="3">
        <v>26</v>
      </c>
      <c r="D303" t="s">
        <v>19</v>
      </c>
      <c r="E303" t="s">
        <v>62</v>
      </c>
      <c r="F303" t="s">
        <v>3085</v>
      </c>
      <c r="G303" t="s">
        <v>22</v>
      </c>
      <c r="H303" s="5">
        <v>46026.990763888891</v>
      </c>
      <c r="I303" s="5">
        <v>46032.574641203704</v>
      </c>
      <c r="J303">
        <v>5</v>
      </c>
      <c r="K303" t="s">
        <v>25</v>
      </c>
      <c r="L303" t="s">
        <v>30</v>
      </c>
    </row>
    <row r="304" spans="1:12" x14ac:dyDescent="0.25">
      <c r="A304" t="s">
        <v>1212</v>
      </c>
      <c r="B304">
        <v>127532</v>
      </c>
      <c r="C304" s="3">
        <v>72</v>
      </c>
      <c r="D304" t="s">
        <v>19</v>
      </c>
      <c r="E304" t="s">
        <v>260</v>
      </c>
      <c r="F304" t="s">
        <v>3090</v>
      </c>
      <c r="G304" t="s">
        <v>394</v>
      </c>
      <c r="H304" s="5">
        <v>46028.67869212963</v>
      </c>
      <c r="I304" s="5">
        <v>46034.601412037038</v>
      </c>
      <c r="J304">
        <v>5</v>
      </c>
      <c r="K304" t="s">
        <v>25</v>
      </c>
      <c r="L304" t="s">
        <v>30</v>
      </c>
    </row>
    <row r="305" spans="1:12" x14ac:dyDescent="0.25">
      <c r="A305" t="s">
        <v>1216</v>
      </c>
      <c r="B305">
        <v>127503</v>
      </c>
      <c r="C305" s="3">
        <v>9</v>
      </c>
      <c r="D305" t="s">
        <v>19</v>
      </c>
      <c r="E305" t="s">
        <v>260</v>
      </c>
      <c r="F305" t="s">
        <v>3076</v>
      </c>
      <c r="G305" t="s">
        <v>22</v>
      </c>
      <c r="H305" s="5">
        <v>46028.77275462963</v>
      </c>
      <c r="I305" s="5">
        <v>46034.697650462964</v>
      </c>
      <c r="J305">
        <v>5</v>
      </c>
      <c r="K305" t="s">
        <v>25</v>
      </c>
      <c r="L305" t="s">
        <v>30</v>
      </c>
    </row>
    <row r="306" spans="1:12" x14ac:dyDescent="0.25">
      <c r="A306" t="s">
        <v>1220</v>
      </c>
      <c r="B306">
        <v>127553</v>
      </c>
      <c r="C306" s="3" t="s">
        <v>3088</v>
      </c>
      <c r="D306" t="s">
        <v>19</v>
      </c>
      <c r="E306" t="s">
        <v>20</v>
      </c>
      <c r="F306" t="s">
        <v>3072</v>
      </c>
      <c r="G306" t="s">
        <v>22</v>
      </c>
      <c r="H306" s="5">
        <v>46028.796076388891</v>
      </c>
      <c r="I306" s="5">
        <v>46034.495405092595</v>
      </c>
      <c r="J306">
        <v>5</v>
      </c>
      <c r="K306" t="s">
        <v>211</v>
      </c>
      <c r="L306" t="s">
        <v>30</v>
      </c>
    </row>
    <row r="307" spans="1:12" x14ac:dyDescent="0.25">
      <c r="A307" t="s">
        <v>1223</v>
      </c>
      <c r="B307">
        <v>127558</v>
      </c>
      <c r="C307" s="3">
        <v>36</v>
      </c>
      <c r="D307" t="s">
        <v>32</v>
      </c>
      <c r="E307" t="s">
        <v>62</v>
      </c>
      <c r="F307" t="s">
        <v>3091</v>
      </c>
      <c r="G307" t="s">
        <v>22</v>
      </c>
      <c r="H307" s="5">
        <v>46028.933171296296</v>
      </c>
      <c r="I307" s="5">
        <v>46034.511828703704</v>
      </c>
      <c r="J307">
        <v>5</v>
      </c>
      <c r="K307" t="s">
        <v>25</v>
      </c>
      <c r="L307" t="s">
        <v>30</v>
      </c>
    </row>
    <row r="308" spans="1:12" x14ac:dyDescent="0.25">
      <c r="A308" t="s">
        <v>1227</v>
      </c>
      <c r="B308">
        <v>127560</v>
      </c>
      <c r="C308" s="3" t="s">
        <v>3088</v>
      </c>
      <c r="D308" t="s">
        <v>32</v>
      </c>
      <c r="E308" t="s">
        <v>3073</v>
      </c>
      <c r="F308" t="s">
        <v>3072</v>
      </c>
      <c r="G308" t="s">
        <v>22</v>
      </c>
      <c r="H308" s="5">
        <v>46028.948310185187</v>
      </c>
      <c r="I308" s="5">
        <v>46034.510231481479</v>
      </c>
      <c r="J308">
        <v>5</v>
      </c>
      <c r="K308" t="s">
        <v>25</v>
      </c>
      <c r="L308" t="s">
        <v>30</v>
      </c>
    </row>
    <row r="309" spans="1:12" x14ac:dyDescent="0.25">
      <c r="A309" t="s">
        <v>1230</v>
      </c>
      <c r="B309">
        <v>127561</v>
      </c>
      <c r="C309" s="3">
        <v>19</v>
      </c>
      <c r="D309" t="s">
        <v>19</v>
      </c>
      <c r="E309" t="s">
        <v>62</v>
      </c>
      <c r="F309" t="s">
        <v>3085</v>
      </c>
      <c r="G309" t="s">
        <v>22</v>
      </c>
      <c r="H309" s="5">
        <v>46029.019097222219</v>
      </c>
      <c r="I309" s="5">
        <v>46034.744375000002</v>
      </c>
      <c r="J309">
        <v>5</v>
      </c>
      <c r="K309" t="s">
        <v>25</v>
      </c>
      <c r="L309" t="s">
        <v>30</v>
      </c>
    </row>
    <row r="310" spans="1:12" x14ac:dyDescent="0.25">
      <c r="A310" t="s">
        <v>1233</v>
      </c>
      <c r="B310">
        <v>127433</v>
      </c>
      <c r="C310" s="3">
        <v>6</v>
      </c>
      <c r="D310" t="s">
        <v>19</v>
      </c>
      <c r="E310" t="s">
        <v>3073</v>
      </c>
      <c r="F310" t="s">
        <v>3076</v>
      </c>
      <c r="G310" t="s">
        <v>22</v>
      </c>
      <c r="H310" s="5">
        <v>46029.040486111109</v>
      </c>
      <c r="I310" s="5">
        <v>46034.579872685186</v>
      </c>
      <c r="J310">
        <v>5</v>
      </c>
      <c r="K310" t="s">
        <v>25</v>
      </c>
      <c r="L310" t="s">
        <v>30</v>
      </c>
    </row>
    <row r="311" spans="1:12" x14ac:dyDescent="0.25">
      <c r="A311" t="s">
        <v>1236</v>
      </c>
      <c r="B311">
        <v>127803</v>
      </c>
      <c r="C311" s="3">
        <v>21</v>
      </c>
      <c r="D311" t="s">
        <v>19</v>
      </c>
      <c r="E311" t="s">
        <v>2589</v>
      </c>
      <c r="F311" t="s">
        <v>3086</v>
      </c>
      <c r="G311" t="s">
        <v>22</v>
      </c>
      <c r="H311" s="5">
        <v>46030.936018518521</v>
      </c>
      <c r="I311" s="5">
        <v>46036.354560185187</v>
      </c>
      <c r="J311">
        <v>5</v>
      </c>
      <c r="K311" t="s">
        <v>211</v>
      </c>
      <c r="L311" t="s">
        <v>30</v>
      </c>
    </row>
    <row r="312" spans="1:12" x14ac:dyDescent="0.25">
      <c r="A312" t="s">
        <v>1239</v>
      </c>
      <c r="B312">
        <v>12418</v>
      </c>
      <c r="C312" s="3">
        <v>76</v>
      </c>
      <c r="D312" t="s">
        <v>32</v>
      </c>
      <c r="E312" t="s">
        <v>260</v>
      </c>
      <c r="F312" t="s">
        <v>3090</v>
      </c>
      <c r="G312" t="s">
        <v>394</v>
      </c>
      <c r="H312" s="5">
        <v>46031.807928240742</v>
      </c>
      <c r="I312" s="5">
        <v>46037.653611111113</v>
      </c>
      <c r="J312">
        <v>5</v>
      </c>
      <c r="K312" t="s">
        <v>25</v>
      </c>
      <c r="L312" t="s">
        <v>30</v>
      </c>
    </row>
    <row r="313" spans="1:12" x14ac:dyDescent="0.25">
      <c r="A313" t="s">
        <v>1243</v>
      </c>
      <c r="B313">
        <v>127951</v>
      </c>
      <c r="C313" s="3">
        <v>40</v>
      </c>
      <c r="D313" t="s">
        <v>32</v>
      </c>
      <c r="E313" t="s">
        <v>3073</v>
      </c>
      <c r="F313" t="s">
        <v>3074</v>
      </c>
      <c r="G313" t="s">
        <v>22</v>
      </c>
      <c r="H313" s="5">
        <v>46031.895949074074</v>
      </c>
      <c r="I313" s="5">
        <v>46037.435937499999</v>
      </c>
      <c r="J313">
        <v>5</v>
      </c>
      <c r="K313" t="s">
        <v>25</v>
      </c>
      <c r="L313" t="s">
        <v>30</v>
      </c>
    </row>
    <row r="314" spans="1:12" x14ac:dyDescent="0.25">
      <c r="A314" t="s">
        <v>1246</v>
      </c>
      <c r="B314">
        <v>128024</v>
      </c>
      <c r="C314" s="3">
        <v>46</v>
      </c>
      <c r="D314" t="s">
        <v>32</v>
      </c>
      <c r="E314" t="s">
        <v>3073</v>
      </c>
      <c r="F314" t="s">
        <v>3091</v>
      </c>
      <c r="G314" t="s">
        <v>22</v>
      </c>
      <c r="H314" s="5">
        <v>46033.213946759257</v>
      </c>
      <c r="I314" s="5">
        <v>46038.695324074077</v>
      </c>
      <c r="J314">
        <v>5</v>
      </c>
      <c r="K314" t="s">
        <v>25</v>
      </c>
      <c r="L314" t="s">
        <v>30</v>
      </c>
    </row>
    <row r="315" spans="1:12" x14ac:dyDescent="0.25">
      <c r="A315" t="s">
        <v>1249</v>
      </c>
      <c r="B315">
        <v>128068</v>
      </c>
      <c r="C315" s="3">
        <v>22</v>
      </c>
      <c r="D315" t="s">
        <v>32</v>
      </c>
      <c r="E315" t="s">
        <v>3073</v>
      </c>
      <c r="F315" t="s">
        <v>3074</v>
      </c>
      <c r="G315" t="s">
        <v>22</v>
      </c>
      <c r="H315" s="5">
        <v>46034.305405092593</v>
      </c>
      <c r="I315" s="5">
        <v>46039.612743055557</v>
      </c>
      <c r="J315">
        <v>5</v>
      </c>
      <c r="K315" t="s">
        <v>25</v>
      </c>
      <c r="L315" t="s">
        <v>30</v>
      </c>
    </row>
    <row r="316" spans="1:12" x14ac:dyDescent="0.25">
      <c r="A316" t="s">
        <v>1252</v>
      </c>
      <c r="B316">
        <v>128194</v>
      </c>
      <c r="C316" s="3">
        <v>22</v>
      </c>
      <c r="D316" t="s">
        <v>32</v>
      </c>
      <c r="E316" t="s">
        <v>3073</v>
      </c>
      <c r="F316" t="s">
        <v>3074</v>
      </c>
      <c r="G316" t="s">
        <v>22</v>
      </c>
      <c r="H316" s="5">
        <v>46035.439293981479</v>
      </c>
      <c r="I316" s="5">
        <v>46040.782500000001</v>
      </c>
      <c r="J316">
        <v>5</v>
      </c>
      <c r="K316" t="s">
        <v>25</v>
      </c>
      <c r="L316" t="s">
        <v>30</v>
      </c>
    </row>
    <row r="317" spans="1:12" x14ac:dyDescent="0.25">
      <c r="A317" t="s">
        <v>1255</v>
      </c>
      <c r="B317">
        <v>128305</v>
      </c>
      <c r="C317" s="3">
        <v>39</v>
      </c>
      <c r="D317" t="s">
        <v>19</v>
      </c>
      <c r="E317" t="s">
        <v>2589</v>
      </c>
      <c r="F317" t="s">
        <v>3086</v>
      </c>
      <c r="G317" t="s">
        <v>22</v>
      </c>
      <c r="H317" s="5">
        <v>46035.875393518516</v>
      </c>
      <c r="I317" s="5">
        <v>46041.589421296296</v>
      </c>
      <c r="J317">
        <v>5</v>
      </c>
      <c r="K317" t="s">
        <v>25</v>
      </c>
      <c r="L317" t="s">
        <v>30</v>
      </c>
    </row>
    <row r="318" spans="1:12" x14ac:dyDescent="0.25">
      <c r="A318" t="s">
        <v>1258</v>
      </c>
      <c r="B318">
        <v>17945</v>
      </c>
      <c r="C318" s="3">
        <v>23</v>
      </c>
      <c r="D318" t="s">
        <v>32</v>
      </c>
      <c r="E318" t="s">
        <v>3073</v>
      </c>
      <c r="F318" t="s">
        <v>3074</v>
      </c>
      <c r="G318" t="s">
        <v>664</v>
      </c>
      <c r="H318" s="5">
        <v>46036.287465277775</v>
      </c>
      <c r="I318" s="5">
        <v>46041.554942129631</v>
      </c>
      <c r="J318">
        <v>5</v>
      </c>
      <c r="K318" t="s">
        <v>25</v>
      </c>
      <c r="L318" t="s">
        <v>30</v>
      </c>
    </row>
    <row r="319" spans="1:12" x14ac:dyDescent="0.25">
      <c r="A319" t="s">
        <v>1261</v>
      </c>
      <c r="B319">
        <v>128370</v>
      </c>
      <c r="C319" s="3">
        <v>71</v>
      </c>
      <c r="D319" t="s">
        <v>19</v>
      </c>
      <c r="E319" t="s">
        <v>3073</v>
      </c>
      <c r="F319" t="s">
        <v>3086</v>
      </c>
      <c r="G319" t="s">
        <v>22</v>
      </c>
      <c r="H319" s="5">
        <v>46036.764421296299</v>
      </c>
      <c r="I319" s="5">
        <v>46042.492083333331</v>
      </c>
      <c r="J319">
        <v>5</v>
      </c>
      <c r="K319" t="s">
        <v>211</v>
      </c>
      <c r="L319" t="s">
        <v>30</v>
      </c>
    </row>
    <row r="320" spans="1:12" x14ac:dyDescent="0.25">
      <c r="A320" t="s">
        <v>1266</v>
      </c>
      <c r="B320">
        <v>103757</v>
      </c>
      <c r="C320" s="3" t="s">
        <v>3080</v>
      </c>
      <c r="D320" t="s">
        <v>19</v>
      </c>
      <c r="E320" t="s">
        <v>62</v>
      </c>
      <c r="F320" t="s">
        <v>3076</v>
      </c>
      <c r="G320" t="s">
        <v>22</v>
      </c>
      <c r="H320" s="5">
        <v>46037.637395833335</v>
      </c>
      <c r="I320" s="5">
        <v>46042.756249999999</v>
      </c>
      <c r="J320">
        <v>5</v>
      </c>
      <c r="K320" t="s">
        <v>25</v>
      </c>
      <c r="L320" t="s">
        <v>30</v>
      </c>
    </row>
    <row r="321" spans="1:12" x14ac:dyDescent="0.25">
      <c r="A321" t="s">
        <v>1269</v>
      </c>
      <c r="B321">
        <v>128543</v>
      </c>
      <c r="C321" s="3">
        <v>47</v>
      </c>
      <c r="D321" t="s">
        <v>19</v>
      </c>
      <c r="E321" t="s">
        <v>20</v>
      </c>
      <c r="F321" t="s">
        <v>3085</v>
      </c>
      <c r="G321" t="s">
        <v>22</v>
      </c>
      <c r="H321" s="5">
        <v>46037.806157407409</v>
      </c>
      <c r="I321" s="5">
        <v>46043.581099537034</v>
      </c>
      <c r="J321">
        <v>5</v>
      </c>
      <c r="K321" t="s">
        <v>25</v>
      </c>
      <c r="L321" t="s">
        <v>30</v>
      </c>
    </row>
    <row r="322" spans="1:12" x14ac:dyDescent="0.25">
      <c r="A322" t="s">
        <v>1272</v>
      </c>
      <c r="B322">
        <v>128563</v>
      </c>
      <c r="C322" s="3">
        <v>40</v>
      </c>
      <c r="D322" t="s">
        <v>32</v>
      </c>
      <c r="E322" t="s">
        <v>260</v>
      </c>
      <c r="F322" t="s">
        <v>3074</v>
      </c>
      <c r="G322" t="s">
        <v>22</v>
      </c>
      <c r="H322" s="5">
        <v>46037.890416666669</v>
      </c>
      <c r="I322" s="5">
        <v>46043.637777777774</v>
      </c>
      <c r="J322">
        <v>5</v>
      </c>
      <c r="K322" t="s">
        <v>25</v>
      </c>
      <c r="L322" t="s">
        <v>30</v>
      </c>
    </row>
    <row r="323" spans="1:12" x14ac:dyDescent="0.25">
      <c r="A323" t="s">
        <v>1275</v>
      </c>
      <c r="B323">
        <v>128856</v>
      </c>
      <c r="C323" s="3">
        <v>40</v>
      </c>
      <c r="D323" t="s">
        <v>32</v>
      </c>
      <c r="E323" t="s">
        <v>62</v>
      </c>
      <c r="F323" t="s">
        <v>3077</v>
      </c>
      <c r="G323" t="s">
        <v>22</v>
      </c>
      <c r="H323" s="5">
        <v>46041.870763888888</v>
      </c>
      <c r="I323" s="5">
        <v>46047.468043981484</v>
      </c>
      <c r="J323">
        <v>5</v>
      </c>
      <c r="K323" t="s">
        <v>25</v>
      </c>
      <c r="L323" t="s">
        <v>30</v>
      </c>
    </row>
    <row r="324" spans="1:12" x14ac:dyDescent="0.25">
      <c r="A324" t="s">
        <v>1278</v>
      </c>
      <c r="B324">
        <v>104346</v>
      </c>
      <c r="C324" s="3">
        <v>29</v>
      </c>
      <c r="D324" t="s">
        <v>32</v>
      </c>
      <c r="E324" t="s">
        <v>3073</v>
      </c>
      <c r="F324" t="s">
        <v>3090</v>
      </c>
      <c r="G324" t="s">
        <v>394</v>
      </c>
      <c r="H324" s="5">
        <v>46042.515138888892</v>
      </c>
      <c r="I324" s="5">
        <v>46047.639884259261</v>
      </c>
      <c r="J324">
        <v>5</v>
      </c>
      <c r="K324" t="s">
        <v>25</v>
      </c>
      <c r="L324" t="s">
        <v>30</v>
      </c>
    </row>
    <row r="325" spans="1:12" x14ac:dyDescent="0.25">
      <c r="A325" t="s">
        <v>1282</v>
      </c>
      <c r="B325">
        <v>127164</v>
      </c>
      <c r="C325" s="3">
        <v>35</v>
      </c>
      <c r="D325" t="s">
        <v>32</v>
      </c>
      <c r="E325" t="s">
        <v>3073</v>
      </c>
      <c r="F325" t="s">
        <v>3091</v>
      </c>
      <c r="G325" t="s">
        <v>22</v>
      </c>
      <c r="H325" s="5">
        <v>46043.588842592595</v>
      </c>
      <c r="I325" s="5">
        <v>46049.377638888887</v>
      </c>
      <c r="J325">
        <v>5</v>
      </c>
      <c r="K325" t="s">
        <v>211</v>
      </c>
      <c r="L325" t="s">
        <v>30</v>
      </c>
    </row>
    <row r="326" spans="1:12" x14ac:dyDescent="0.25">
      <c r="A326" t="s">
        <v>1286</v>
      </c>
      <c r="B326">
        <v>129195</v>
      </c>
      <c r="C326" s="3">
        <v>29</v>
      </c>
      <c r="D326" t="s">
        <v>19</v>
      </c>
      <c r="E326" t="s">
        <v>2589</v>
      </c>
      <c r="F326" t="s">
        <v>3085</v>
      </c>
      <c r="G326" t="s">
        <v>22</v>
      </c>
      <c r="H326" s="5">
        <v>46043.995613425926</v>
      </c>
      <c r="I326" s="5">
        <v>46049.725393518522</v>
      </c>
      <c r="J326">
        <v>5</v>
      </c>
      <c r="K326" t="s">
        <v>112</v>
      </c>
      <c r="L326" t="s">
        <v>30</v>
      </c>
    </row>
    <row r="327" spans="1:12" x14ac:dyDescent="0.25">
      <c r="A327" t="s">
        <v>1289</v>
      </c>
      <c r="B327">
        <v>129250</v>
      </c>
      <c r="C327" s="3" t="s">
        <v>3088</v>
      </c>
      <c r="D327" t="s">
        <v>32</v>
      </c>
      <c r="E327" t="s">
        <v>3073</v>
      </c>
      <c r="F327" t="s">
        <v>3072</v>
      </c>
      <c r="G327" t="s">
        <v>22</v>
      </c>
      <c r="H327" s="5">
        <v>46044.754247685189</v>
      </c>
      <c r="I327" s="5">
        <v>46050.571157407408</v>
      </c>
      <c r="J327">
        <v>5</v>
      </c>
      <c r="K327" t="s">
        <v>25</v>
      </c>
      <c r="L327" t="s">
        <v>30</v>
      </c>
    </row>
    <row r="328" spans="1:12" x14ac:dyDescent="0.25">
      <c r="A328" t="s">
        <v>1292</v>
      </c>
      <c r="B328">
        <v>129387</v>
      </c>
      <c r="C328" s="3" t="s">
        <v>3092</v>
      </c>
      <c r="D328" t="s">
        <v>32</v>
      </c>
      <c r="E328" t="s">
        <v>3073</v>
      </c>
      <c r="F328" t="s">
        <v>3072</v>
      </c>
      <c r="G328" t="s">
        <v>22</v>
      </c>
      <c r="H328" s="5">
        <v>46045.586504629631</v>
      </c>
      <c r="I328" s="5">
        <v>46051.34847222222</v>
      </c>
      <c r="J328">
        <v>5</v>
      </c>
      <c r="K328" t="s">
        <v>25</v>
      </c>
      <c r="L328" t="s">
        <v>30</v>
      </c>
    </row>
    <row r="329" spans="1:12" x14ac:dyDescent="0.25">
      <c r="A329" t="s">
        <v>1295</v>
      </c>
      <c r="B329">
        <v>129412</v>
      </c>
      <c r="C329" s="3" t="s">
        <v>3088</v>
      </c>
      <c r="D329" t="s">
        <v>32</v>
      </c>
      <c r="E329" t="s">
        <v>3073</v>
      </c>
      <c r="F329" t="s">
        <v>3072</v>
      </c>
      <c r="G329" t="s">
        <v>22</v>
      </c>
      <c r="H329" s="5">
        <v>46045.609849537039</v>
      </c>
      <c r="I329" s="5">
        <v>46051.601759259262</v>
      </c>
      <c r="J329">
        <v>5</v>
      </c>
      <c r="K329" t="s">
        <v>25</v>
      </c>
      <c r="L329" t="s">
        <v>30</v>
      </c>
    </row>
    <row r="330" spans="1:12" x14ac:dyDescent="0.25">
      <c r="A330" t="s">
        <v>1298</v>
      </c>
      <c r="B330">
        <v>16509</v>
      </c>
      <c r="C330" s="3">
        <v>41</v>
      </c>
      <c r="D330" t="s">
        <v>32</v>
      </c>
      <c r="E330" t="s">
        <v>227</v>
      </c>
      <c r="F330" t="s">
        <v>3090</v>
      </c>
      <c r="G330" t="s">
        <v>394</v>
      </c>
      <c r="H330" s="5">
        <v>46047.488657407404</v>
      </c>
      <c r="I330" s="5">
        <v>46052.52853009259</v>
      </c>
      <c r="J330">
        <v>5</v>
      </c>
      <c r="K330" t="s">
        <v>25</v>
      </c>
      <c r="L330" t="s">
        <v>30</v>
      </c>
    </row>
    <row r="331" spans="1:12" x14ac:dyDescent="0.25">
      <c r="A331" t="s">
        <v>1301</v>
      </c>
      <c r="B331">
        <v>129537</v>
      </c>
      <c r="C331" s="3" t="s">
        <v>3092</v>
      </c>
      <c r="D331" t="s">
        <v>19</v>
      </c>
      <c r="E331" t="s">
        <v>2589</v>
      </c>
      <c r="F331" t="s">
        <v>3072</v>
      </c>
      <c r="G331" t="s">
        <v>22</v>
      </c>
      <c r="H331" s="5">
        <v>46047.61990740741</v>
      </c>
      <c r="I331" s="5">
        <v>46052.741412037038</v>
      </c>
      <c r="J331">
        <v>5</v>
      </c>
      <c r="K331" t="s">
        <v>25</v>
      </c>
      <c r="L331" t="s">
        <v>30</v>
      </c>
    </row>
    <row r="332" spans="1:12" x14ac:dyDescent="0.25">
      <c r="A332" t="s">
        <v>1304</v>
      </c>
      <c r="B332">
        <v>129563</v>
      </c>
      <c r="C332" s="3">
        <v>30</v>
      </c>
      <c r="D332" t="s">
        <v>19</v>
      </c>
      <c r="E332" t="s">
        <v>20</v>
      </c>
      <c r="F332" t="s">
        <v>3086</v>
      </c>
      <c r="G332" t="s">
        <v>22</v>
      </c>
      <c r="H332" s="5">
        <v>46048.073888888888</v>
      </c>
      <c r="I332" s="5">
        <v>46053.744432870371</v>
      </c>
      <c r="J332">
        <v>5</v>
      </c>
      <c r="K332" t="s">
        <v>112</v>
      </c>
      <c r="L332" t="s">
        <v>30</v>
      </c>
    </row>
    <row r="333" spans="1:12" x14ac:dyDescent="0.25">
      <c r="A333" t="s">
        <v>1307</v>
      </c>
      <c r="B333">
        <v>126586</v>
      </c>
      <c r="C333" s="3">
        <v>70</v>
      </c>
      <c r="D333" t="s">
        <v>32</v>
      </c>
      <c r="E333" t="s">
        <v>20</v>
      </c>
      <c r="F333" t="s">
        <v>3091</v>
      </c>
      <c r="G333" t="s">
        <v>22</v>
      </c>
      <c r="H333" s="5">
        <v>46019.834351851852</v>
      </c>
      <c r="I333" s="5">
        <v>46024.574803240743</v>
      </c>
      <c r="J333">
        <v>4</v>
      </c>
      <c r="K333" t="s">
        <v>25</v>
      </c>
      <c r="L333" t="s">
        <v>30</v>
      </c>
    </row>
    <row r="334" spans="1:12" x14ac:dyDescent="0.25">
      <c r="A334" t="s">
        <v>1310</v>
      </c>
      <c r="B334">
        <v>18145</v>
      </c>
      <c r="C334" s="3">
        <v>23</v>
      </c>
      <c r="D334" t="s">
        <v>32</v>
      </c>
      <c r="E334" t="s">
        <v>227</v>
      </c>
      <c r="F334" t="s">
        <v>3074</v>
      </c>
      <c r="G334" t="s">
        <v>22</v>
      </c>
      <c r="H334" s="5">
        <v>46019.83494212963</v>
      </c>
      <c r="I334" s="5">
        <v>46024.501296296294</v>
      </c>
      <c r="J334">
        <v>4</v>
      </c>
      <c r="K334" t="s">
        <v>25</v>
      </c>
      <c r="L334" t="s">
        <v>30</v>
      </c>
    </row>
    <row r="335" spans="1:12" x14ac:dyDescent="0.25">
      <c r="A335" t="s">
        <v>1313</v>
      </c>
      <c r="B335">
        <v>126661</v>
      </c>
      <c r="C335" s="3">
        <v>35</v>
      </c>
      <c r="D335" t="s">
        <v>32</v>
      </c>
      <c r="E335" t="s">
        <v>2589</v>
      </c>
      <c r="F335" t="s">
        <v>3074</v>
      </c>
      <c r="G335" t="s">
        <v>22</v>
      </c>
      <c r="H335" s="5">
        <v>46020.48474537037</v>
      </c>
      <c r="I335" s="5">
        <v>46024.684918981482</v>
      </c>
      <c r="J335">
        <v>4</v>
      </c>
      <c r="K335" t="s">
        <v>112</v>
      </c>
      <c r="L335" t="s">
        <v>30</v>
      </c>
    </row>
    <row r="336" spans="1:12" x14ac:dyDescent="0.25">
      <c r="A336" t="s">
        <v>1316</v>
      </c>
      <c r="B336">
        <v>126709</v>
      </c>
      <c r="C336" s="3">
        <v>45</v>
      </c>
      <c r="D336" t="s">
        <v>32</v>
      </c>
      <c r="E336" t="s">
        <v>3073</v>
      </c>
      <c r="F336" t="s">
        <v>3091</v>
      </c>
      <c r="G336" t="s">
        <v>22</v>
      </c>
      <c r="H336" s="5">
        <v>46020.828576388885</v>
      </c>
      <c r="I336" s="5">
        <v>46025.79515046296</v>
      </c>
      <c r="J336">
        <v>4</v>
      </c>
      <c r="K336" t="s">
        <v>112</v>
      </c>
      <c r="L336" t="s">
        <v>30</v>
      </c>
    </row>
    <row r="337" spans="1:12" x14ac:dyDescent="0.25">
      <c r="A337" t="s">
        <v>1319</v>
      </c>
      <c r="B337">
        <v>39867</v>
      </c>
      <c r="C337" s="3">
        <v>83</v>
      </c>
      <c r="D337" t="s">
        <v>19</v>
      </c>
      <c r="E337" t="s">
        <v>227</v>
      </c>
      <c r="F337" t="s">
        <v>3090</v>
      </c>
      <c r="G337" t="s">
        <v>394</v>
      </c>
      <c r="H337" s="5">
        <v>46020.936111111114</v>
      </c>
      <c r="I337" s="5">
        <v>46025.717974537038</v>
      </c>
      <c r="J337">
        <v>4</v>
      </c>
      <c r="K337" t="s">
        <v>25</v>
      </c>
      <c r="L337" t="s">
        <v>30</v>
      </c>
    </row>
    <row r="338" spans="1:12" x14ac:dyDescent="0.25">
      <c r="A338" t="s">
        <v>1322</v>
      </c>
      <c r="B338">
        <v>126626</v>
      </c>
      <c r="C338" s="3">
        <v>50</v>
      </c>
      <c r="D338" t="s">
        <v>32</v>
      </c>
      <c r="E338" t="s">
        <v>260</v>
      </c>
      <c r="F338" t="s">
        <v>3077</v>
      </c>
      <c r="G338" t="s">
        <v>22</v>
      </c>
      <c r="H338" s="5">
        <v>46021.404108796298</v>
      </c>
      <c r="I338" s="5">
        <v>46025.643587962964</v>
      </c>
      <c r="J338">
        <v>4</v>
      </c>
      <c r="K338" t="s">
        <v>25</v>
      </c>
      <c r="L338" t="s">
        <v>30</v>
      </c>
    </row>
    <row r="339" spans="1:12" x14ac:dyDescent="0.25">
      <c r="A339" t="s">
        <v>1325</v>
      </c>
      <c r="B339">
        <v>126781</v>
      </c>
      <c r="C339" s="3">
        <v>33</v>
      </c>
      <c r="D339" t="s">
        <v>32</v>
      </c>
      <c r="E339" t="s">
        <v>3073</v>
      </c>
      <c r="F339" t="s">
        <v>3074</v>
      </c>
      <c r="G339" t="s">
        <v>22</v>
      </c>
      <c r="H339" s="5">
        <v>46021.494826388887</v>
      </c>
      <c r="I339" s="5">
        <v>46025.698020833333</v>
      </c>
      <c r="J339">
        <v>4</v>
      </c>
      <c r="K339" t="s">
        <v>25</v>
      </c>
      <c r="L339" t="s">
        <v>30</v>
      </c>
    </row>
    <row r="340" spans="1:12" x14ac:dyDescent="0.25">
      <c r="A340" t="s">
        <v>1328</v>
      </c>
      <c r="B340">
        <v>126850</v>
      </c>
      <c r="C340" s="3">
        <v>24</v>
      </c>
      <c r="D340" t="s">
        <v>32</v>
      </c>
      <c r="E340" t="s">
        <v>62</v>
      </c>
      <c r="F340" t="s">
        <v>3074</v>
      </c>
      <c r="G340" t="s">
        <v>22</v>
      </c>
      <c r="H340" s="5">
        <v>46021.687025462961</v>
      </c>
      <c r="I340" s="5">
        <v>46026.67597222222</v>
      </c>
      <c r="J340">
        <v>4</v>
      </c>
      <c r="K340" t="s">
        <v>25</v>
      </c>
      <c r="L340" t="s">
        <v>30</v>
      </c>
    </row>
    <row r="341" spans="1:12" x14ac:dyDescent="0.25">
      <c r="A341" t="s">
        <v>1331</v>
      </c>
      <c r="B341">
        <v>126863</v>
      </c>
      <c r="C341" s="3">
        <v>25</v>
      </c>
      <c r="D341" t="s">
        <v>32</v>
      </c>
      <c r="E341" t="s">
        <v>62</v>
      </c>
      <c r="F341" t="s">
        <v>3074</v>
      </c>
      <c r="G341" t="s">
        <v>22</v>
      </c>
      <c r="H341" s="5">
        <v>46021.904733796298</v>
      </c>
      <c r="I341" s="5">
        <v>46026.647083333337</v>
      </c>
      <c r="J341">
        <v>4</v>
      </c>
      <c r="K341" t="s">
        <v>25</v>
      </c>
      <c r="L341" t="s">
        <v>30</v>
      </c>
    </row>
    <row r="342" spans="1:12" x14ac:dyDescent="0.25">
      <c r="A342" t="s">
        <v>1334</v>
      </c>
      <c r="B342">
        <v>126864</v>
      </c>
      <c r="C342" s="3">
        <v>20</v>
      </c>
      <c r="D342" t="s">
        <v>32</v>
      </c>
      <c r="E342" t="s">
        <v>3073</v>
      </c>
      <c r="F342" t="s">
        <v>3077</v>
      </c>
      <c r="G342" t="s">
        <v>22</v>
      </c>
      <c r="H342" s="5">
        <v>46022.333148148151</v>
      </c>
      <c r="I342" s="5">
        <v>46026.651736111111</v>
      </c>
      <c r="J342">
        <v>4</v>
      </c>
      <c r="K342" t="s">
        <v>112</v>
      </c>
      <c r="L342" t="s">
        <v>30</v>
      </c>
    </row>
    <row r="343" spans="1:12" x14ac:dyDescent="0.25">
      <c r="A343" t="s">
        <v>1338</v>
      </c>
      <c r="B343">
        <v>126691</v>
      </c>
      <c r="C343" s="3">
        <v>12</v>
      </c>
      <c r="D343" t="s">
        <v>19</v>
      </c>
      <c r="E343" t="s">
        <v>62</v>
      </c>
      <c r="F343" t="s">
        <v>3076</v>
      </c>
      <c r="G343" t="s">
        <v>22</v>
      </c>
      <c r="H343" s="5">
        <v>46022.598495370374</v>
      </c>
      <c r="I343" s="5">
        <v>46027.597569444442</v>
      </c>
      <c r="J343">
        <v>4</v>
      </c>
      <c r="K343" t="s">
        <v>25</v>
      </c>
      <c r="L343" t="s">
        <v>30</v>
      </c>
    </row>
    <row r="344" spans="1:12" x14ac:dyDescent="0.25">
      <c r="A344" t="s">
        <v>1341</v>
      </c>
      <c r="B344">
        <v>126972</v>
      </c>
      <c r="C344" s="3" t="s">
        <v>3088</v>
      </c>
      <c r="D344" t="s">
        <v>19</v>
      </c>
      <c r="E344" t="s">
        <v>62</v>
      </c>
      <c r="F344" t="s">
        <v>3072</v>
      </c>
      <c r="G344" t="s">
        <v>22</v>
      </c>
      <c r="H344" s="5">
        <v>46023.056342592594</v>
      </c>
      <c r="I344" s="5">
        <v>46027.772951388892</v>
      </c>
      <c r="J344">
        <v>4</v>
      </c>
      <c r="K344" t="s">
        <v>25</v>
      </c>
      <c r="L344" t="s">
        <v>30</v>
      </c>
    </row>
    <row r="345" spans="1:12" x14ac:dyDescent="0.25">
      <c r="A345" t="s">
        <v>1344</v>
      </c>
      <c r="B345">
        <v>126980</v>
      </c>
      <c r="C345" s="3">
        <v>26</v>
      </c>
      <c r="D345" t="s">
        <v>32</v>
      </c>
      <c r="E345" t="s">
        <v>3073</v>
      </c>
      <c r="F345" t="s">
        <v>3077</v>
      </c>
      <c r="G345" t="s">
        <v>22</v>
      </c>
      <c r="H345" s="5">
        <v>46023.652245370373</v>
      </c>
      <c r="I345" s="5">
        <v>46027.733946759261</v>
      </c>
      <c r="J345">
        <v>4</v>
      </c>
      <c r="K345" t="s">
        <v>25</v>
      </c>
      <c r="L345" t="s">
        <v>30</v>
      </c>
    </row>
    <row r="346" spans="1:12" x14ac:dyDescent="0.25">
      <c r="A346" t="s">
        <v>1347</v>
      </c>
      <c r="B346">
        <v>127043</v>
      </c>
      <c r="C346" s="3" t="s">
        <v>3088</v>
      </c>
      <c r="D346" t="s">
        <v>19</v>
      </c>
      <c r="E346" t="s">
        <v>62</v>
      </c>
      <c r="F346" t="s">
        <v>3072</v>
      </c>
      <c r="G346" t="s">
        <v>22</v>
      </c>
      <c r="H346" s="5">
        <v>46024.4375</v>
      </c>
      <c r="I346" s="5">
        <v>46028.552291666667</v>
      </c>
      <c r="J346">
        <v>4</v>
      </c>
      <c r="K346" t="s">
        <v>211</v>
      </c>
      <c r="L346" t="s">
        <v>30</v>
      </c>
    </row>
    <row r="347" spans="1:12" x14ac:dyDescent="0.25">
      <c r="A347" t="s">
        <v>1350</v>
      </c>
      <c r="B347">
        <v>127041</v>
      </c>
      <c r="C347" s="3" t="s">
        <v>3088</v>
      </c>
      <c r="D347" t="s">
        <v>19</v>
      </c>
      <c r="E347" t="s">
        <v>62</v>
      </c>
      <c r="F347" t="s">
        <v>3072</v>
      </c>
      <c r="G347" t="s">
        <v>22</v>
      </c>
      <c r="H347" s="5">
        <v>46024.451238425929</v>
      </c>
      <c r="I347" s="5">
        <v>46028.552546296298</v>
      </c>
      <c r="J347">
        <v>4</v>
      </c>
      <c r="K347" t="s">
        <v>211</v>
      </c>
      <c r="L347" t="s">
        <v>30</v>
      </c>
    </row>
    <row r="348" spans="1:12" x14ac:dyDescent="0.25">
      <c r="A348" t="s">
        <v>1353</v>
      </c>
      <c r="B348">
        <v>127118</v>
      </c>
      <c r="C348" s="3">
        <v>25</v>
      </c>
      <c r="D348" t="s">
        <v>32</v>
      </c>
      <c r="E348" t="s">
        <v>62</v>
      </c>
      <c r="F348" t="s">
        <v>3074</v>
      </c>
      <c r="G348" t="s">
        <v>22</v>
      </c>
      <c r="H348" s="5">
        <v>46024.768310185187</v>
      </c>
      <c r="I348" s="5">
        <v>46029.759016203701</v>
      </c>
      <c r="J348">
        <v>4</v>
      </c>
      <c r="K348" t="s">
        <v>25</v>
      </c>
      <c r="L348" t="s">
        <v>30</v>
      </c>
    </row>
    <row r="349" spans="1:12" x14ac:dyDescent="0.25">
      <c r="A349" t="s">
        <v>1356</v>
      </c>
      <c r="B349">
        <v>127122</v>
      </c>
      <c r="C349" s="3">
        <v>29</v>
      </c>
      <c r="D349" t="s">
        <v>19</v>
      </c>
      <c r="E349" t="s">
        <v>2589</v>
      </c>
      <c r="F349" t="s">
        <v>3085</v>
      </c>
      <c r="G349" t="s">
        <v>22</v>
      </c>
      <c r="H349" s="5">
        <v>46025.000937500001</v>
      </c>
      <c r="I349" s="5">
        <v>46029.430381944447</v>
      </c>
      <c r="J349">
        <v>4</v>
      </c>
      <c r="K349" t="s">
        <v>25</v>
      </c>
      <c r="L349" t="s">
        <v>30</v>
      </c>
    </row>
    <row r="350" spans="1:12" x14ac:dyDescent="0.25">
      <c r="A350" t="s">
        <v>1359</v>
      </c>
      <c r="B350">
        <v>127120</v>
      </c>
      <c r="C350" s="3">
        <v>18</v>
      </c>
      <c r="D350" t="s">
        <v>19</v>
      </c>
      <c r="E350" t="s">
        <v>2589</v>
      </c>
      <c r="F350" t="s">
        <v>3085</v>
      </c>
      <c r="G350" t="s">
        <v>22</v>
      </c>
      <c r="H350" s="5">
        <v>46025.063877314817</v>
      </c>
      <c r="I350" s="5">
        <v>46029.735555555555</v>
      </c>
      <c r="J350">
        <v>4</v>
      </c>
      <c r="K350" t="s">
        <v>25</v>
      </c>
      <c r="L350" t="s">
        <v>30</v>
      </c>
    </row>
    <row r="351" spans="1:12" x14ac:dyDescent="0.25">
      <c r="A351" t="s">
        <v>1362</v>
      </c>
      <c r="B351">
        <v>127139</v>
      </c>
      <c r="C351" s="3">
        <v>1</v>
      </c>
      <c r="D351" t="s">
        <v>19</v>
      </c>
      <c r="E351" t="s">
        <v>3073</v>
      </c>
      <c r="F351" t="s">
        <v>3076</v>
      </c>
      <c r="G351" t="s">
        <v>22</v>
      </c>
      <c r="H351" s="5">
        <v>46025.281967592593</v>
      </c>
      <c r="I351" s="5">
        <v>46029.670312499999</v>
      </c>
      <c r="J351">
        <v>4</v>
      </c>
      <c r="K351" t="s">
        <v>112</v>
      </c>
      <c r="L351" t="s">
        <v>30</v>
      </c>
    </row>
    <row r="352" spans="1:12" x14ac:dyDescent="0.25">
      <c r="A352" t="s">
        <v>1365</v>
      </c>
      <c r="B352">
        <v>127193</v>
      </c>
      <c r="C352" s="3">
        <v>20</v>
      </c>
      <c r="D352" t="s">
        <v>32</v>
      </c>
      <c r="E352" t="s">
        <v>62</v>
      </c>
      <c r="F352" t="s">
        <v>3074</v>
      </c>
      <c r="G352" t="s">
        <v>22</v>
      </c>
      <c r="H352" s="5">
        <v>46025.870798611111</v>
      </c>
      <c r="I352" s="5">
        <v>46030.619212962964</v>
      </c>
      <c r="J352">
        <v>4</v>
      </c>
      <c r="K352" t="s">
        <v>25</v>
      </c>
      <c r="L352" t="s">
        <v>30</v>
      </c>
    </row>
    <row r="353" spans="1:12" x14ac:dyDescent="0.25">
      <c r="A353" t="s">
        <v>1368</v>
      </c>
      <c r="B353">
        <v>127211</v>
      </c>
      <c r="C353" s="3">
        <v>1</v>
      </c>
      <c r="D353" t="s">
        <v>19</v>
      </c>
      <c r="E353" t="s">
        <v>3073</v>
      </c>
      <c r="F353" t="s">
        <v>3076</v>
      </c>
      <c r="G353" t="s">
        <v>22</v>
      </c>
      <c r="H353" s="5">
        <v>46026.531793981485</v>
      </c>
      <c r="I353" s="5">
        <v>46030.62699074074</v>
      </c>
      <c r="J353">
        <v>4</v>
      </c>
      <c r="K353" t="s">
        <v>25</v>
      </c>
      <c r="L353" t="s">
        <v>30</v>
      </c>
    </row>
    <row r="354" spans="1:12" x14ac:dyDescent="0.25">
      <c r="A354" t="s">
        <v>1371</v>
      </c>
      <c r="B354">
        <v>127209</v>
      </c>
      <c r="C354" s="3">
        <v>38</v>
      </c>
      <c r="D354" t="s">
        <v>32</v>
      </c>
      <c r="E354" t="s">
        <v>3073</v>
      </c>
      <c r="F354" t="s">
        <v>3077</v>
      </c>
      <c r="G354" t="s">
        <v>216</v>
      </c>
      <c r="H354" s="5">
        <v>46026.562094907407</v>
      </c>
      <c r="I354" s="5">
        <v>46030.741574074076</v>
      </c>
      <c r="J354">
        <v>4</v>
      </c>
      <c r="K354" t="s">
        <v>25</v>
      </c>
      <c r="L354" t="s">
        <v>30</v>
      </c>
    </row>
    <row r="355" spans="1:12" x14ac:dyDescent="0.25">
      <c r="A355" t="s">
        <v>1374</v>
      </c>
      <c r="B355">
        <v>127256</v>
      </c>
      <c r="C355" s="3">
        <v>1</v>
      </c>
      <c r="D355" t="s">
        <v>19</v>
      </c>
      <c r="E355" t="s">
        <v>3073</v>
      </c>
      <c r="F355" t="s">
        <v>3076</v>
      </c>
      <c r="G355" t="s">
        <v>394</v>
      </c>
      <c r="H355" s="5">
        <v>46027.547395833331</v>
      </c>
      <c r="I355" s="5">
        <v>46032.481863425928</v>
      </c>
      <c r="J355">
        <v>4</v>
      </c>
      <c r="K355" t="s">
        <v>25</v>
      </c>
      <c r="L355" t="s">
        <v>30</v>
      </c>
    </row>
    <row r="356" spans="1:12" x14ac:dyDescent="0.25">
      <c r="A356" t="s">
        <v>1377</v>
      </c>
      <c r="B356">
        <v>20482</v>
      </c>
      <c r="C356" s="3">
        <v>75</v>
      </c>
      <c r="D356" t="s">
        <v>19</v>
      </c>
      <c r="E356" t="s">
        <v>3073</v>
      </c>
      <c r="F356" t="s">
        <v>3090</v>
      </c>
      <c r="G356" t="s">
        <v>394</v>
      </c>
      <c r="H356" s="5">
        <v>46027.560312499998</v>
      </c>
      <c r="I356" s="5">
        <v>46031.699259259258</v>
      </c>
      <c r="J356">
        <v>4</v>
      </c>
      <c r="K356" t="s">
        <v>397</v>
      </c>
      <c r="L356" t="s">
        <v>30</v>
      </c>
    </row>
    <row r="357" spans="1:12" x14ac:dyDescent="0.25">
      <c r="A357" t="s">
        <v>1381</v>
      </c>
      <c r="B357">
        <v>7288</v>
      </c>
      <c r="C357" s="3">
        <v>33</v>
      </c>
      <c r="D357" t="s">
        <v>32</v>
      </c>
      <c r="E357" t="s">
        <v>754</v>
      </c>
      <c r="F357" t="s">
        <v>3077</v>
      </c>
      <c r="G357" t="s">
        <v>394</v>
      </c>
      <c r="H357" s="5">
        <v>46027.585972222223</v>
      </c>
      <c r="I357" s="5">
        <v>46031.586631944447</v>
      </c>
      <c r="J357">
        <v>4</v>
      </c>
      <c r="K357" t="s">
        <v>25</v>
      </c>
      <c r="L357" t="s">
        <v>30</v>
      </c>
    </row>
    <row r="358" spans="1:12" x14ac:dyDescent="0.25">
      <c r="A358" t="s">
        <v>1385</v>
      </c>
      <c r="B358">
        <v>76104</v>
      </c>
      <c r="C358" s="3">
        <v>2</v>
      </c>
      <c r="D358" t="s">
        <v>32</v>
      </c>
      <c r="E358" t="s">
        <v>227</v>
      </c>
      <c r="F358" t="s">
        <v>3076</v>
      </c>
      <c r="G358" t="s">
        <v>22</v>
      </c>
      <c r="H358" s="5">
        <v>46027.782997685186</v>
      </c>
      <c r="I358" s="5">
        <v>46032.763831018521</v>
      </c>
      <c r="J358">
        <v>4</v>
      </c>
      <c r="K358" t="s">
        <v>25</v>
      </c>
      <c r="L358" t="s">
        <v>30</v>
      </c>
    </row>
    <row r="359" spans="1:12" x14ac:dyDescent="0.25">
      <c r="A359" t="s">
        <v>1388</v>
      </c>
      <c r="B359">
        <v>127437</v>
      </c>
      <c r="C359" s="3">
        <v>32</v>
      </c>
      <c r="D359" t="s">
        <v>32</v>
      </c>
      <c r="E359" t="s">
        <v>2589</v>
      </c>
      <c r="F359" t="s">
        <v>3074</v>
      </c>
      <c r="G359" t="s">
        <v>22</v>
      </c>
      <c r="H359" s="5">
        <v>46028.374942129631</v>
      </c>
      <c r="I359" s="5">
        <v>46032.719548611109</v>
      </c>
      <c r="J359">
        <v>4</v>
      </c>
      <c r="K359" t="s">
        <v>25</v>
      </c>
      <c r="L359" t="s">
        <v>30</v>
      </c>
    </row>
    <row r="360" spans="1:12" x14ac:dyDescent="0.25">
      <c r="A360" t="s">
        <v>1391</v>
      </c>
      <c r="B360">
        <v>127569</v>
      </c>
      <c r="C360" s="3" t="s">
        <v>3088</v>
      </c>
      <c r="D360" t="s">
        <v>19</v>
      </c>
      <c r="E360" t="s">
        <v>3073</v>
      </c>
      <c r="F360" t="s">
        <v>3072</v>
      </c>
      <c r="G360" t="s">
        <v>22</v>
      </c>
      <c r="H360" s="5">
        <v>46029.096458333333</v>
      </c>
      <c r="I360" s="5">
        <v>46033.521261574075</v>
      </c>
      <c r="J360">
        <v>4</v>
      </c>
      <c r="K360" t="s">
        <v>25</v>
      </c>
      <c r="L360" t="s">
        <v>30</v>
      </c>
    </row>
    <row r="361" spans="1:12" x14ac:dyDescent="0.25">
      <c r="A361" t="s">
        <v>1394</v>
      </c>
      <c r="B361">
        <v>127570</v>
      </c>
      <c r="C361" s="3" t="s">
        <v>3088</v>
      </c>
      <c r="D361" t="s">
        <v>32</v>
      </c>
      <c r="E361" t="s">
        <v>3073</v>
      </c>
      <c r="F361" t="s">
        <v>3072</v>
      </c>
      <c r="G361" t="s">
        <v>22</v>
      </c>
      <c r="H361" s="5">
        <v>46029.102893518517</v>
      </c>
      <c r="I361" s="5">
        <v>46033.52065972222</v>
      </c>
      <c r="J361">
        <v>4</v>
      </c>
      <c r="K361" t="s">
        <v>25</v>
      </c>
      <c r="L361" t="s">
        <v>30</v>
      </c>
    </row>
    <row r="362" spans="1:12" x14ac:dyDescent="0.25">
      <c r="A362" t="s">
        <v>1397</v>
      </c>
      <c r="B362">
        <v>127687</v>
      </c>
      <c r="C362" s="3">
        <v>25</v>
      </c>
      <c r="D362" t="s">
        <v>32</v>
      </c>
      <c r="E362" t="s">
        <v>3073</v>
      </c>
      <c r="F362" t="s">
        <v>3074</v>
      </c>
      <c r="G362" t="s">
        <v>394</v>
      </c>
      <c r="H362" s="5">
        <v>46029.710428240738</v>
      </c>
      <c r="I362" s="5">
        <v>46034.558981481481</v>
      </c>
      <c r="J362">
        <v>4</v>
      </c>
      <c r="K362" t="s">
        <v>25</v>
      </c>
      <c r="L362" t="s">
        <v>30</v>
      </c>
    </row>
    <row r="363" spans="1:12" x14ac:dyDescent="0.25">
      <c r="A363" t="s">
        <v>1400</v>
      </c>
      <c r="B363">
        <v>127656</v>
      </c>
      <c r="C363" s="3">
        <v>14</v>
      </c>
      <c r="D363" t="s">
        <v>19</v>
      </c>
      <c r="E363" t="s">
        <v>3073</v>
      </c>
      <c r="F363" t="s">
        <v>3085</v>
      </c>
      <c r="G363" t="s">
        <v>22</v>
      </c>
      <c r="H363" s="5">
        <v>46030.333148148151</v>
      </c>
      <c r="I363" s="5">
        <v>46034.739340277774</v>
      </c>
      <c r="J363">
        <v>4</v>
      </c>
      <c r="K363" t="s">
        <v>25</v>
      </c>
      <c r="L363" t="s">
        <v>30</v>
      </c>
    </row>
    <row r="364" spans="1:12" x14ac:dyDescent="0.25">
      <c r="A364" t="s">
        <v>1403</v>
      </c>
      <c r="B364">
        <v>127735</v>
      </c>
      <c r="C364" s="3">
        <v>80</v>
      </c>
      <c r="D364" t="s">
        <v>32</v>
      </c>
      <c r="E364" t="s">
        <v>62</v>
      </c>
      <c r="F364" t="s">
        <v>3091</v>
      </c>
      <c r="G364" t="s">
        <v>22</v>
      </c>
      <c r="H364" s="5">
        <v>46030.634942129633</v>
      </c>
      <c r="I364" s="5">
        <v>46035.585925925923</v>
      </c>
      <c r="J364">
        <v>4</v>
      </c>
      <c r="K364" t="s">
        <v>25</v>
      </c>
      <c r="L364" t="s">
        <v>30</v>
      </c>
    </row>
    <row r="365" spans="1:12" x14ac:dyDescent="0.25">
      <c r="A365" t="s">
        <v>1406</v>
      </c>
      <c r="B365">
        <v>127760</v>
      </c>
      <c r="C365" s="3">
        <v>36</v>
      </c>
      <c r="D365" t="s">
        <v>32</v>
      </c>
      <c r="E365" t="s">
        <v>3073</v>
      </c>
      <c r="F365" t="s">
        <v>3077</v>
      </c>
      <c r="G365" t="s">
        <v>22</v>
      </c>
      <c r="H365" s="5">
        <v>46030.718113425923</v>
      </c>
      <c r="I365" s="5">
        <v>46035.574953703705</v>
      </c>
      <c r="J365">
        <v>4</v>
      </c>
      <c r="K365" t="s">
        <v>25</v>
      </c>
      <c r="L365" t="s">
        <v>30</v>
      </c>
    </row>
    <row r="366" spans="1:12" x14ac:dyDescent="0.25">
      <c r="A366" t="s">
        <v>1409</v>
      </c>
      <c r="B366">
        <v>127810</v>
      </c>
      <c r="C366" s="3" t="s">
        <v>3088</v>
      </c>
      <c r="D366" t="s">
        <v>32</v>
      </c>
      <c r="E366" t="s">
        <v>20</v>
      </c>
      <c r="F366" t="s">
        <v>3072</v>
      </c>
      <c r="G366" t="s">
        <v>22</v>
      </c>
      <c r="H366" s="5">
        <v>46031.096388888887</v>
      </c>
      <c r="I366" s="5">
        <v>46035.676631944443</v>
      </c>
      <c r="J366">
        <v>4</v>
      </c>
      <c r="K366" t="s">
        <v>112</v>
      </c>
      <c r="L366" t="s">
        <v>30</v>
      </c>
    </row>
    <row r="367" spans="1:12" x14ac:dyDescent="0.25">
      <c r="A367" t="s">
        <v>1412</v>
      </c>
      <c r="B367">
        <v>127955</v>
      </c>
      <c r="C367" s="3">
        <v>6</v>
      </c>
      <c r="D367" t="s">
        <v>19</v>
      </c>
      <c r="E367" t="s">
        <v>3073</v>
      </c>
      <c r="F367" t="s">
        <v>3076</v>
      </c>
      <c r="G367" t="s">
        <v>22</v>
      </c>
      <c r="H367" s="5">
        <v>46032.094872685186</v>
      </c>
      <c r="I367" s="5">
        <v>46036.587754629632</v>
      </c>
      <c r="J367">
        <v>4</v>
      </c>
      <c r="K367" t="s">
        <v>25</v>
      </c>
      <c r="L367" t="s">
        <v>30</v>
      </c>
    </row>
    <row r="368" spans="1:12" x14ac:dyDescent="0.25">
      <c r="A368" t="s">
        <v>1415</v>
      </c>
      <c r="B368">
        <v>127981</v>
      </c>
      <c r="C368" s="3" t="s">
        <v>3088</v>
      </c>
      <c r="D368" t="s">
        <v>19</v>
      </c>
      <c r="E368" t="s">
        <v>3073</v>
      </c>
      <c r="F368" t="s">
        <v>3076</v>
      </c>
      <c r="G368" t="s">
        <v>22</v>
      </c>
      <c r="H368" s="5">
        <v>46032.432546296295</v>
      </c>
      <c r="I368" s="5">
        <v>46036.507199074076</v>
      </c>
      <c r="J368">
        <v>4</v>
      </c>
      <c r="K368" t="s">
        <v>211</v>
      </c>
      <c r="L368" t="s">
        <v>30</v>
      </c>
    </row>
    <row r="369" spans="1:12" x14ac:dyDescent="0.25">
      <c r="A369" t="s">
        <v>1418</v>
      </c>
      <c r="B369">
        <v>21507</v>
      </c>
      <c r="C369" s="3">
        <v>31</v>
      </c>
      <c r="D369" t="s">
        <v>32</v>
      </c>
      <c r="E369" t="s">
        <v>227</v>
      </c>
      <c r="F369" t="s">
        <v>3074</v>
      </c>
      <c r="G369" t="s">
        <v>22</v>
      </c>
      <c r="H369" s="5">
        <v>46032.882037037038</v>
      </c>
      <c r="I369" s="5">
        <v>46037.597870370373</v>
      </c>
      <c r="J369">
        <v>4</v>
      </c>
      <c r="K369" t="s">
        <v>25</v>
      </c>
      <c r="L369" t="s">
        <v>30</v>
      </c>
    </row>
    <row r="370" spans="1:12" x14ac:dyDescent="0.25">
      <c r="A370" t="s">
        <v>1421</v>
      </c>
      <c r="B370">
        <v>128044</v>
      </c>
      <c r="C370" s="3">
        <v>24</v>
      </c>
      <c r="D370" t="s">
        <v>32</v>
      </c>
      <c r="E370" t="s">
        <v>3073</v>
      </c>
      <c r="F370" t="s">
        <v>3074</v>
      </c>
      <c r="G370" t="s">
        <v>22</v>
      </c>
      <c r="H370" s="5">
        <v>46033.683344907404</v>
      </c>
      <c r="I370" s="5">
        <v>46037.76829861111</v>
      </c>
      <c r="J370">
        <v>4</v>
      </c>
      <c r="K370" t="s">
        <v>25</v>
      </c>
      <c r="L370" t="s">
        <v>30</v>
      </c>
    </row>
    <row r="371" spans="1:12" x14ac:dyDescent="0.25">
      <c r="A371" t="s">
        <v>1424</v>
      </c>
      <c r="B371">
        <v>128056</v>
      </c>
      <c r="C371" s="3" t="s">
        <v>3088</v>
      </c>
      <c r="D371" t="s">
        <v>19</v>
      </c>
      <c r="E371" t="s">
        <v>3073</v>
      </c>
      <c r="F371" t="s">
        <v>3072</v>
      </c>
      <c r="G371" t="s">
        <v>22</v>
      </c>
      <c r="H371" s="5">
        <v>46033.910196759258</v>
      </c>
      <c r="I371" s="5">
        <v>46038.632604166669</v>
      </c>
      <c r="J371">
        <v>4</v>
      </c>
      <c r="K371" t="s">
        <v>25</v>
      </c>
      <c r="L371" t="s">
        <v>30</v>
      </c>
    </row>
    <row r="372" spans="1:12" x14ac:dyDescent="0.25">
      <c r="A372" t="s">
        <v>1427</v>
      </c>
      <c r="B372">
        <v>45072</v>
      </c>
      <c r="C372" s="3">
        <v>38</v>
      </c>
      <c r="D372" t="s">
        <v>19</v>
      </c>
      <c r="E372" t="s">
        <v>227</v>
      </c>
      <c r="F372" t="s">
        <v>3090</v>
      </c>
      <c r="G372" t="s">
        <v>394</v>
      </c>
      <c r="H372" s="5">
        <v>46035.718692129631</v>
      </c>
      <c r="I372" s="5">
        <v>46040.638194444444</v>
      </c>
      <c r="J372">
        <v>4</v>
      </c>
      <c r="K372" t="s">
        <v>25</v>
      </c>
      <c r="L372" t="s">
        <v>30</v>
      </c>
    </row>
    <row r="373" spans="1:12" x14ac:dyDescent="0.25">
      <c r="A373" t="s">
        <v>1430</v>
      </c>
      <c r="B373">
        <v>128293</v>
      </c>
      <c r="C373" s="3" t="s">
        <v>3088</v>
      </c>
      <c r="D373" t="s">
        <v>19</v>
      </c>
      <c r="E373" t="s">
        <v>3073</v>
      </c>
      <c r="F373" t="s">
        <v>3072</v>
      </c>
      <c r="G373" t="s">
        <v>22</v>
      </c>
      <c r="H373" s="5">
        <v>46035.767685185187</v>
      </c>
      <c r="I373" s="5">
        <v>46039.797824074078</v>
      </c>
      <c r="J373">
        <v>4</v>
      </c>
      <c r="K373" t="s">
        <v>25</v>
      </c>
      <c r="L373" t="s">
        <v>30</v>
      </c>
    </row>
    <row r="374" spans="1:12" x14ac:dyDescent="0.25">
      <c r="A374" t="s">
        <v>1433</v>
      </c>
      <c r="B374">
        <v>77394</v>
      </c>
      <c r="C374" s="3">
        <v>3</v>
      </c>
      <c r="D374" t="s">
        <v>19</v>
      </c>
      <c r="E374" t="s">
        <v>260</v>
      </c>
      <c r="F374" t="s">
        <v>3076</v>
      </c>
      <c r="G374" t="s">
        <v>394</v>
      </c>
      <c r="H374" s="5">
        <v>46035.806469907409</v>
      </c>
      <c r="I374" s="5">
        <v>46040.699780092589</v>
      </c>
      <c r="J374">
        <v>4</v>
      </c>
      <c r="K374" t="s">
        <v>25</v>
      </c>
      <c r="L374" t="s">
        <v>30</v>
      </c>
    </row>
    <row r="375" spans="1:12" x14ac:dyDescent="0.25">
      <c r="A375" t="s">
        <v>1436</v>
      </c>
      <c r="B375">
        <v>128339</v>
      </c>
      <c r="C375" s="3">
        <v>63</v>
      </c>
      <c r="D375" t="s">
        <v>19</v>
      </c>
      <c r="E375" t="s">
        <v>2589</v>
      </c>
      <c r="F375" t="s">
        <v>3086</v>
      </c>
      <c r="G375" t="s">
        <v>22</v>
      </c>
      <c r="H375" s="5">
        <v>46036.501631944448</v>
      </c>
      <c r="I375" s="5">
        <v>46040.540578703702</v>
      </c>
      <c r="J375">
        <v>4</v>
      </c>
      <c r="K375" t="s">
        <v>25</v>
      </c>
      <c r="L375" t="s">
        <v>30</v>
      </c>
    </row>
    <row r="376" spans="1:12" x14ac:dyDescent="0.25">
      <c r="A376" t="s">
        <v>1440</v>
      </c>
      <c r="B376">
        <v>128443</v>
      </c>
      <c r="C376" s="3">
        <v>39</v>
      </c>
      <c r="D376" t="s">
        <v>32</v>
      </c>
      <c r="E376" t="s">
        <v>3073</v>
      </c>
      <c r="F376" t="s">
        <v>3074</v>
      </c>
      <c r="G376" t="s">
        <v>22</v>
      </c>
      <c r="H376" s="5">
        <v>46036.669907407406</v>
      </c>
      <c r="I376" s="5">
        <v>46041.535451388889</v>
      </c>
      <c r="J376">
        <v>4</v>
      </c>
      <c r="K376" t="s">
        <v>25</v>
      </c>
      <c r="L376" t="s">
        <v>30</v>
      </c>
    </row>
    <row r="377" spans="1:12" x14ac:dyDescent="0.25">
      <c r="A377" t="s">
        <v>1443</v>
      </c>
      <c r="B377">
        <v>126670</v>
      </c>
      <c r="C377" s="3" t="s">
        <v>3088</v>
      </c>
      <c r="D377" t="s">
        <v>32</v>
      </c>
      <c r="E377" t="s">
        <v>260</v>
      </c>
      <c r="F377" t="s">
        <v>3072</v>
      </c>
      <c r="G377" t="s">
        <v>22</v>
      </c>
      <c r="H377" s="5">
        <v>46036.699247685188</v>
      </c>
      <c r="I377" s="5">
        <v>46041.513622685183</v>
      </c>
      <c r="J377">
        <v>4</v>
      </c>
      <c r="K377" t="s">
        <v>25</v>
      </c>
      <c r="L377" t="s">
        <v>30</v>
      </c>
    </row>
    <row r="378" spans="1:12" x14ac:dyDescent="0.25">
      <c r="A378" t="s">
        <v>1446</v>
      </c>
      <c r="B378">
        <v>128378</v>
      </c>
      <c r="C378" s="3">
        <v>56</v>
      </c>
      <c r="D378" t="s">
        <v>19</v>
      </c>
      <c r="E378" t="s">
        <v>3073</v>
      </c>
      <c r="F378" t="s">
        <v>3086</v>
      </c>
      <c r="G378" t="s">
        <v>22</v>
      </c>
      <c r="H378" s="5">
        <v>46036.806238425925</v>
      </c>
      <c r="I378" s="5">
        <v>46041.633368055554</v>
      </c>
      <c r="J378">
        <v>4</v>
      </c>
      <c r="K378" t="s">
        <v>211</v>
      </c>
      <c r="L378" t="s">
        <v>30</v>
      </c>
    </row>
    <row r="379" spans="1:12" x14ac:dyDescent="0.25">
      <c r="A379" t="s">
        <v>1449</v>
      </c>
      <c r="B379">
        <v>128278</v>
      </c>
      <c r="C379" s="3">
        <v>27</v>
      </c>
      <c r="D379" t="s">
        <v>32</v>
      </c>
      <c r="E379" t="s">
        <v>3073</v>
      </c>
      <c r="F379" t="s">
        <v>3077</v>
      </c>
      <c r="G379" t="s">
        <v>1062</v>
      </c>
      <c r="H379" s="5">
        <v>46036.846284722225</v>
      </c>
      <c r="I379" s="5">
        <v>46041.426863425928</v>
      </c>
      <c r="J379">
        <v>4</v>
      </c>
      <c r="K379" t="s">
        <v>25</v>
      </c>
      <c r="L379" t="s">
        <v>30</v>
      </c>
    </row>
    <row r="380" spans="1:12" x14ac:dyDescent="0.25">
      <c r="A380" t="s">
        <v>1452</v>
      </c>
      <c r="B380">
        <v>128452</v>
      </c>
      <c r="C380" s="3" t="s">
        <v>3088</v>
      </c>
      <c r="D380" t="s">
        <v>19</v>
      </c>
      <c r="E380" t="s">
        <v>3073</v>
      </c>
      <c r="F380" t="s">
        <v>3072</v>
      </c>
      <c r="G380" t="s">
        <v>22</v>
      </c>
      <c r="H380" s="5">
        <v>46036.967233796298</v>
      </c>
      <c r="I380" s="5">
        <v>46041.536134259259</v>
      </c>
      <c r="J380">
        <v>4</v>
      </c>
      <c r="K380" t="s">
        <v>25</v>
      </c>
      <c r="L380" t="s">
        <v>30</v>
      </c>
    </row>
    <row r="381" spans="1:12" x14ac:dyDescent="0.25">
      <c r="A381" t="s">
        <v>1455</v>
      </c>
      <c r="B381">
        <v>128295</v>
      </c>
      <c r="C381" s="3">
        <v>40</v>
      </c>
      <c r="D381" t="s">
        <v>32</v>
      </c>
      <c r="E381" t="s">
        <v>3073</v>
      </c>
      <c r="F381" t="s">
        <v>3074</v>
      </c>
      <c r="G381" t="s">
        <v>22</v>
      </c>
      <c r="H381" s="5">
        <v>46037.378923611112</v>
      </c>
      <c r="I381" s="5">
        <v>46042.345416666663</v>
      </c>
      <c r="J381">
        <v>4</v>
      </c>
      <c r="K381" t="s">
        <v>25</v>
      </c>
      <c r="L381" t="s">
        <v>30</v>
      </c>
    </row>
    <row r="382" spans="1:12" x14ac:dyDescent="0.25">
      <c r="A382" t="s">
        <v>1458</v>
      </c>
      <c r="B382">
        <v>128477</v>
      </c>
      <c r="C382" s="3" t="s">
        <v>3088</v>
      </c>
      <c r="D382" t="s">
        <v>19</v>
      </c>
      <c r="E382" t="s">
        <v>3073</v>
      </c>
      <c r="F382" t="s">
        <v>3072</v>
      </c>
      <c r="G382" t="s">
        <v>22</v>
      </c>
      <c r="H382" s="5">
        <v>46037.503113425926</v>
      </c>
      <c r="I382" s="5">
        <v>46041.554780092592</v>
      </c>
      <c r="J382">
        <v>4</v>
      </c>
      <c r="K382" t="s">
        <v>25</v>
      </c>
      <c r="L382" t="s">
        <v>30</v>
      </c>
    </row>
    <row r="383" spans="1:12" x14ac:dyDescent="0.25">
      <c r="A383" t="s">
        <v>1461</v>
      </c>
      <c r="B383">
        <v>128503</v>
      </c>
      <c r="C383" s="3" t="s">
        <v>3088</v>
      </c>
      <c r="D383" t="s">
        <v>32</v>
      </c>
      <c r="E383" t="s">
        <v>3073</v>
      </c>
      <c r="F383" t="s">
        <v>3072</v>
      </c>
      <c r="G383" t="s">
        <v>22</v>
      </c>
      <c r="H383" s="5">
        <v>46037.524583333332</v>
      </c>
      <c r="I383" s="5">
        <v>46041.67355324074</v>
      </c>
      <c r="J383">
        <v>4</v>
      </c>
      <c r="K383" t="s">
        <v>25</v>
      </c>
      <c r="L383" t="s">
        <v>30</v>
      </c>
    </row>
    <row r="384" spans="1:12" x14ac:dyDescent="0.25">
      <c r="A384" t="s">
        <v>1464</v>
      </c>
      <c r="B384">
        <v>13901</v>
      </c>
      <c r="C384" s="3">
        <v>35</v>
      </c>
      <c r="D384" t="s">
        <v>19</v>
      </c>
      <c r="E384" t="s">
        <v>754</v>
      </c>
      <c r="F384" t="s">
        <v>3090</v>
      </c>
      <c r="G384" t="s">
        <v>394</v>
      </c>
      <c r="H384" s="5">
        <v>46037.675821759258</v>
      </c>
      <c r="I384" s="5">
        <v>46042.588842592595</v>
      </c>
      <c r="J384">
        <v>4</v>
      </c>
      <c r="K384" t="s">
        <v>25</v>
      </c>
      <c r="L384" t="s">
        <v>30</v>
      </c>
    </row>
    <row r="385" spans="1:12" x14ac:dyDescent="0.25">
      <c r="A385" t="s">
        <v>1467</v>
      </c>
      <c r="B385">
        <v>128551</v>
      </c>
      <c r="C385" s="3">
        <v>2</v>
      </c>
      <c r="D385" t="s">
        <v>32</v>
      </c>
      <c r="E385" t="s">
        <v>20</v>
      </c>
      <c r="F385" t="s">
        <v>3076</v>
      </c>
      <c r="G385" t="s">
        <v>22</v>
      </c>
      <c r="H385" s="5">
        <v>46037.796481481484</v>
      </c>
      <c r="I385" s="5">
        <v>46042.349236111113</v>
      </c>
      <c r="J385">
        <v>4</v>
      </c>
      <c r="K385" t="s">
        <v>25</v>
      </c>
      <c r="L385" t="s">
        <v>30</v>
      </c>
    </row>
    <row r="386" spans="1:12" x14ac:dyDescent="0.25">
      <c r="A386" t="s">
        <v>1470</v>
      </c>
      <c r="B386">
        <v>33736</v>
      </c>
      <c r="C386" s="3">
        <v>36</v>
      </c>
      <c r="D386" t="s">
        <v>32</v>
      </c>
      <c r="E386" t="s">
        <v>3073</v>
      </c>
      <c r="F386" t="s">
        <v>3074</v>
      </c>
      <c r="G386" t="s">
        <v>22</v>
      </c>
      <c r="H386" s="5">
        <v>46038.547314814816</v>
      </c>
      <c r="I386" s="5">
        <v>46042.634513888886</v>
      </c>
      <c r="J386">
        <v>4</v>
      </c>
      <c r="K386" t="s">
        <v>112</v>
      </c>
      <c r="L386" t="s">
        <v>30</v>
      </c>
    </row>
    <row r="387" spans="1:12" x14ac:dyDescent="0.25">
      <c r="A387" t="s">
        <v>1473</v>
      </c>
      <c r="B387">
        <v>96467</v>
      </c>
      <c r="C387" s="3">
        <v>2</v>
      </c>
      <c r="D387" t="s">
        <v>19</v>
      </c>
      <c r="E387" t="s">
        <v>3073</v>
      </c>
      <c r="F387" t="s">
        <v>3076</v>
      </c>
      <c r="G387" t="s">
        <v>394</v>
      </c>
      <c r="H387" s="5">
        <v>46038.569490740738</v>
      </c>
      <c r="I387" s="5">
        <v>46042.748611111114</v>
      </c>
      <c r="J387">
        <v>4</v>
      </c>
      <c r="K387" t="s">
        <v>25</v>
      </c>
      <c r="L387" t="s">
        <v>30</v>
      </c>
    </row>
    <row r="388" spans="1:12" x14ac:dyDescent="0.25">
      <c r="A388" t="s">
        <v>1476</v>
      </c>
      <c r="B388">
        <v>128676</v>
      </c>
      <c r="C388" s="3">
        <v>24</v>
      </c>
      <c r="D388" t="s">
        <v>32</v>
      </c>
      <c r="E388" t="s">
        <v>62</v>
      </c>
      <c r="F388" t="s">
        <v>3074</v>
      </c>
      <c r="G388" t="s">
        <v>22</v>
      </c>
      <c r="H388" s="5">
        <v>46039.38652777778</v>
      </c>
      <c r="I388" s="5">
        <v>46043.718344907407</v>
      </c>
      <c r="J388">
        <v>4</v>
      </c>
      <c r="K388" t="s">
        <v>25</v>
      </c>
      <c r="L388" t="s">
        <v>30</v>
      </c>
    </row>
    <row r="389" spans="1:12" x14ac:dyDescent="0.25">
      <c r="A389" t="s">
        <v>1479</v>
      </c>
      <c r="B389">
        <v>33310</v>
      </c>
      <c r="C389" s="3">
        <v>29</v>
      </c>
      <c r="D389" t="s">
        <v>32</v>
      </c>
      <c r="E389" t="s">
        <v>227</v>
      </c>
      <c r="F389" t="s">
        <v>3074</v>
      </c>
      <c r="G389" t="s">
        <v>22</v>
      </c>
      <c r="H389" s="5">
        <v>46039.595960648148</v>
      </c>
      <c r="I389" s="5">
        <v>46043.647291666668</v>
      </c>
      <c r="J389">
        <v>4</v>
      </c>
      <c r="K389" t="s">
        <v>25</v>
      </c>
      <c r="L389" t="s">
        <v>30</v>
      </c>
    </row>
    <row r="390" spans="1:12" x14ac:dyDescent="0.25">
      <c r="A390" t="s">
        <v>1482</v>
      </c>
      <c r="B390">
        <v>128103</v>
      </c>
      <c r="C390" s="3">
        <v>17</v>
      </c>
      <c r="D390" t="s">
        <v>19</v>
      </c>
      <c r="E390" t="s">
        <v>3073</v>
      </c>
      <c r="F390" t="s">
        <v>3085</v>
      </c>
      <c r="G390" t="s">
        <v>22</v>
      </c>
      <c r="H390" s="5">
        <v>46039.635648148149</v>
      </c>
      <c r="I390" s="5">
        <v>46043.680949074071</v>
      </c>
      <c r="J390">
        <v>4</v>
      </c>
      <c r="K390" t="s">
        <v>25</v>
      </c>
      <c r="L390" t="s">
        <v>30</v>
      </c>
    </row>
    <row r="391" spans="1:12" x14ac:dyDescent="0.25">
      <c r="A391" t="s">
        <v>1485</v>
      </c>
      <c r="B391">
        <v>128736</v>
      </c>
      <c r="C391" s="3">
        <v>52</v>
      </c>
      <c r="D391" t="s">
        <v>32</v>
      </c>
      <c r="E391" t="s">
        <v>62</v>
      </c>
      <c r="F391" t="s">
        <v>3091</v>
      </c>
      <c r="G391" t="s">
        <v>394</v>
      </c>
      <c r="H391" s="5">
        <v>46039.888368055559</v>
      </c>
      <c r="I391" s="5">
        <v>46044.664398148147</v>
      </c>
      <c r="J391">
        <v>4</v>
      </c>
      <c r="K391" t="s">
        <v>25</v>
      </c>
      <c r="L391" t="s">
        <v>30</v>
      </c>
    </row>
    <row r="392" spans="1:12" x14ac:dyDescent="0.25">
      <c r="A392" t="s">
        <v>1488</v>
      </c>
      <c r="B392">
        <v>128834</v>
      </c>
      <c r="C392" s="3" t="s">
        <v>3088</v>
      </c>
      <c r="D392" t="s">
        <v>19</v>
      </c>
      <c r="E392" t="s">
        <v>62</v>
      </c>
      <c r="F392" t="s">
        <v>3072</v>
      </c>
      <c r="G392" t="s">
        <v>22</v>
      </c>
      <c r="H392" s="5">
        <v>46041.488668981481</v>
      </c>
      <c r="I392" s="5">
        <v>46045.621805555558</v>
      </c>
      <c r="J392">
        <v>4</v>
      </c>
      <c r="K392" t="s">
        <v>25</v>
      </c>
      <c r="L392" t="s">
        <v>30</v>
      </c>
    </row>
    <row r="393" spans="1:12" x14ac:dyDescent="0.25">
      <c r="A393" t="s">
        <v>1491</v>
      </c>
      <c r="B393">
        <v>128832</v>
      </c>
      <c r="C393" s="3" t="s">
        <v>3088</v>
      </c>
      <c r="D393" t="s">
        <v>19</v>
      </c>
      <c r="E393" t="s">
        <v>62</v>
      </c>
      <c r="F393" t="s">
        <v>3072</v>
      </c>
      <c r="G393" t="s">
        <v>22</v>
      </c>
      <c r="H393" s="5">
        <v>46041.488958333335</v>
      </c>
      <c r="I393" s="5">
        <v>46045.618657407409</v>
      </c>
      <c r="J393">
        <v>4</v>
      </c>
      <c r="K393" t="s">
        <v>25</v>
      </c>
      <c r="L393" t="s">
        <v>30</v>
      </c>
    </row>
    <row r="394" spans="1:12" x14ac:dyDescent="0.25">
      <c r="A394" t="s">
        <v>1494</v>
      </c>
      <c r="B394">
        <v>128806</v>
      </c>
      <c r="C394" s="3">
        <v>40</v>
      </c>
      <c r="D394" t="s">
        <v>19</v>
      </c>
      <c r="E394" t="s">
        <v>3073</v>
      </c>
      <c r="F394" t="s">
        <v>3086</v>
      </c>
      <c r="G394" t="s">
        <v>22</v>
      </c>
      <c r="H394" s="5">
        <v>46041.614340277774</v>
      </c>
      <c r="I394" s="5">
        <v>46045.649016203701</v>
      </c>
      <c r="J394">
        <v>4</v>
      </c>
      <c r="K394" t="s">
        <v>25</v>
      </c>
      <c r="L394" t="s">
        <v>30</v>
      </c>
    </row>
    <row r="395" spans="1:12" x14ac:dyDescent="0.25">
      <c r="A395" t="s">
        <v>1498</v>
      </c>
      <c r="B395">
        <v>115416</v>
      </c>
      <c r="C395" s="3" t="s">
        <v>3082</v>
      </c>
      <c r="D395" t="s">
        <v>32</v>
      </c>
      <c r="E395" t="s">
        <v>3073</v>
      </c>
      <c r="F395" t="s">
        <v>3076</v>
      </c>
      <c r="G395" t="s">
        <v>22</v>
      </c>
      <c r="H395" s="5">
        <v>46041.637349537035</v>
      </c>
      <c r="I395" s="5">
        <v>46045.771435185183</v>
      </c>
      <c r="J395">
        <v>4</v>
      </c>
      <c r="K395" t="s">
        <v>25</v>
      </c>
      <c r="L395" t="s">
        <v>30</v>
      </c>
    </row>
    <row r="396" spans="1:12" x14ac:dyDescent="0.25">
      <c r="A396" t="s">
        <v>1501</v>
      </c>
      <c r="B396">
        <v>128951</v>
      </c>
      <c r="C396" s="3">
        <v>30</v>
      </c>
      <c r="D396" t="s">
        <v>19</v>
      </c>
      <c r="E396" t="s">
        <v>2589</v>
      </c>
      <c r="F396" t="s">
        <v>3086</v>
      </c>
      <c r="G396" t="s">
        <v>22</v>
      </c>
      <c r="H396" s="5">
        <v>46041.877465277779</v>
      </c>
      <c r="I396" s="5">
        <v>46046.724780092591</v>
      </c>
      <c r="J396">
        <v>4</v>
      </c>
      <c r="K396" t="s">
        <v>25</v>
      </c>
      <c r="L396" t="s">
        <v>30</v>
      </c>
    </row>
    <row r="397" spans="1:12" x14ac:dyDescent="0.25">
      <c r="A397" t="s">
        <v>1504</v>
      </c>
      <c r="B397">
        <v>128967</v>
      </c>
      <c r="C397" s="3">
        <v>32</v>
      </c>
      <c r="D397" t="s">
        <v>32</v>
      </c>
      <c r="E397" t="s">
        <v>260</v>
      </c>
      <c r="F397" t="s">
        <v>3074</v>
      </c>
      <c r="G397" t="s">
        <v>22</v>
      </c>
      <c r="H397" s="5">
        <v>46042.017928240741</v>
      </c>
      <c r="I397" s="5">
        <v>46046.622569444444</v>
      </c>
      <c r="J397">
        <v>4</v>
      </c>
      <c r="K397" t="s">
        <v>25</v>
      </c>
      <c r="L397" t="s">
        <v>30</v>
      </c>
    </row>
    <row r="398" spans="1:12" x14ac:dyDescent="0.25">
      <c r="A398" t="s">
        <v>1507</v>
      </c>
      <c r="B398">
        <v>129067</v>
      </c>
      <c r="C398" s="3">
        <v>18</v>
      </c>
      <c r="D398" t="s">
        <v>32</v>
      </c>
      <c r="E398" t="s">
        <v>260</v>
      </c>
      <c r="F398" t="s">
        <v>3074</v>
      </c>
      <c r="G398" t="s">
        <v>22</v>
      </c>
      <c r="H398" s="5">
        <v>46042.723761574074</v>
      </c>
      <c r="I398" s="5">
        <v>46047.338101851848</v>
      </c>
      <c r="J398">
        <v>4</v>
      </c>
      <c r="K398" t="s">
        <v>25</v>
      </c>
      <c r="L398" t="s">
        <v>30</v>
      </c>
    </row>
    <row r="399" spans="1:12" x14ac:dyDescent="0.25">
      <c r="A399" t="s">
        <v>1510</v>
      </c>
      <c r="B399">
        <v>128989</v>
      </c>
      <c r="C399" s="3">
        <v>35</v>
      </c>
      <c r="D399" t="s">
        <v>32</v>
      </c>
      <c r="E399" t="s">
        <v>62</v>
      </c>
      <c r="F399" t="s">
        <v>3077</v>
      </c>
      <c r="G399" t="s">
        <v>22</v>
      </c>
      <c r="H399" s="5">
        <v>46042.760185185187</v>
      </c>
      <c r="I399" s="5">
        <v>46047.527905092589</v>
      </c>
      <c r="J399">
        <v>4</v>
      </c>
      <c r="K399" t="s">
        <v>25</v>
      </c>
      <c r="L399" t="s">
        <v>30</v>
      </c>
    </row>
    <row r="400" spans="1:12" x14ac:dyDescent="0.25">
      <c r="A400" t="s">
        <v>1513</v>
      </c>
      <c r="B400">
        <v>129089</v>
      </c>
      <c r="C400" s="3">
        <v>33</v>
      </c>
      <c r="D400" t="s">
        <v>32</v>
      </c>
      <c r="E400" t="s">
        <v>3073</v>
      </c>
      <c r="F400" t="s">
        <v>3074</v>
      </c>
      <c r="G400" t="s">
        <v>22</v>
      </c>
      <c r="H400" s="5">
        <v>46042.951307870368</v>
      </c>
      <c r="I400" s="5">
        <v>46047.76289351852</v>
      </c>
      <c r="J400">
        <v>4</v>
      </c>
      <c r="K400" t="s">
        <v>25</v>
      </c>
      <c r="L400" t="s">
        <v>30</v>
      </c>
    </row>
    <row r="401" spans="1:12" x14ac:dyDescent="0.25">
      <c r="A401" t="s">
        <v>1516</v>
      </c>
      <c r="B401">
        <v>129095</v>
      </c>
      <c r="C401" s="3">
        <v>50</v>
      </c>
      <c r="D401" t="s">
        <v>32</v>
      </c>
      <c r="E401" t="s">
        <v>20</v>
      </c>
      <c r="F401" t="s">
        <v>3077</v>
      </c>
      <c r="G401" t="s">
        <v>22</v>
      </c>
      <c r="H401" s="5">
        <v>46043.144687499997</v>
      </c>
      <c r="I401" s="5">
        <v>46047.727256944447</v>
      </c>
      <c r="J401">
        <v>4</v>
      </c>
      <c r="K401" t="s">
        <v>112</v>
      </c>
      <c r="L401" t="s">
        <v>30</v>
      </c>
    </row>
    <row r="402" spans="1:12" x14ac:dyDescent="0.25">
      <c r="A402" t="s">
        <v>1519</v>
      </c>
      <c r="B402">
        <v>129168</v>
      </c>
      <c r="C402" s="3" t="s">
        <v>3083</v>
      </c>
      <c r="D402" t="s">
        <v>19</v>
      </c>
      <c r="E402" t="s">
        <v>3073</v>
      </c>
      <c r="F402" t="s">
        <v>3076</v>
      </c>
      <c r="G402" t="s">
        <v>22</v>
      </c>
      <c r="H402" s="5">
        <v>46043.625636574077</v>
      </c>
      <c r="I402" s="5">
        <v>46047.758055555554</v>
      </c>
      <c r="J402">
        <v>4</v>
      </c>
      <c r="K402" t="s">
        <v>25</v>
      </c>
      <c r="L402" t="s">
        <v>30</v>
      </c>
    </row>
    <row r="403" spans="1:12" x14ac:dyDescent="0.25">
      <c r="A403" t="s">
        <v>1522</v>
      </c>
      <c r="B403">
        <v>129198</v>
      </c>
      <c r="C403" s="3">
        <v>20</v>
      </c>
      <c r="D403" t="s">
        <v>32</v>
      </c>
      <c r="E403" t="s">
        <v>3073</v>
      </c>
      <c r="F403" t="s">
        <v>3074</v>
      </c>
      <c r="G403" t="s">
        <v>22</v>
      </c>
      <c r="H403" s="5">
        <v>46044.008553240739</v>
      </c>
      <c r="I403" s="5">
        <v>46048.348761574074</v>
      </c>
      <c r="J403">
        <v>4</v>
      </c>
      <c r="K403" t="s">
        <v>25</v>
      </c>
      <c r="L403" t="s">
        <v>30</v>
      </c>
    </row>
    <row r="404" spans="1:12" x14ac:dyDescent="0.25">
      <c r="A404" t="s">
        <v>1525</v>
      </c>
      <c r="B404">
        <v>129204</v>
      </c>
      <c r="C404" s="3">
        <v>31</v>
      </c>
      <c r="D404" t="s">
        <v>32</v>
      </c>
      <c r="E404" t="s">
        <v>3073</v>
      </c>
      <c r="F404" t="s">
        <v>3074</v>
      </c>
      <c r="G404" t="s">
        <v>292</v>
      </c>
      <c r="H404" s="5">
        <v>46044.414270833331</v>
      </c>
      <c r="I404" s="5">
        <v>46048.559942129628</v>
      </c>
      <c r="J404">
        <v>4</v>
      </c>
      <c r="K404" t="s">
        <v>25</v>
      </c>
      <c r="L404" t="s">
        <v>30</v>
      </c>
    </row>
    <row r="405" spans="1:12" x14ac:dyDescent="0.25">
      <c r="A405" t="s">
        <v>1529</v>
      </c>
      <c r="B405">
        <v>129216</v>
      </c>
      <c r="C405" s="3">
        <v>116</v>
      </c>
      <c r="D405" t="s">
        <v>32</v>
      </c>
      <c r="E405" t="s">
        <v>3073</v>
      </c>
      <c r="F405" t="s">
        <v>3091</v>
      </c>
      <c r="G405" t="s">
        <v>22</v>
      </c>
      <c r="H405" s="5">
        <v>46044.575752314813</v>
      </c>
      <c r="I405" s="5">
        <v>46048.603703703702</v>
      </c>
      <c r="J405">
        <v>4</v>
      </c>
      <c r="K405" t="s">
        <v>112</v>
      </c>
      <c r="L405" t="s">
        <v>30</v>
      </c>
    </row>
    <row r="406" spans="1:12" x14ac:dyDescent="0.25">
      <c r="A406" t="s">
        <v>1533</v>
      </c>
      <c r="B406">
        <v>129290</v>
      </c>
      <c r="C406" s="3">
        <v>75</v>
      </c>
      <c r="D406" t="s">
        <v>19</v>
      </c>
      <c r="E406" t="s">
        <v>260</v>
      </c>
      <c r="F406" t="s">
        <v>3086</v>
      </c>
      <c r="G406" t="s">
        <v>22</v>
      </c>
      <c r="H406" s="5">
        <v>46044.799988425926</v>
      </c>
      <c r="I406" s="5">
        <v>46049.463240740741</v>
      </c>
      <c r="J406">
        <v>4</v>
      </c>
      <c r="K406" t="s">
        <v>211</v>
      </c>
      <c r="L406" t="s">
        <v>30</v>
      </c>
    </row>
    <row r="407" spans="1:12" x14ac:dyDescent="0.25">
      <c r="A407" t="s">
        <v>1536</v>
      </c>
      <c r="B407">
        <v>129311</v>
      </c>
      <c r="C407" s="3">
        <v>34</v>
      </c>
      <c r="D407" t="s">
        <v>32</v>
      </c>
      <c r="E407" t="s">
        <v>20</v>
      </c>
      <c r="F407" t="s">
        <v>3091</v>
      </c>
      <c r="G407" t="s">
        <v>22</v>
      </c>
      <c r="H407" s="5">
        <v>46044.975011574075</v>
      </c>
      <c r="I407" s="5">
        <v>46049.579467592594</v>
      </c>
      <c r="J407">
        <v>4</v>
      </c>
      <c r="K407" t="s">
        <v>112</v>
      </c>
      <c r="L407" t="s">
        <v>30</v>
      </c>
    </row>
    <row r="408" spans="1:12" x14ac:dyDescent="0.25">
      <c r="A408" t="s">
        <v>1539</v>
      </c>
      <c r="B408">
        <v>129300</v>
      </c>
      <c r="C408" s="3">
        <v>17</v>
      </c>
      <c r="D408" t="s">
        <v>32</v>
      </c>
      <c r="E408" t="s">
        <v>62</v>
      </c>
      <c r="F408" t="s">
        <v>3074</v>
      </c>
      <c r="G408" t="s">
        <v>22</v>
      </c>
      <c r="H408" s="5">
        <v>46045.392060185186</v>
      </c>
      <c r="I408" s="5">
        <v>46049.475057870368</v>
      </c>
      <c r="J408">
        <v>4</v>
      </c>
      <c r="K408" t="s">
        <v>25</v>
      </c>
      <c r="L408" t="s">
        <v>30</v>
      </c>
    </row>
    <row r="409" spans="1:12" x14ac:dyDescent="0.25">
      <c r="A409" t="s">
        <v>1542</v>
      </c>
      <c r="B409">
        <v>129442</v>
      </c>
      <c r="C409" s="3">
        <v>72</v>
      </c>
      <c r="D409" t="s">
        <v>19</v>
      </c>
      <c r="E409" t="s">
        <v>260</v>
      </c>
      <c r="F409" t="s">
        <v>3086</v>
      </c>
      <c r="G409" t="s">
        <v>22</v>
      </c>
      <c r="H409" s="5">
        <v>46045.927569444444</v>
      </c>
      <c r="I409" s="5">
        <v>46050.663101851853</v>
      </c>
      <c r="J409">
        <v>4</v>
      </c>
      <c r="K409" t="s">
        <v>25</v>
      </c>
      <c r="L409" t="s">
        <v>30</v>
      </c>
    </row>
    <row r="410" spans="1:12" x14ac:dyDescent="0.25">
      <c r="A410" t="s">
        <v>1545</v>
      </c>
      <c r="B410">
        <v>129440</v>
      </c>
      <c r="C410" s="3">
        <v>3</v>
      </c>
      <c r="D410" t="s">
        <v>19</v>
      </c>
      <c r="E410" t="s">
        <v>20</v>
      </c>
      <c r="F410" t="s">
        <v>3076</v>
      </c>
      <c r="G410" t="s">
        <v>22</v>
      </c>
      <c r="H410" s="5">
        <v>46045.929537037038</v>
      </c>
      <c r="I410" s="5">
        <v>46050.750787037039</v>
      </c>
      <c r="J410">
        <v>4</v>
      </c>
      <c r="K410" t="s">
        <v>25</v>
      </c>
      <c r="L410" t="s">
        <v>30</v>
      </c>
    </row>
    <row r="411" spans="1:12" x14ac:dyDescent="0.25">
      <c r="A411" t="s">
        <v>1548</v>
      </c>
      <c r="B411">
        <v>129449</v>
      </c>
      <c r="C411" s="3" t="s">
        <v>3092</v>
      </c>
      <c r="D411" t="s">
        <v>32</v>
      </c>
      <c r="E411" t="s">
        <v>3073</v>
      </c>
      <c r="F411" t="s">
        <v>3072</v>
      </c>
      <c r="G411" t="s">
        <v>22</v>
      </c>
      <c r="H411" s="5">
        <v>46046.331342592595</v>
      </c>
      <c r="I411" s="5">
        <v>46050.528032407405</v>
      </c>
      <c r="J411">
        <v>4</v>
      </c>
      <c r="K411" t="s">
        <v>25</v>
      </c>
      <c r="L411" t="s">
        <v>30</v>
      </c>
    </row>
    <row r="412" spans="1:12" x14ac:dyDescent="0.25">
      <c r="A412" t="s">
        <v>1551</v>
      </c>
      <c r="B412">
        <v>102525</v>
      </c>
      <c r="C412" s="3">
        <v>26</v>
      </c>
      <c r="D412" t="s">
        <v>32</v>
      </c>
      <c r="E412" t="s">
        <v>3073</v>
      </c>
      <c r="F412" t="s">
        <v>3090</v>
      </c>
      <c r="G412" t="s">
        <v>394</v>
      </c>
      <c r="H412" s="5">
        <v>46046.519768518519</v>
      </c>
      <c r="I412" s="5">
        <v>46050.668553240743</v>
      </c>
      <c r="J412">
        <v>4</v>
      </c>
      <c r="K412" t="s">
        <v>25</v>
      </c>
      <c r="L412" t="s">
        <v>30</v>
      </c>
    </row>
    <row r="413" spans="1:12" x14ac:dyDescent="0.25">
      <c r="A413" t="s">
        <v>1555</v>
      </c>
      <c r="B413">
        <v>129009</v>
      </c>
      <c r="C413" s="3">
        <v>67</v>
      </c>
      <c r="D413" t="s">
        <v>32</v>
      </c>
      <c r="E413" t="s">
        <v>3073</v>
      </c>
      <c r="F413" t="s">
        <v>3090</v>
      </c>
      <c r="G413" t="s">
        <v>394</v>
      </c>
      <c r="H413" s="5">
        <v>46046.63385416667</v>
      </c>
      <c r="I413" s="5">
        <v>46051.541238425925</v>
      </c>
      <c r="J413">
        <v>4</v>
      </c>
      <c r="K413" t="s">
        <v>25</v>
      </c>
      <c r="L413" t="s">
        <v>30</v>
      </c>
    </row>
    <row r="414" spans="1:12" x14ac:dyDescent="0.25">
      <c r="A414" t="s">
        <v>1560</v>
      </c>
      <c r="B414">
        <v>129496</v>
      </c>
      <c r="C414" s="3">
        <v>20</v>
      </c>
      <c r="D414" t="s">
        <v>32</v>
      </c>
      <c r="E414" t="s">
        <v>3073</v>
      </c>
      <c r="F414" t="s">
        <v>3074</v>
      </c>
      <c r="G414" t="s">
        <v>22</v>
      </c>
      <c r="H414" s="5">
        <v>46046.943425925929</v>
      </c>
      <c r="I414" s="5">
        <v>46051.658750000002</v>
      </c>
      <c r="J414">
        <v>4</v>
      </c>
      <c r="K414" t="s">
        <v>25</v>
      </c>
      <c r="L414" t="s">
        <v>30</v>
      </c>
    </row>
    <row r="415" spans="1:12" x14ac:dyDescent="0.25">
      <c r="A415" t="s">
        <v>1563</v>
      </c>
      <c r="B415">
        <v>129511</v>
      </c>
      <c r="C415" s="3">
        <v>16</v>
      </c>
      <c r="D415" t="s">
        <v>32</v>
      </c>
      <c r="E415" t="s">
        <v>3073</v>
      </c>
      <c r="F415" t="s">
        <v>3074</v>
      </c>
      <c r="G415" t="s">
        <v>22</v>
      </c>
      <c r="H415" s="5">
        <v>46047.127025462964</v>
      </c>
      <c r="I415" s="5">
        <v>46051.363159722219</v>
      </c>
      <c r="J415">
        <v>4</v>
      </c>
      <c r="K415" t="s">
        <v>25</v>
      </c>
      <c r="L415" t="s">
        <v>30</v>
      </c>
    </row>
    <row r="416" spans="1:12" x14ac:dyDescent="0.25">
      <c r="A416" t="s">
        <v>1566</v>
      </c>
      <c r="B416">
        <v>129533</v>
      </c>
      <c r="C416" s="3" t="s">
        <v>3089</v>
      </c>
      <c r="D416" t="s">
        <v>32</v>
      </c>
      <c r="E416" t="s">
        <v>3073</v>
      </c>
      <c r="F416" t="s">
        <v>3076</v>
      </c>
      <c r="G416" t="s">
        <v>22</v>
      </c>
      <c r="H416" s="5">
        <v>46047.634097222224</v>
      </c>
      <c r="I416" s="5">
        <v>46052.48537037037</v>
      </c>
      <c r="J416">
        <v>4</v>
      </c>
      <c r="K416" t="s">
        <v>211</v>
      </c>
      <c r="L416" t="s">
        <v>30</v>
      </c>
    </row>
    <row r="417" spans="1:12" x14ac:dyDescent="0.25">
      <c r="A417" t="s">
        <v>1569</v>
      </c>
      <c r="B417">
        <v>129560</v>
      </c>
      <c r="C417" s="3">
        <v>22</v>
      </c>
      <c r="D417" t="s">
        <v>32</v>
      </c>
      <c r="E417" t="s">
        <v>3073</v>
      </c>
      <c r="F417" t="s">
        <v>3074</v>
      </c>
      <c r="G417" t="s">
        <v>22</v>
      </c>
      <c r="H417" s="5">
        <v>46048.305960648147</v>
      </c>
      <c r="I417" s="5">
        <v>46052.631539351853</v>
      </c>
      <c r="J417">
        <v>4</v>
      </c>
      <c r="K417" t="s">
        <v>25</v>
      </c>
      <c r="L417" t="s">
        <v>30</v>
      </c>
    </row>
    <row r="418" spans="1:12" x14ac:dyDescent="0.25">
      <c r="A418" t="s">
        <v>1572</v>
      </c>
      <c r="B418">
        <v>37569</v>
      </c>
      <c r="C418" s="3">
        <v>41</v>
      </c>
      <c r="D418" t="s">
        <v>32</v>
      </c>
      <c r="E418" t="s">
        <v>227</v>
      </c>
      <c r="F418" t="s">
        <v>3074</v>
      </c>
      <c r="G418" t="s">
        <v>22</v>
      </c>
      <c r="H418" s="5">
        <v>46049.498067129629</v>
      </c>
      <c r="I418" s="5">
        <v>46053.709027777775</v>
      </c>
      <c r="J418">
        <v>4</v>
      </c>
      <c r="K418" t="s">
        <v>25</v>
      </c>
      <c r="L418" t="s">
        <v>30</v>
      </c>
    </row>
    <row r="419" spans="1:12" x14ac:dyDescent="0.25">
      <c r="A419" t="s">
        <v>1575</v>
      </c>
      <c r="B419">
        <v>126721</v>
      </c>
      <c r="C419" s="3" t="s">
        <v>3088</v>
      </c>
      <c r="D419" t="s">
        <v>19</v>
      </c>
      <c r="E419" t="s">
        <v>3073</v>
      </c>
      <c r="F419" t="s">
        <v>3072</v>
      </c>
      <c r="G419" t="s">
        <v>22</v>
      </c>
      <c r="H419" s="5">
        <v>46020.794328703705</v>
      </c>
      <c r="I419" s="5">
        <v>46024.784004629626</v>
      </c>
      <c r="J419">
        <v>3</v>
      </c>
      <c r="K419" t="s">
        <v>25</v>
      </c>
      <c r="L419" t="s">
        <v>30</v>
      </c>
    </row>
    <row r="420" spans="1:12" x14ac:dyDescent="0.25">
      <c r="A420" t="s">
        <v>1578</v>
      </c>
      <c r="B420">
        <v>106425</v>
      </c>
      <c r="C420" s="3">
        <v>27</v>
      </c>
      <c r="D420" t="s">
        <v>32</v>
      </c>
      <c r="E420" t="s">
        <v>3073</v>
      </c>
      <c r="F420" t="s">
        <v>3074</v>
      </c>
      <c r="G420" t="s">
        <v>22</v>
      </c>
      <c r="H420" s="5">
        <v>46021.395509259259</v>
      </c>
      <c r="I420" s="5">
        <v>46024.721643518518</v>
      </c>
      <c r="J420">
        <v>3</v>
      </c>
      <c r="K420" t="s">
        <v>25</v>
      </c>
      <c r="L420" t="s">
        <v>30</v>
      </c>
    </row>
    <row r="421" spans="1:12" x14ac:dyDescent="0.25">
      <c r="A421" t="s">
        <v>1581</v>
      </c>
      <c r="B421">
        <v>126577</v>
      </c>
      <c r="C421" s="3">
        <v>40</v>
      </c>
      <c r="D421" t="s">
        <v>32</v>
      </c>
      <c r="E421" t="s">
        <v>3073</v>
      </c>
      <c r="F421" t="s">
        <v>3091</v>
      </c>
      <c r="G421" t="s">
        <v>22</v>
      </c>
      <c r="H421" s="5">
        <v>46021.46297453704</v>
      </c>
      <c r="I421" s="5">
        <v>46024.798449074071</v>
      </c>
      <c r="J421">
        <v>3</v>
      </c>
      <c r="K421" t="s">
        <v>211</v>
      </c>
      <c r="L421" t="s">
        <v>30</v>
      </c>
    </row>
    <row r="422" spans="1:12" x14ac:dyDescent="0.25">
      <c r="A422" t="s">
        <v>1584</v>
      </c>
      <c r="B422">
        <v>126808</v>
      </c>
      <c r="C422" s="3" t="s">
        <v>3088</v>
      </c>
      <c r="D422" t="s">
        <v>19</v>
      </c>
      <c r="E422" t="s">
        <v>3073</v>
      </c>
      <c r="F422" t="s">
        <v>3072</v>
      </c>
      <c r="G422" t="s">
        <v>22</v>
      </c>
      <c r="H422" s="5">
        <v>46021.536770833336</v>
      </c>
      <c r="I422" s="5">
        <v>46024.671539351853</v>
      </c>
      <c r="J422">
        <v>3</v>
      </c>
      <c r="K422" t="s">
        <v>25</v>
      </c>
      <c r="L422" t="s">
        <v>30</v>
      </c>
    </row>
    <row r="423" spans="1:12" x14ac:dyDescent="0.25">
      <c r="A423" t="s">
        <v>1587</v>
      </c>
      <c r="B423">
        <v>95938</v>
      </c>
      <c r="C423" s="3">
        <v>27</v>
      </c>
      <c r="D423" t="s">
        <v>32</v>
      </c>
      <c r="E423" t="s">
        <v>3073</v>
      </c>
      <c r="F423" t="s">
        <v>3074</v>
      </c>
      <c r="G423" t="s">
        <v>394</v>
      </c>
      <c r="H423" s="5">
        <v>46021.707708333335</v>
      </c>
      <c r="I423" s="5">
        <v>46025.341122685182</v>
      </c>
      <c r="J423">
        <v>3</v>
      </c>
      <c r="K423" t="s">
        <v>25</v>
      </c>
      <c r="L423" t="s">
        <v>30</v>
      </c>
    </row>
    <row r="424" spans="1:12" x14ac:dyDescent="0.25">
      <c r="A424" t="s">
        <v>1590</v>
      </c>
      <c r="B424">
        <v>55384</v>
      </c>
      <c r="C424" s="3">
        <v>29</v>
      </c>
      <c r="D424" t="s">
        <v>32</v>
      </c>
      <c r="E424" t="s">
        <v>3073</v>
      </c>
      <c r="F424" t="s">
        <v>3084</v>
      </c>
      <c r="G424" t="s">
        <v>22</v>
      </c>
      <c r="H424" s="5">
        <v>46022.874942129631</v>
      </c>
      <c r="I424" s="5">
        <v>46026.531388888892</v>
      </c>
      <c r="J424">
        <v>3</v>
      </c>
      <c r="K424" t="s">
        <v>25</v>
      </c>
      <c r="L424" t="s">
        <v>30</v>
      </c>
    </row>
    <row r="425" spans="1:12" x14ac:dyDescent="0.25">
      <c r="A425" t="s">
        <v>1594</v>
      </c>
      <c r="B425">
        <v>127009</v>
      </c>
      <c r="C425" s="3">
        <v>28</v>
      </c>
      <c r="D425" t="s">
        <v>32</v>
      </c>
      <c r="E425" t="s">
        <v>62</v>
      </c>
      <c r="F425" t="s">
        <v>3074</v>
      </c>
      <c r="G425" t="s">
        <v>22</v>
      </c>
      <c r="H425" s="5">
        <v>46023.815625000003</v>
      </c>
      <c r="I425" s="5">
        <v>46027.601620370369</v>
      </c>
      <c r="J425">
        <v>3</v>
      </c>
      <c r="K425" t="s">
        <v>25</v>
      </c>
      <c r="L425" t="s">
        <v>30</v>
      </c>
    </row>
    <row r="426" spans="1:12" x14ac:dyDescent="0.25">
      <c r="A426" t="s">
        <v>1597</v>
      </c>
      <c r="B426">
        <v>127016</v>
      </c>
      <c r="C426" s="3">
        <v>19</v>
      </c>
      <c r="D426" t="s">
        <v>19</v>
      </c>
      <c r="E426" t="s">
        <v>20</v>
      </c>
      <c r="F426" t="s">
        <v>3085</v>
      </c>
      <c r="G426" t="s">
        <v>22</v>
      </c>
      <c r="H426" s="5">
        <v>46023.957280092596</v>
      </c>
      <c r="I426" s="5">
        <v>46027.718993055554</v>
      </c>
      <c r="J426">
        <v>3</v>
      </c>
      <c r="K426" t="s">
        <v>211</v>
      </c>
      <c r="L426" t="s">
        <v>30</v>
      </c>
    </row>
    <row r="427" spans="1:12" x14ac:dyDescent="0.25">
      <c r="A427" t="s">
        <v>1600</v>
      </c>
      <c r="B427">
        <v>112535</v>
      </c>
      <c r="C427" s="3">
        <v>19</v>
      </c>
      <c r="D427" t="s">
        <v>32</v>
      </c>
      <c r="E427" t="s">
        <v>62</v>
      </c>
      <c r="F427" t="s">
        <v>3091</v>
      </c>
      <c r="G427" t="s">
        <v>394</v>
      </c>
      <c r="H427" s="5">
        <v>46024.159062500003</v>
      </c>
      <c r="I427" s="5">
        <v>46027.584826388891</v>
      </c>
      <c r="J427">
        <v>3</v>
      </c>
      <c r="K427" t="s">
        <v>25</v>
      </c>
      <c r="L427" t="s">
        <v>30</v>
      </c>
    </row>
    <row r="428" spans="1:12" x14ac:dyDescent="0.25">
      <c r="A428" t="s">
        <v>1603</v>
      </c>
      <c r="B428">
        <v>127099</v>
      </c>
      <c r="C428" s="3" t="s">
        <v>3088</v>
      </c>
      <c r="D428" t="s">
        <v>19</v>
      </c>
      <c r="E428" t="s">
        <v>3073</v>
      </c>
      <c r="F428" t="s">
        <v>3072</v>
      </c>
      <c r="G428" t="s">
        <v>22</v>
      </c>
      <c r="H428" s="5">
        <v>46024.719687500001</v>
      </c>
      <c r="I428" s="5">
        <v>46028.394930555558</v>
      </c>
      <c r="J428">
        <v>3</v>
      </c>
      <c r="K428" t="s">
        <v>211</v>
      </c>
      <c r="L428" t="s">
        <v>30</v>
      </c>
    </row>
    <row r="429" spans="1:12" x14ac:dyDescent="0.25">
      <c r="A429" t="s">
        <v>1606</v>
      </c>
      <c r="B429">
        <v>127121</v>
      </c>
      <c r="C429" s="3">
        <v>2</v>
      </c>
      <c r="D429" t="s">
        <v>32</v>
      </c>
      <c r="E429" t="s">
        <v>2589</v>
      </c>
      <c r="F429" t="s">
        <v>3076</v>
      </c>
      <c r="G429" t="s">
        <v>22</v>
      </c>
      <c r="H429" s="5">
        <v>46024.92591435185</v>
      </c>
      <c r="I429" s="5">
        <v>46028.705347222225</v>
      </c>
      <c r="J429">
        <v>3</v>
      </c>
      <c r="K429" t="s">
        <v>25</v>
      </c>
      <c r="L429" t="s">
        <v>30</v>
      </c>
    </row>
    <row r="430" spans="1:12" x14ac:dyDescent="0.25">
      <c r="A430" t="s">
        <v>1609</v>
      </c>
      <c r="B430">
        <v>127128</v>
      </c>
      <c r="C430" s="3" t="s">
        <v>3089</v>
      </c>
      <c r="D430" t="s">
        <v>19</v>
      </c>
      <c r="E430" t="s">
        <v>62</v>
      </c>
      <c r="F430" t="s">
        <v>3072</v>
      </c>
      <c r="G430" t="s">
        <v>22</v>
      </c>
      <c r="H430" s="5">
        <v>46025.057534722226</v>
      </c>
      <c r="I430" s="5">
        <v>46028.581921296296</v>
      </c>
      <c r="J430">
        <v>3</v>
      </c>
      <c r="K430" t="s">
        <v>211</v>
      </c>
      <c r="L430" t="s">
        <v>30</v>
      </c>
    </row>
    <row r="431" spans="1:12" x14ac:dyDescent="0.25">
      <c r="A431" t="s">
        <v>1612</v>
      </c>
      <c r="B431">
        <v>127153</v>
      </c>
      <c r="C431" s="3">
        <v>23</v>
      </c>
      <c r="D431" t="s">
        <v>32</v>
      </c>
      <c r="E431" t="s">
        <v>3073</v>
      </c>
      <c r="F431" t="s">
        <v>3077</v>
      </c>
      <c r="G431" t="s">
        <v>22</v>
      </c>
      <c r="H431" s="5">
        <v>46025.549768518518</v>
      </c>
      <c r="I431" s="5">
        <v>46029.459398148145</v>
      </c>
      <c r="J431">
        <v>3</v>
      </c>
      <c r="K431" t="s">
        <v>25</v>
      </c>
      <c r="L431" t="s">
        <v>30</v>
      </c>
    </row>
    <row r="432" spans="1:12" x14ac:dyDescent="0.25">
      <c r="A432" t="s">
        <v>1615</v>
      </c>
      <c r="B432">
        <v>123681</v>
      </c>
      <c r="C432" s="3">
        <v>43</v>
      </c>
      <c r="D432" t="s">
        <v>19</v>
      </c>
      <c r="E432" t="s">
        <v>62</v>
      </c>
      <c r="F432" t="s">
        <v>3086</v>
      </c>
      <c r="G432" t="s">
        <v>22</v>
      </c>
      <c r="H432" s="5">
        <v>46025.597141203703</v>
      </c>
      <c r="I432" s="5">
        <v>46029.396469907406</v>
      </c>
      <c r="J432">
        <v>3</v>
      </c>
      <c r="K432" t="s">
        <v>211</v>
      </c>
      <c r="L432" t="s">
        <v>30</v>
      </c>
    </row>
    <row r="433" spans="1:12" x14ac:dyDescent="0.25">
      <c r="A433" t="s">
        <v>1618</v>
      </c>
      <c r="B433">
        <v>125133</v>
      </c>
      <c r="C433" s="3">
        <v>23</v>
      </c>
      <c r="D433" t="s">
        <v>19</v>
      </c>
      <c r="E433" t="s">
        <v>62</v>
      </c>
      <c r="F433" t="s">
        <v>3090</v>
      </c>
      <c r="G433" t="s">
        <v>394</v>
      </c>
      <c r="H433" s="5">
        <v>46025.921527777777</v>
      </c>
      <c r="I433" s="5">
        <v>46029.582361111112</v>
      </c>
      <c r="J433">
        <v>3</v>
      </c>
      <c r="K433" t="s">
        <v>25</v>
      </c>
      <c r="L433" t="s">
        <v>30</v>
      </c>
    </row>
    <row r="434" spans="1:12" x14ac:dyDescent="0.25">
      <c r="A434" t="s">
        <v>1621</v>
      </c>
      <c r="B434">
        <v>127204</v>
      </c>
      <c r="C434" s="3">
        <v>20</v>
      </c>
      <c r="D434" t="s">
        <v>32</v>
      </c>
      <c r="E434" t="s">
        <v>3073</v>
      </c>
      <c r="F434" t="s">
        <v>3074</v>
      </c>
      <c r="G434" t="s">
        <v>22</v>
      </c>
      <c r="H434" s="5">
        <v>46026.104525462964</v>
      </c>
      <c r="I434" s="5">
        <v>46029.716226851851</v>
      </c>
      <c r="J434">
        <v>3</v>
      </c>
      <c r="K434" t="s">
        <v>25</v>
      </c>
      <c r="L434" t="s">
        <v>30</v>
      </c>
    </row>
    <row r="435" spans="1:12" x14ac:dyDescent="0.25">
      <c r="A435" t="s">
        <v>1624</v>
      </c>
      <c r="B435">
        <v>127186</v>
      </c>
      <c r="C435" s="3">
        <v>30</v>
      </c>
      <c r="D435" t="s">
        <v>19</v>
      </c>
      <c r="E435" t="s">
        <v>62</v>
      </c>
      <c r="F435" t="s">
        <v>3085</v>
      </c>
      <c r="G435" t="s">
        <v>22</v>
      </c>
      <c r="H435" s="5">
        <v>46026.263738425929</v>
      </c>
      <c r="I435" s="5">
        <v>46029.342685185184</v>
      </c>
      <c r="J435">
        <v>3</v>
      </c>
      <c r="K435" t="s">
        <v>25</v>
      </c>
      <c r="L435" t="s">
        <v>30</v>
      </c>
    </row>
    <row r="436" spans="1:12" x14ac:dyDescent="0.25">
      <c r="A436" t="s">
        <v>1627</v>
      </c>
      <c r="B436">
        <v>127198</v>
      </c>
      <c r="C436" s="3" t="s">
        <v>3080</v>
      </c>
      <c r="D436" t="s">
        <v>32</v>
      </c>
      <c r="E436" t="s">
        <v>3073</v>
      </c>
      <c r="F436" t="s">
        <v>3076</v>
      </c>
      <c r="G436" t="s">
        <v>22</v>
      </c>
      <c r="H436" s="5">
        <v>46026.2656712963</v>
      </c>
      <c r="I436" s="5">
        <v>46029.682476851849</v>
      </c>
      <c r="J436">
        <v>3</v>
      </c>
      <c r="K436" t="s">
        <v>25</v>
      </c>
      <c r="L436" t="s">
        <v>30</v>
      </c>
    </row>
    <row r="437" spans="1:12" x14ac:dyDescent="0.25">
      <c r="A437" t="s">
        <v>1630</v>
      </c>
      <c r="B437">
        <v>46877</v>
      </c>
      <c r="C437" s="3">
        <v>81</v>
      </c>
      <c r="D437" t="s">
        <v>19</v>
      </c>
      <c r="E437" t="s">
        <v>227</v>
      </c>
      <c r="F437" t="s">
        <v>3084</v>
      </c>
      <c r="G437" t="s">
        <v>394</v>
      </c>
      <c r="H437" s="5">
        <v>46026.508935185186</v>
      </c>
      <c r="I437" s="5">
        <v>46029.689328703702</v>
      </c>
      <c r="J437">
        <v>3</v>
      </c>
      <c r="K437" t="s">
        <v>25</v>
      </c>
      <c r="L437" t="s">
        <v>30</v>
      </c>
    </row>
    <row r="438" spans="1:12" x14ac:dyDescent="0.25">
      <c r="A438" t="s">
        <v>1633</v>
      </c>
      <c r="B438">
        <v>127010</v>
      </c>
      <c r="C438" s="3" t="s">
        <v>3088</v>
      </c>
      <c r="D438" t="s">
        <v>19</v>
      </c>
      <c r="E438" t="s">
        <v>3073</v>
      </c>
      <c r="F438" t="s">
        <v>3072</v>
      </c>
      <c r="G438" t="s">
        <v>22</v>
      </c>
      <c r="H438" s="5">
        <v>46026.62599537037</v>
      </c>
      <c r="I438" s="5">
        <v>46029.666388888887</v>
      </c>
      <c r="J438">
        <v>3</v>
      </c>
      <c r="K438" t="s">
        <v>25</v>
      </c>
      <c r="L438" t="s">
        <v>30</v>
      </c>
    </row>
    <row r="439" spans="1:12" x14ac:dyDescent="0.25">
      <c r="A439" t="s">
        <v>1636</v>
      </c>
      <c r="B439">
        <v>127254</v>
      </c>
      <c r="C439" s="3" t="s">
        <v>3088</v>
      </c>
      <c r="D439" t="s">
        <v>19</v>
      </c>
      <c r="E439" t="s">
        <v>62</v>
      </c>
      <c r="F439" t="s">
        <v>3072</v>
      </c>
      <c r="G439" t="s">
        <v>22</v>
      </c>
      <c r="H439" s="5">
        <v>46027.284155092595</v>
      </c>
      <c r="I439" s="5">
        <v>46030.657175925924</v>
      </c>
      <c r="J439">
        <v>3</v>
      </c>
      <c r="K439" t="s">
        <v>397</v>
      </c>
      <c r="L439" t="s">
        <v>30</v>
      </c>
    </row>
    <row r="440" spans="1:12" x14ac:dyDescent="0.25">
      <c r="A440" t="s">
        <v>1640</v>
      </c>
      <c r="B440">
        <v>74245</v>
      </c>
      <c r="C440" s="3">
        <v>27</v>
      </c>
      <c r="D440" t="s">
        <v>32</v>
      </c>
      <c r="E440" t="s">
        <v>227</v>
      </c>
      <c r="F440" t="s">
        <v>3074</v>
      </c>
      <c r="G440" t="s">
        <v>22</v>
      </c>
      <c r="H440" s="5">
        <v>46027.541527777779</v>
      </c>
      <c r="I440" s="5">
        <v>46031.535057870373</v>
      </c>
      <c r="J440">
        <v>3</v>
      </c>
      <c r="K440" t="s">
        <v>25</v>
      </c>
      <c r="L440" t="s">
        <v>30</v>
      </c>
    </row>
    <row r="441" spans="1:12" x14ac:dyDescent="0.25">
      <c r="A441" t="s">
        <v>1643</v>
      </c>
      <c r="B441">
        <v>112411</v>
      </c>
      <c r="C441" s="3">
        <v>44</v>
      </c>
      <c r="D441" t="s">
        <v>32</v>
      </c>
      <c r="E441" t="s">
        <v>260</v>
      </c>
      <c r="F441" t="s">
        <v>3090</v>
      </c>
      <c r="G441" t="s">
        <v>394</v>
      </c>
      <c r="H441" s="5">
        <v>46027.577696759261</v>
      </c>
      <c r="I441" s="5">
        <v>46030.665381944447</v>
      </c>
      <c r="J441">
        <v>3</v>
      </c>
      <c r="K441" t="s">
        <v>397</v>
      </c>
      <c r="L441" t="s">
        <v>30</v>
      </c>
    </row>
    <row r="442" spans="1:12" x14ac:dyDescent="0.25">
      <c r="A442" t="s">
        <v>1647</v>
      </c>
      <c r="B442">
        <v>127379</v>
      </c>
      <c r="C442" s="3">
        <v>20</v>
      </c>
      <c r="D442" t="s">
        <v>19</v>
      </c>
      <c r="E442" t="s">
        <v>62</v>
      </c>
      <c r="F442" t="s">
        <v>3085</v>
      </c>
      <c r="G442" t="s">
        <v>22</v>
      </c>
      <c r="H442" s="5">
        <v>46027.715254629627</v>
      </c>
      <c r="I442" s="5">
        <v>46031.669722222221</v>
      </c>
      <c r="J442">
        <v>3</v>
      </c>
      <c r="K442" t="s">
        <v>25</v>
      </c>
      <c r="L442" t="s">
        <v>30</v>
      </c>
    </row>
    <row r="443" spans="1:12" x14ac:dyDescent="0.25">
      <c r="A443" t="s">
        <v>1650</v>
      </c>
      <c r="B443">
        <v>127397</v>
      </c>
      <c r="C443" s="3">
        <v>51</v>
      </c>
      <c r="D443" t="s">
        <v>19</v>
      </c>
      <c r="E443" t="s">
        <v>260</v>
      </c>
      <c r="F443" t="s">
        <v>3078</v>
      </c>
      <c r="G443" t="s">
        <v>22</v>
      </c>
      <c r="H443" s="5">
        <v>46027.728275462963</v>
      </c>
      <c r="I443" s="5">
        <v>46031.362430555557</v>
      </c>
      <c r="J443">
        <v>3</v>
      </c>
      <c r="K443" t="s">
        <v>25</v>
      </c>
      <c r="L443" t="s">
        <v>30</v>
      </c>
    </row>
    <row r="444" spans="1:12" x14ac:dyDescent="0.25">
      <c r="A444" t="s">
        <v>1653</v>
      </c>
      <c r="B444">
        <v>127414</v>
      </c>
      <c r="C444" s="3">
        <v>8</v>
      </c>
      <c r="D444" t="s">
        <v>32</v>
      </c>
      <c r="E444" t="s">
        <v>62</v>
      </c>
      <c r="F444" t="s">
        <v>3076</v>
      </c>
      <c r="G444" t="s">
        <v>22</v>
      </c>
      <c r="H444" s="5">
        <v>46027.814375000002</v>
      </c>
      <c r="I444" s="5">
        <v>46031.566006944442</v>
      </c>
      <c r="J444">
        <v>3</v>
      </c>
      <c r="K444" t="s">
        <v>25</v>
      </c>
      <c r="L444" t="s">
        <v>30</v>
      </c>
    </row>
    <row r="445" spans="1:12" x14ac:dyDescent="0.25">
      <c r="A445" t="s">
        <v>1656</v>
      </c>
      <c r="B445">
        <v>127483</v>
      </c>
      <c r="C445" s="3">
        <v>30</v>
      </c>
      <c r="D445" t="s">
        <v>32</v>
      </c>
      <c r="E445" t="s">
        <v>3073</v>
      </c>
      <c r="F445" t="s">
        <v>3077</v>
      </c>
      <c r="G445" t="s">
        <v>22</v>
      </c>
      <c r="H445" s="5">
        <v>46028.566018518519</v>
      </c>
      <c r="I445" s="5">
        <v>46032.551782407405</v>
      </c>
      <c r="J445">
        <v>3</v>
      </c>
      <c r="K445" t="s">
        <v>25</v>
      </c>
      <c r="L445" t="s">
        <v>30</v>
      </c>
    </row>
    <row r="446" spans="1:12" x14ac:dyDescent="0.25">
      <c r="A446" t="s">
        <v>1659</v>
      </c>
      <c r="B446">
        <v>127565</v>
      </c>
      <c r="C446" s="3">
        <v>29</v>
      </c>
      <c r="D446" t="s">
        <v>32</v>
      </c>
      <c r="E446" t="s">
        <v>3073</v>
      </c>
      <c r="F446" t="s">
        <v>3074</v>
      </c>
      <c r="G446" t="s">
        <v>22</v>
      </c>
      <c r="H446" s="5">
        <v>46029.721770833334</v>
      </c>
      <c r="I446" s="5">
        <v>46033.588263888887</v>
      </c>
      <c r="J446">
        <v>3</v>
      </c>
      <c r="K446" t="s">
        <v>25</v>
      </c>
      <c r="L446" t="s">
        <v>30</v>
      </c>
    </row>
    <row r="447" spans="1:12" x14ac:dyDescent="0.25">
      <c r="A447" t="s">
        <v>1662</v>
      </c>
      <c r="B447">
        <v>126925</v>
      </c>
      <c r="C447" s="3">
        <v>12</v>
      </c>
      <c r="D447" t="s">
        <v>19</v>
      </c>
      <c r="E447" t="s">
        <v>2589</v>
      </c>
      <c r="F447" t="s">
        <v>3076</v>
      </c>
      <c r="G447" t="s">
        <v>22</v>
      </c>
      <c r="H447" s="5">
        <v>46029.795405092591</v>
      </c>
      <c r="I447" s="5">
        <v>46033.599988425929</v>
      </c>
      <c r="J447">
        <v>3</v>
      </c>
      <c r="K447" t="s">
        <v>25</v>
      </c>
      <c r="L447" t="s">
        <v>30</v>
      </c>
    </row>
    <row r="448" spans="1:12" x14ac:dyDescent="0.25">
      <c r="A448" t="s">
        <v>1666</v>
      </c>
      <c r="B448">
        <v>30963</v>
      </c>
      <c r="C448" s="3">
        <v>30</v>
      </c>
      <c r="D448" t="s">
        <v>32</v>
      </c>
      <c r="E448" t="s">
        <v>3073</v>
      </c>
      <c r="F448" t="s">
        <v>3074</v>
      </c>
      <c r="G448" t="s">
        <v>701</v>
      </c>
      <c r="H448" s="5">
        <v>46029.959768518522</v>
      </c>
      <c r="I448" s="5">
        <v>46033.742696759262</v>
      </c>
      <c r="J448">
        <v>3</v>
      </c>
      <c r="K448" t="s">
        <v>25</v>
      </c>
      <c r="L448" t="s">
        <v>30</v>
      </c>
    </row>
    <row r="449" spans="1:12" x14ac:dyDescent="0.25">
      <c r="A449" t="s">
        <v>1669</v>
      </c>
      <c r="B449">
        <v>6737</v>
      </c>
      <c r="C449" s="3">
        <v>62</v>
      </c>
      <c r="D449" t="s">
        <v>32</v>
      </c>
      <c r="E449" t="s">
        <v>754</v>
      </c>
      <c r="F449" t="s">
        <v>3091</v>
      </c>
      <c r="G449" t="s">
        <v>22</v>
      </c>
      <c r="H449" s="5">
        <v>46030.072152777779</v>
      </c>
      <c r="I449" s="5">
        <v>46033.669664351852</v>
      </c>
      <c r="J449">
        <v>3</v>
      </c>
      <c r="K449" t="s">
        <v>25</v>
      </c>
      <c r="L449" t="s">
        <v>30</v>
      </c>
    </row>
    <row r="450" spans="1:12" x14ac:dyDescent="0.25">
      <c r="A450" t="s">
        <v>1673</v>
      </c>
      <c r="B450">
        <v>127782</v>
      </c>
      <c r="C450" s="3">
        <v>28</v>
      </c>
      <c r="D450" t="s">
        <v>32</v>
      </c>
      <c r="E450" t="s">
        <v>3073</v>
      </c>
      <c r="F450" t="s">
        <v>3074</v>
      </c>
      <c r="G450" t="s">
        <v>22</v>
      </c>
      <c r="H450" s="5">
        <v>46030.648078703707</v>
      </c>
      <c r="I450" s="5">
        <v>46033.753506944442</v>
      </c>
      <c r="J450">
        <v>3</v>
      </c>
      <c r="K450" t="s">
        <v>25</v>
      </c>
      <c r="L450" t="s">
        <v>30</v>
      </c>
    </row>
    <row r="451" spans="1:12" x14ac:dyDescent="0.25">
      <c r="A451" t="s">
        <v>1676</v>
      </c>
      <c r="B451">
        <v>127941</v>
      </c>
      <c r="C451" s="3">
        <v>45</v>
      </c>
      <c r="D451" t="s">
        <v>32</v>
      </c>
      <c r="E451" t="s">
        <v>20</v>
      </c>
      <c r="F451" t="s">
        <v>3091</v>
      </c>
      <c r="G451" t="s">
        <v>22</v>
      </c>
      <c r="H451" s="5">
        <v>46031.805104166669</v>
      </c>
      <c r="I451" s="5">
        <v>46035.495972222219</v>
      </c>
      <c r="J451">
        <v>3</v>
      </c>
      <c r="K451" t="s">
        <v>25</v>
      </c>
      <c r="L451" t="s">
        <v>30</v>
      </c>
    </row>
    <row r="452" spans="1:12" x14ac:dyDescent="0.25">
      <c r="A452" t="s">
        <v>1679</v>
      </c>
      <c r="B452">
        <v>127937</v>
      </c>
      <c r="C452" s="3" t="s">
        <v>3075</v>
      </c>
      <c r="D452" t="s">
        <v>19</v>
      </c>
      <c r="E452" t="s">
        <v>62</v>
      </c>
      <c r="F452" t="s">
        <v>3076</v>
      </c>
      <c r="G452" t="s">
        <v>22</v>
      </c>
      <c r="H452" s="5">
        <v>46031.833298611113</v>
      </c>
      <c r="I452" s="5">
        <v>46035.780405092592</v>
      </c>
      <c r="J452">
        <v>3</v>
      </c>
      <c r="K452" t="s">
        <v>112</v>
      </c>
      <c r="L452" t="s">
        <v>30</v>
      </c>
    </row>
    <row r="453" spans="1:12" x14ac:dyDescent="0.25">
      <c r="A453" t="s">
        <v>1682</v>
      </c>
      <c r="B453">
        <v>127946</v>
      </c>
      <c r="C453" s="3" t="s">
        <v>3088</v>
      </c>
      <c r="D453" t="s">
        <v>32</v>
      </c>
      <c r="E453" t="s">
        <v>62</v>
      </c>
      <c r="F453" t="s">
        <v>3072</v>
      </c>
      <c r="G453" t="s">
        <v>22</v>
      </c>
      <c r="H453" s="5">
        <v>46031.849756944444</v>
      </c>
      <c r="I453" s="5">
        <v>46035.847037037034</v>
      </c>
      <c r="J453">
        <v>3</v>
      </c>
      <c r="K453" t="s">
        <v>211</v>
      </c>
      <c r="L453" t="s">
        <v>30</v>
      </c>
    </row>
    <row r="454" spans="1:12" x14ac:dyDescent="0.25">
      <c r="A454" t="s">
        <v>1685</v>
      </c>
      <c r="B454">
        <v>127940</v>
      </c>
      <c r="C454" s="3">
        <v>45</v>
      </c>
      <c r="D454" t="s">
        <v>32</v>
      </c>
      <c r="E454" t="s">
        <v>260</v>
      </c>
      <c r="F454" t="s">
        <v>3077</v>
      </c>
      <c r="G454" t="s">
        <v>22</v>
      </c>
      <c r="H454" s="5">
        <v>46031.887349537035</v>
      </c>
      <c r="I454" s="5">
        <v>46035.809259259258</v>
      </c>
      <c r="J454">
        <v>3</v>
      </c>
      <c r="K454" t="s">
        <v>397</v>
      </c>
      <c r="L454" t="s">
        <v>30</v>
      </c>
    </row>
    <row r="455" spans="1:12" x14ac:dyDescent="0.25">
      <c r="A455" t="s">
        <v>1688</v>
      </c>
      <c r="B455">
        <v>127948</v>
      </c>
      <c r="C455" s="3">
        <v>60</v>
      </c>
      <c r="D455" t="s">
        <v>32</v>
      </c>
      <c r="E455" t="s">
        <v>62</v>
      </c>
      <c r="F455" t="s">
        <v>3077</v>
      </c>
      <c r="G455" t="s">
        <v>22</v>
      </c>
      <c r="H455" s="5">
        <v>46032.121631944443</v>
      </c>
      <c r="I455" s="5">
        <v>46035.774351851855</v>
      </c>
      <c r="J455">
        <v>3</v>
      </c>
      <c r="K455" t="s">
        <v>25</v>
      </c>
      <c r="L455" t="s">
        <v>30</v>
      </c>
    </row>
    <row r="456" spans="1:12" x14ac:dyDescent="0.25">
      <c r="A456" t="s">
        <v>1691</v>
      </c>
      <c r="B456">
        <v>127962</v>
      </c>
      <c r="C456" s="3">
        <v>25</v>
      </c>
      <c r="D456" t="s">
        <v>32</v>
      </c>
      <c r="E456" t="s">
        <v>3073</v>
      </c>
      <c r="F456" t="s">
        <v>3074</v>
      </c>
      <c r="G456" t="s">
        <v>22</v>
      </c>
      <c r="H456" s="5">
        <v>46032.386180555557</v>
      </c>
      <c r="I456" s="5">
        <v>46035.748460648145</v>
      </c>
      <c r="J456">
        <v>3</v>
      </c>
      <c r="K456" t="s">
        <v>25</v>
      </c>
      <c r="L456" t="s">
        <v>30</v>
      </c>
    </row>
    <row r="457" spans="1:12" x14ac:dyDescent="0.25">
      <c r="A457" t="s">
        <v>1694</v>
      </c>
      <c r="B457">
        <v>127969</v>
      </c>
      <c r="C457" s="3">
        <v>40</v>
      </c>
      <c r="D457" t="s">
        <v>32</v>
      </c>
      <c r="E457" t="s">
        <v>20</v>
      </c>
      <c r="F457" t="s">
        <v>3077</v>
      </c>
      <c r="G457" t="s">
        <v>22</v>
      </c>
      <c r="H457" s="5">
        <v>46032.472222222219</v>
      </c>
      <c r="I457" s="5">
        <v>46035.837581018517</v>
      </c>
      <c r="J457">
        <v>3</v>
      </c>
      <c r="K457" t="s">
        <v>397</v>
      </c>
      <c r="L457" t="s">
        <v>30</v>
      </c>
    </row>
    <row r="458" spans="1:12" x14ac:dyDescent="0.25">
      <c r="A458" t="s">
        <v>1697</v>
      </c>
      <c r="B458">
        <v>128017</v>
      </c>
      <c r="C458" s="3" t="s">
        <v>3088</v>
      </c>
      <c r="D458" t="s">
        <v>32</v>
      </c>
      <c r="E458" t="s">
        <v>3073</v>
      </c>
      <c r="F458" t="s">
        <v>3072</v>
      </c>
      <c r="G458" t="s">
        <v>22</v>
      </c>
      <c r="H458" s="5">
        <v>46033.290312500001</v>
      </c>
      <c r="I458" s="5">
        <v>46036.357905092591</v>
      </c>
      <c r="J458">
        <v>3</v>
      </c>
      <c r="K458" t="s">
        <v>211</v>
      </c>
      <c r="L458" t="s">
        <v>30</v>
      </c>
    </row>
    <row r="459" spans="1:12" x14ac:dyDescent="0.25">
      <c r="A459" t="s">
        <v>1700</v>
      </c>
      <c r="B459">
        <v>128040</v>
      </c>
      <c r="C459" s="3" t="s">
        <v>3088</v>
      </c>
      <c r="D459" t="s">
        <v>19</v>
      </c>
      <c r="E459" t="s">
        <v>3073</v>
      </c>
      <c r="F459" t="s">
        <v>3072</v>
      </c>
      <c r="G459" t="s">
        <v>22</v>
      </c>
      <c r="H459" s="5">
        <v>46033.613391203704</v>
      </c>
      <c r="I459" s="5">
        <v>46036.725752314815</v>
      </c>
      <c r="J459">
        <v>3</v>
      </c>
      <c r="K459" t="s">
        <v>25</v>
      </c>
      <c r="L459" t="s">
        <v>30</v>
      </c>
    </row>
    <row r="460" spans="1:12" x14ac:dyDescent="0.25">
      <c r="A460" t="s">
        <v>1703</v>
      </c>
      <c r="B460">
        <v>90987</v>
      </c>
      <c r="C460" s="3">
        <v>8</v>
      </c>
      <c r="D460" t="s">
        <v>32</v>
      </c>
      <c r="E460" t="s">
        <v>3073</v>
      </c>
      <c r="F460" t="s">
        <v>3076</v>
      </c>
      <c r="G460" t="s">
        <v>292</v>
      </c>
      <c r="H460" s="5">
        <v>46033.631782407407</v>
      </c>
      <c r="I460" s="5">
        <v>46037.584768518522</v>
      </c>
      <c r="J460">
        <v>3</v>
      </c>
      <c r="K460" t="s">
        <v>25</v>
      </c>
      <c r="L460" t="s">
        <v>30</v>
      </c>
    </row>
    <row r="461" spans="1:12" x14ac:dyDescent="0.25">
      <c r="A461" t="s">
        <v>1706</v>
      </c>
      <c r="B461">
        <v>108462</v>
      </c>
      <c r="C461" s="3" t="s">
        <v>3079</v>
      </c>
      <c r="D461" t="s">
        <v>19</v>
      </c>
      <c r="E461" t="s">
        <v>3073</v>
      </c>
      <c r="F461" t="s">
        <v>3076</v>
      </c>
      <c r="G461" t="s">
        <v>22</v>
      </c>
      <c r="H461" s="5">
        <v>46033.660543981481</v>
      </c>
      <c r="I461" s="5">
        <v>46037.569594907407</v>
      </c>
      <c r="J461">
        <v>3</v>
      </c>
      <c r="K461" t="s">
        <v>25</v>
      </c>
      <c r="L461" t="s">
        <v>30</v>
      </c>
    </row>
    <row r="462" spans="1:12" x14ac:dyDescent="0.25">
      <c r="A462" t="s">
        <v>1709</v>
      </c>
      <c r="B462">
        <v>34800</v>
      </c>
      <c r="C462" s="3">
        <v>32</v>
      </c>
      <c r="D462" t="s">
        <v>32</v>
      </c>
      <c r="E462" t="s">
        <v>227</v>
      </c>
      <c r="F462" t="s">
        <v>3074</v>
      </c>
      <c r="G462" t="s">
        <v>22</v>
      </c>
      <c r="H462" s="5">
        <v>46033.750821759262</v>
      </c>
      <c r="I462" s="5">
        <v>46037.324166666665</v>
      </c>
      <c r="J462">
        <v>3</v>
      </c>
      <c r="K462" t="s">
        <v>25</v>
      </c>
      <c r="L462" t="s">
        <v>30</v>
      </c>
    </row>
    <row r="463" spans="1:12" x14ac:dyDescent="0.25">
      <c r="A463" t="s">
        <v>1712</v>
      </c>
      <c r="B463">
        <v>116553</v>
      </c>
      <c r="C463" s="3">
        <v>2</v>
      </c>
      <c r="D463" t="s">
        <v>19</v>
      </c>
      <c r="E463" t="s">
        <v>20</v>
      </c>
      <c r="F463" t="s">
        <v>3076</v>
      </c>
      <c r="G463" t="s">
        <v>22</v>
      </c>
      <c r="H463" s="5">
        <v>46034.492997685185</v>
      </c>
      <c r="I463" s="5">
        <v>46037.674791666665</v>
      </c>
      <c r="J463">
        <v>3</v>
      </c>
      <c r="K463" t="s">
        <v>25</v>
      </c>
      <c r="L463" t="s">
        <v>30</v>
      </c>
    </row>
    <row r="464" spans="1:12" x14ac:dyDescent="0.25">
      <c r="A464" t="s">
        <v>1715</v>
      </c>
      <c r="B464">
        <v>19065</v>
      </c>
      <c r="C464" s="3">
        <v>50</v>
      </c>
      <c r="D464" t="s">
        <v>19</v>
      </c>
      <c r="E464" t="s">
        <v>227</v>
      </c>
      <c r="F464" t="s">
        <v>3086</v>
      </c>
      <c r="G464" t="s">
        <v>22</v>
      </c>
      <c r="H464" s="5">
        <v>46034.53565972222</v>
      </c>
      <c r="I464" s="5">
        <v>46038.36614583333</v>
      </c>
      <c r="J464">
        <v>3</v>
      </c>
      <c r="K464" t="s">
        <v>25</v>
      </c>
      <c r="L464" t="s">
        <v>30</v>
      </c>
    </row>
    <row r="465" spans="1:12" x14ac:dyDescent="0.25">
      <c r="A465" t="s">
        <v>1718</v>
      </c>
      <c r="B465">
        <v>128154</v>
      </c>
      <c r="C465" s="3" t="s">
        <v>3088</v>
      </c>
      <c r="D465" t="s">
        <v>19</v>
      </c>
      <c r="E465" t="s">
        <v>3073</v>
      </c>
      <c r="F465" t="s">
        <v>3072</v>
      </c>
      <c r="G465" t="s">
        <v>22</v>
      </c>
      <c r="H465" s="5">
        <v>46034.738703703704</v>
      </c>
      <c r="I465" s="5">
        <v>46038.514953703707</v>
      </c>
      <c r="J465">
        <v>3</v>
      </c>
      <c r="K465" t="s">
        <v>25</v>
      </c>
      <c r="L465" t="s">
        <v>30</v>
      </c>
    </row>
    <row r="466" spans="1:12" x14ac:dyDescent="0.25">
      <c r="A466" t="s">
        <v>1721</v>
      </c>
      <c r="B466">
        <v>128306</v>
      </c>
      <c r="C466" s="3">
        <v>6</v>
      </c>
      <c r="D466" t="s">
        <v>32</v>
      </c>
      <c r="E466" t="s">
        <v>62</v>
      </c>
      <c r="F466" t="s">
        <v>3076</v>
      </c>
      <c r="G466" t="s">
        <v>22</v>
      </c>
      <c r="H466" s="5">
        <v>46035.794293981482</v>
      </c>
      <c r="I466" s="5">
        <v>46039.739074074074</v>
      </c>
      <c r="J466">
        <v>3</v>
      </c>
      <c r="K466" t="s">
        <v>25</v>
      </c>
      <c r="L466" t="s">
        <v>30</v>
      </c>
    </row>
    <row r="467" spans="1:12" x14ac:dyDescent="0.25">
      <c r="A467" t="s">
        <v>1724</v>
      </c>
      <c r="B467">
        <v>128451</v>
      </c>
      <c r="C467" s="3">
        <v>24</v>
      </c>
      <c r="D467" t="s">
        <v>32</v>
      </c>
      <c r="E467" t="s">
        <v>3073</v>
      </c>
      <c r="F467" t="s">
        <v>3074</v>
      </c>
      <c r="G467" t="s">
        <v>22</v>
      </c>
      <c r="H467" s="5">
        <v>46036.690868055557</v>
      </c>
      <c r="I467" s="5">
        <v>46039.799560185187</v>
      </c>
      <c r="J467">
        <v>3</v>
      </c>
      <c r="K467" t="s">
        <v>25</v>
      </c>
      <c r="L467" t="s">
        <v>30</v>
      </c>
    </row>
    <row r="468" spans="1:12" x14ac:dyDescent="0.25">
      <c r="A468" t="s">
        <v>1727</v>
      </c>
      <c r="B468">
        <v>128470</v>
      </c>
      <c r="C468" s="3">
        <v>26</v>
      </c>
      <c r="D468" t="s">
        <v>32</v>
      </c>
      <c r="E468" t="s">
        <v>260</v>
      </c>
      <c r="F468" t="s">
        <v>3074</v>
      </c>
      <c r="G468" t="s">
        <v>22</v>
      </c>
      <c r="H468" s="5">
        <v>46037.006909722222</v>
      </c>
      <c r="I468" s="5">
        <v>46040.769270833334</v>
      </c>
      <c r="J468">
        <v>3</v>
      </c>
      <c r="K468" t="s">
        <v>25</v>
      </c>
      <c r="L468" t="s">
        <v>30</v>
      </c>
    </row>
    <row r="469" spans="1:12" x14ac:dyDescent="0.25">
      <c r="A469" t="s">
        <v>1730</v>
      </c>
      <c r="B469">
        <v>128509</v>
      </c>
      <c r="C469" s="3">
        <v>65</v>
      </c>
      <c r="D469" t="s">
        <v>19</v>
      </c>
      <c r="E469" t="s">
        <v>2589</v>
      </c>
      <c r="F469" t="s">
        <v>3086</v>
      </c>
      <c r="G469" t="s">
        <v>22</v>
      </c>
      <c r="H469" s="5">
        <v>46037.600706018522</v>
      </c>
      <c r="I469" s="5">
        <v>46041.484710648147</v>
      </c>
      <c r="J469">
        <v>3</v>
      </c>
      <c r="K469" t="s">
        <v>211</v>
      </c>
      <c r="L469" t="s">
        <v>30</v>
      </c>
    </row>
    <row r="470" spans="1:12" x14ac:dyDescent="0.25">
      <c r="A470" t="s">
        <v>1733</v>
      </c>
      <c r="B470">
        <v>128565</v>
      </c>
      <c r="C470" s="3" t="s">
        <v>3088</v>
      </c>
      <c r="D470" t="s">
        <v>32</v>
      </c>
      <c r="E470" t="s">
        <v>3073</v>
      </c>
      <c r="F470" t="s">
        <v>3072</v>
      </c>
      <c r="G470" t="s">
        <v>22</v>
      </c>
      <c r="H470" s="5">
        <v>46037.934884259259</v>
      </c>
      <c r="I470" s="5">
        <v>46041.45921296296</v>
      </c>
      <c r="J470">
        <v>3</v>
      </c>
      <c r="K470" t="s">
        <v>25</v>
      </c>
      <c r="L470" t="s">
        <v>30</v>
      </c>
    </row>
    <row r="471" spans="1:12" x14ac:dyDescent="0.25">
      <c r="A471" t="s">
        <v>1736</v>
      </c>
      <c r="B471">
        <v>128576</v>
      </c>
      <c r="C471" s="3">
        <v>25</v>
      </c>
      <c r="D471" t="s">
        <v>32</v>
      </c>
      <c r="E471" t="s">
        <v>3073</v>
      </c>
      <c r="F471" t="s">
        <v>3074</v>
      </c>
      <c r="G471" t="s">
        <v>22</v>
      </c>
      <c r="H471" s="5">
        <v>46038.336261574077</v>
      </c>
      <c r="I471" s="5">
        <v>46041.662222222221</v>
      </c>
      <c r="J471">
        <v>3</v>
      </c>
      <c r="K471" t="s">
        <v>25</v>
      </c>
      <c r="L471" t="s">
        <v>30</v>
      </c>
    </row>
    <row r="472" spans="1:12" x14ac:dyDescent="0.25">
      <c r="A472" t="s">
        <v>1739</v>
      </c>
      <c r="B472">
        <v>3264</v>
      </c>
      <c r="C472" s="3">
        <v>47</v>
      </c>
      <c r="D472" t="s">
        <v>19</v>
      </c>
      <c r="E472" t="s">
        <v>754</v>
      </c>
      <c r="F472" t="s">
        <v>3086</v>
      </c>
      <c r="G472" t="s">
        <v>22</v>
      </c>
      <c r="H472" s="5">
        <v>46038.992592592593</v>
      </c>
      <c r="I472" s="5">
        <v>46042.746400462966</v>
      </c>
      <c r="J472">
        <v>3</v>
      </c>
      <c r="K472" t="s">
        <v>25</v>
      </c>
      <c r="L472" t="s">
        <v>30</v>
      </c>
    </row>
    <row r="473" spans="1:12" x14ac:dyDescent="0.25">
      <c r="A473" t="s">
        <v>1742</v>
      </c>
      <c r="B473">
        <v>125686</v>
      </c>
      <c r="C473" s="3">
        <v>45</v>
      </c>
      <c r="D473" t="s">
        <v>19</v>
      </c>
      <c r="E473" t="s">
        <v>20</v>
      </c>
      <c r="F473" t="s">
        <v>3085</v>
      </c>
      <c r="G473" t="s">
        <v>22</v>
      </c>
      <c r="H473" s="5">
        <v>46039.783796296295</v>
      </c>
      <c r="I473" s="5">
        <v>46043.744837962964</v>
      </c>
      <c r="J473">
        <v>3</v>
      </c>
      <c r="K473" t="s">
        <v>25</v>
      </c>
      <c r="L473" t="s">
        <v>30</v>
      </c>
    </row>
    <row r="474" spans="1:12" x14ac:dyDescent="0.25">
      <c r="A474" t="s">
        <v>1746</v>
      </c>
      <c r="B474">
        <v>128733</v>
      </c>
      <c r="C474" s="3">
        <v>3</v>
      </c>
      <c r="D474" t="s">
        <v>19</v>
      </c>
      <c r="E474" t="s">
        <v>260</v>
      </c>
      <c r="F474" t="s">
        <v>3076</v>
      </c>
      <c r="G474" t="s">
        <v>22</v>
      </c>
      <c r="H474" s="5">
        <v>46039.788715277777</v>
      </c>
      <c r="I474" s="5">
        <v>46043.700648148151</v>
      </c>
      <c r="J474">
        <v>3</v>
      </c>
      <c r="K474" t="s">
        <v>25</v>
      </c>
      <c r="L474" t="s">
        <v>30</v>
      </c>
    </row>
    <row r="475" spans="1:12" x14ac:dyDescent="0.25">
      <c r="A475" t="s">
        <v>1749</v>
      </c>
      <c r="B475">
        <v>128732</v>
      </c>
      <c r="C475" s="3">
        <v>20</v>
      </c>
      <c r="D475" t="s">
        <v>32</v>
      </c>
      <c r="E475" t="s">
        <v>3073</v>
      </c>
      <c r="F475" t="s">
        <v>3077</v>
      </c>
      <c r="G475" t="s">
        <v>22</v>
      </c>
      <c r="H475" s="5">
        <v>46039.792361111111</v>
      </c>
      <c r="I475" s="5">
        <v>46043.638877314814</v>
      </c>
      <c r="J475">
        <v>3</v>
      </c>
      <c r="K475" t="s">
        <v>25</v>
      </c>
      <c r="L475" t="s">
        <v>30</v>
      </c>
    </row>
    <row r="476" spans="1:12" x14ac:dyDescent="0.25">
      <c r="A476" t="s">
        <v>1752</v>
      </c>
      <c r="B476">
        <v>128747</v>
      </c>
      <c r="C476" s="3" t="s">
        <v>3079</v>
      </c>
      <c r="D476" t="s">
        <v>19</v>
      </c>
      <c r="E476" t="s">
        <v>3073</v>
      </c>
      <c r="F476" t="s">
        <v>3076</v>
      </c>
      <c r="G476" t="s">
        <v>22</v>
      </c>
      <c r="H476" s="5">
        <v>46040.145416666666</v>
      </c>
      <c r="I476" s="5">
        <v>46043.759259259263</v>
      </c>
      <c r="J476">
        <v>3</v>
      </c>
      <c r="K476" t="s">
        <v>112</v>
      </c>
      <c r="L476" t="s">
        <v>30</v>
      </c>
    </row>
    <row r="477" spans="1:12" x14ac:dyDescent="0.25">
      <c r="A477" t="s">
        <v>1755</v>
      </c>
      <c r="B477">
        <v>10771</v>
      </c>
      <c r="C477" s="3">
        <v>32</v>
      </c>
      <c r="D477" t="s">
        <v>32</v>
      </c>
      <c r="E477" t="s">
        <v>3073</v>
      </c>
      <c r="F477" t="s">
        <v>3074</v>
      </c>
      <c r="G477" t="s">
        <v>394</v>
      </c>
      <c r="H477" s="5">
        <v>46040.595000000001</v>
      </c>
      <c r="I477" s="5">
        <v>46044.373888888891</v>
      </c>
      <c r="J477">
        <v>3</v>
      </c>
      <c r="K477" t="s">
        <v>25</v>
      </c>
      <c r="L477" t="s">
        <v>30</v>
      </c>
    </row>
    <row r="478" spans="1:12" x14ac:dyDescent="0.25">
      <c r="A478" t="s">
        <v>1758</v>
      </c>
      <c r="B478">
        <v>128785</v>
      </c>
      <c r="C478" s="3" t="s">
        <v>3088</v>
      </c>
      <c r="D478" t="s">
        <v>19</v>
      </c>
      <c r="E478" t="s">
        <v>3073</v>
      </c>
      <c r="F478" t="s">
        <v>3072</v>
      </c>
      <c r="G478" t="s">
        <v>22</v>
      </c>
      <c r="H478" s="5">
        <v>46040.856770833336</v>
      </c>
      <c r="I478" s="5">
        <v>46044.510578703703</v>
      </c>
      <c r="J478">
        <v>3</v>
      </c>
      <c r="K478" t="s">
        <v>25</v>
      </c>
      <c r="L478" t="s">
        <v>30</v>
      </c>
    </row>
    <row r="479" spans="1:12" x14ac:dyDescent="0.25">
      <c r="A479" t="s">
        <v>1761</v>
      </c>
      <c r="B479">
        <v>128794</v>
      </c>
      <c r="C479" s="3">
        <v>28</v>
      </c>
      <c r="D479" t="s">
        <v>32</v>
      </c>
      <c r="E479" t="s">
        <v>20</v>
      </c>
      <c r="F479" t="s">
        <v>3074</v>
      </c>
      <c r="G479" t="s">
        <v>22</v>
      </c>
      <c r="H479" s="5">
        <v>46041.093449074076</v>
      </c>
      <c r="I479" s="5">
        <v>46044.596192129633</v>
      </c>
      <c r="J479">
        <v>3</v>
      </c>
      <c r="K479" t="s">
        <v>25</v>
      </c>
      <c r="L479" t="s">
        <v>30</v>
      </c>
    </row>
    <row r="480" spans="1:12" x14ac:dyDescent="0.25">
      <c r="A480" t="s">
        <v>1764</v>
      </c>
      <c r="B480">
        <v>128957</v>
      </c>
      <c r="C480" s="3">
        <v>19</v>
      </c>
      <c r="D480" t="s">
        <v>32</v>
      </c>
      <c r="E480" t="s">
        <v>3073</v>
      </c>
      <c r="F480" t="s">
        <v>3074</v>
      </c>
      <c r="G480" t="s">
        <v>22</v>
      </c>
      <c r="H480" s="5">
        <v>46041.865254629629</v>
      </c>
      <c r="I480" s="5">
        <v>46045.840671296297</v>
      </c>
      <c r="J480">
        <v>3</v>
      </c>
      <c r="K480" t="s">
        <v>25</v>
      </c>
      <c r="L480" t="s">
        <v>30</v>
      </c>
    </row>
    <row r="481" spans="1:12" x14ac:dyDescent="0.25">
      <c r="A481" t="s">
        <v>1767</v>
      </c>
      <c r="B481">
        <v>128973</v>
      </c>
      <c r="C481" s="3">
        <v>34</v>
      </c>
      <c r="D481" t="s">
        <v>32</v>
      </c>
      <c r="E481" t="s">
        <v>260</v>
      </c>
      <c r="F481" t="s">
        <v>3074</v>
      </c>
      <c r="G481" t="s">
        <v>22</v>
      </c>
      <c r="H481" s="5">
        <v>46042.048391203702</v>
      </c>
      <c r="I481" s="5">
        <v>46045.624305555553</v>
      </c>
      <c r="J481">
        <v>3</v>
      </c>
      <c r="K481" t="s">
        <v>25</v>
      </c>
      <c r="L481" t="s">
        <v>30</v>
      </c>
    </row>
    <row r="482" spans="1:12" x14ac:dyDescent="0.25">
      <c r="A482" t="s">
        <v>1770</v>
      </c>
      <c r="B482">
        <v>3209</v>
      </c>
      <c r="C482" s="3">
        <v>32</v>
      </c>
      <c r="D482" t="s">
        <v>32</v>
      </c>
      <c r="E482" t="s">
        <v>754</v>
      </c>
      <c r="F482" t="s">
        <v>3074</v>
      </c>
      <c r="G482" t="s">
        <v>394</v>
      </c>
      <c r="H482" s="5">
        <v>46042.498518518521</v>
      </c>
      <c r="I482" s="5">
        <v>46045.655127314814</v>
      </c>
      <c r="J482">
        <v>3</v>
      </c>
      <c r="K482" t="s">
        <v>25</v>
      </c>
      <c r="L482" t="s">
        <v>30</v>
      </c>
    </row>
    <row r="483" spans="1:12" x14ac:dyDescent="0.25">
      <c r="A483" t="s">
        <v>1773</v>
      </c>
      <c r="B483">
        <v>129035</v>
      </c>
      <c r="C483" s="3">
        <v>32</v>
      </c>
      <c r="D483" t="s">
        <v>32</v>
      </c>
      <c r="E483" t="s">
        <v>1774</v>
      </c>
      <c r="F483" t="s">
        <v>3074</v>
      </c>
      <c r="G483" t="s">
        <v>22</v>
      </c>
      <c r="H483" s="5">
        <v>46042.53869212963</v>
      </c>
      <c r="I483" s="5">
        <v>46045.78392361111</v>
      </c>
      <c r="J483">
        <v>3</v>
      </c>
      <c r="K483" t="s">
        <v>25</v>
      </c>
      <c r="L483" t="s">
        <v>30</v>
      </c>
    </row>
    <row r="484" spans="1:12" x14ac:dyDescent="0.25">
      <c r="A484" t="s">
        <v>1777</v>
      </c>
      <c r="B484">
        <v>129046</v>
      </c>
      <c r="C484" s="3">
        <v>1</v>
      </c>
      <c r="D484" t="s">
        <v>19</v>
      </c>
      <c r="E484" t="s">
        <v>3073</v>
      </c>
      <c r="F484" t="s">
        <v>3076</v>
      </c>
      <c r="G484" t="s">
        <v>22</v>
      </c>
      <c r="H484" s="5">
        <v>46042.61519675926</v>
      </c>
      <c r="I484" s="5">
        <v>46045.738263888888</v>
      </c>
      <c r="J484">
        <v>3</v>
      </c>
      <c r="K484" t="s">
        <v>25</v>
      </c>
      <c r="L484" t="s">
        <v>30</v>
      </c>
    </row>
    <row r="485" spans="1:12" x14ac:dyDescent="0.25">
      <c r="A485" t="s">
        <v>1780</v>
      </c>
      <c r="B485">
        <v>70998</v>
      </c>
      <c r="C485" s="3">
        <v>31</v>
      </c>
      <c r="D485" t="s">
        <v>32</v>
      </c>
      <c r="E485" t="s">
        <v>227</v>
      </c>
      <c r="F485" t="s">
        <v>3074</v>
      </c>
      <c r="G485" t="s">
        <v>394</v>
      </c>
      <c r="H485" s="5">
        <v>46042.615763888891</v>
      </c>
      <c r="I485" s="5">
        <v>46046.582731481481</v>
      </c>
      <c r="J485">
        <v>3</v>
      </c>
      <c r="K485" t="s">
        <v>25</v>
      </c>
      <c r="L485" t="s">
        <v>30</v>
      </c>
    </row>
    <row r="486" spans="1:12" x14ac:dyDescent="0.25">
      <c r="A486" t="s">
        <v>1783</v>
      </c>
      <c r="B486">
        <v>129060</v>
      </c>
      <c r="C486" s="3">
        <v>25</v>
      </c>
      <c r="D486" t="s">
        <v>32</v>
      </c>
      <c r="E486" t="s">
        <v>62</v>
      </c>
      <c r="F486" t="s">
        <v>3077</v>
      </c>
      <c r="G486" t="s">
        <v>22</v>
      </c>
      <c r="H486" s="5">
        <v>46042.643796296295</v>
      </c>
      <c r="I486" s="5">
        <v>46045.787291666667</v>
      </c>
      <c r="J486">
        <v>3</v>
      </c>
      <c r="K486" t="s">
        <v>25</v>
      </c>
      <c r="L486" t="s">
        <v>30</v>
      </c>
    </row>
    <row r="487" spans="1:12" x14ac:dyDescent="0.25">
      <c r="A487" t="s">
        <v>1786</v>
      </c>
      <c r="B487">
        <v>128234</v>
      </c>
      <c r="C487" s="3">
        <v>1</v>
      </c>
      <c r="D487" t="s">
        <v>19</v>
      </c>
      <c r="E487" t="s">
        <v>3073</v>
      </c>
      <c r="F487" t="s">
        <v>3076</v>
      </c>
      <c r="G487" t="s">
        <v>394</v>
      </c>
      <c r="H487" s="5">
        <v>46042.658634259256</v>
      </c>
      <c r="I487" s="5">
        <v>46046.478159722225</v>
      </c>
      <c r="J487">
        <v>3</v>
      </c>
      <c r="K487" t="s">
        <v>25</v>
      </c>
      <c r="L487" t="s">
        <v>30</v>
      </c>
    </row>
    <row r="488" spans="1:12" x14ac:dyDescent="0.25">
      <c r="A488" t="s">
        <v>1789</v>
      </c>
      <c r="B488">
        <v>73214</v>
      </c>
      <c r="C488" s="3">
        <v>32</v>
      </c>
      <c r="D488" t="s">
        <v>32</v>
      </c>
      <c r="E488" t="s">
        <v>227</v>
      </c>
      <c r="F488" t="s">
        <v>3074</v>
      </c>
      <c r="G488" t="s">
        <v>22</v>
      </c>
      <c r="H488" s="5">
        <v>46042.668680555558</v>
      </c>
      <c r="I488" s="5">
        <v>46045.691064814811</v>
      </c>
      <c r="J488">
        <v>3</v>
      </c>
      <c r="K488" t="s">
        <v>25</v>
      </c>
      <c r="L488" t="s">
        <v>30</v>
      </c>
    </row>
    <row r="489" spans="1:12" x14ac:dyDescent="0.25">
      <c r="A489" t="s">
        <v>1792</v>
      </c>
      <c r="B489">
        <v>129064</v>
      </c>
      <c r="C489" s="3">
        <v>18</v>
      </c>
      <c r="D489" t="s">
        <v>19</v>
      </c>
      <c r="E489" t="s">
        <v>3073</v>
      </c>
      <c r="F489" t="s">
        <v>3085</v>
      </c>
      <c r="G489" t="s">
        <v>22</v>
      </c>
      <c r="H489" s="5">
        <v>46042.760706018518</v>
      </c>
      <c r="I489" s="5">
        <v>46046.325567129628</v>
      </c>
      <c r="J489">
        <v>3</v>
      </c>
      <c r="K489" t="s">
        <v>25</v>
      </c>
      <c r="L489" t="s">
        <v>30</v>
      </c>
    </row>
    <row r="490" spans="1:12" x14ac:dyDescent="0.25">
      <c r="A490" t="s">
        <v>1795</v>
      </c>
      <c r="B490">
        <v>129086</v>
      </c>
      <c r="C490" s="3">
        <v>6</v>
      </c>
      <c r="D490" t="s">
        <v>19</v>
      </c>
      <c r="E490" t="s">
        <v>62</v>
      </c>
      <c r="F490" t="s">
        <v>3076</v>
      </c>
      <c r="G490" t="s">
        <v>22</v>
      </c>
      <c r="H490" s="5">
        <v>46042.988298611112</v>
      </c>
      <c r="I490" s="5">
        <v>46046.673379629632</v>
      </c>
      <c r="J490">
        <v>3</v>
      </c>
      <c r="K490" t="s">
        <v>25</v>
      </c>
      <c r="L490" t="s">
        <v>30</v>
      </c>
    </row>
    <row r="491" spans="1:12" x14ac:dyDescent="0.25">
      <c r="A491" t="s">
        <v>1798</v>
      </c>
      <c r="B491">
        <v>123626</v>
      </c>
      <c r="C491" s="3">
        <v>42</v>
      </c>
      <c r="D491" t="s">
        <v>32</v>
      </c>
      <c r="E491" t="s">
        <v>3073</v>
      </c>
      <c r="F491" t="s">
        <v>3074</v>
      </c>
      <c r="G491" t="s">
        <v>394</v>
      </c>
      <c r="H491" s="5">
        <v>46043.369131944448</v>
      </c>
      <c r="I491" s="5">
        <v>46046.579375000001</v>
      </c>
      <c r="J491">
        <v>3</v>
      </c>
      <c r="K491" t="s">
        <v>25</v>
      </c>
      <c r="L491" t="s">
        <v>30</v>
      </c>
    </row>
    <row r="492" spans="1:12" x14ac:dyDescent="0.25">
      <c r="A492" t="s">
        <v>1801</v>
      </c>
      <c r="B492">
        <v>129079</v>
      </c>
      <c r="C492" s="3" t="s">
        <v>3088</v>
      </c>
      <c r="D492" t="s">
        <v>19</v>
      </c>
      <c r="E492" t="s">
        <v>3073</v>
      </c>
      <c r="F492" t="s">
        <v>3072</v>
      </c>
      <c r="G492" t="s">
        <v>22</v>
      </c>
      <c r="H492" s="5">
        <v>46043.548622685186</v>
      </c>
      <c r="I492" s="5">
        <v>46047.348391203705</v>
      </c>
      <c r="J492">
        <v>3</v>
      </c>
      <c r="K492" t="s">
        <v>25</v>
      </c>
      <c r="L492" t="s">
        <v>30</v>
      </c>
    </row>
    <row r="493" spans="1:12" x14ac:dyDescent="0.25">
      <c r="A493" t="s">
        <v>1804</v>
      </c>
      <c r="B493">
        <v>112641</v>
      </c>
      <c r="C493" s="3">
        <v>33</v>
      </c>
      <c r="D493" t="s">
        <v>32</v>
      </c>
      <c r="E493" t="s">
        <v>3073</v>
      </c>
      <c r="F493" t="s">
        <v>3074</v>
      </c>
      <c r="G493" t="s">
        <v>394</v>
      </c>
      <c r="H493" s="5">
        <v>46044.058113425926</v>
      </c>
      <c r="I493" s="5">
        <v>46047.355034722219</v>
      </c>
      <c r="J493">
        <v>3</v>
      </c>
      <c r="K493" t="s">
        <v>25</v>
      </c>
      <c r="L493" t="s">
        <v>30</v>
      </c>
    </row>
    <row r="494" spans="1:12" x14ac:dyDescent="0.25">
      <c r="A494" t="s">
        <v>1807</v>
      </c>
      <c r="B494">
        <v>129201</v>
      </c>
      <c r="C494" s="3">
        <v>22</v>
      </c>
      <c r="D494" t="s">
        <v>32</v>
      </c>
      <c r="E494" t="s">
        <v>3073</v>
      </c>
      <c r="F494" t="s">
        <v>3091</v>
      </c>
      <c r="G494" t="s">
        <v>22</v>
      </c>
      <c r="H494" s="5">
        <v>46044.097511574073</v>
      </c>
      <c r="I494" s="5">
        <v>46047.626006944447</v>
      </c>
      <c r="J494">
        <v>3</v>
      </c>
      <c r="K494" t="s">
        <v>25</v>
      </c>
      <c r="L494" t="s">
        <v>30</v>
      </c>
    </row>
    <row r="495" spans="1:12" x14ac:dyDescent="0.25">
      <c r="A495" t="s">
        <v>1810</v>
      </c>
      <c r="B495">
        <v>48655</v>
      </c>
      <c r="C495" s="3">
        <v>4</v>
      </c>
      <c r="D495" t="s">
        <v>19</v>
      </c>
      <c r="E495" t="s">
        <v>227</v>
      </c>
      <c r="F495" t="s">
        <v>3076</v>
      </c>
      <c r="G495" t="s">
        <v>22</v>
      </c>
      <c r="H495" s="5">
        <v>46044.098020833335</v>
      </c>
      <c r="I495" s="5">
        <v>46047.351967592593</v>
      </c>
      <c r="J495">
        <v>3</v>
      </c>
      <c r="K495" t="s">
        <v>112</v>
      </c>
      <c r="L495" t="s">
        <v>30</v>
      </c>
    </row>
    <row r="496" spans="1:12" x14ac:dyDescent="0.25">
      <c r="A496" t="s">
        <v>1813</v>
      </c>
      <c r="B496">
        <v>71283</v>
      </c>
      <c r="C496" s="3">
        <v>28</v>
      </c>
      <c r="D496" t="s">
        <v>32</v>
      </c>
      <c r="E496" t="s">
        <v>227</v>
      </c>
      <c r="F496" t="s">
        <v>3074</v>
      </c>
      <c r="G496" t="s">
        <v>22</v>
      </c>
      <c r="H496" s="5">
        <v>46044.886053240742</v>
      </c>
      <c r="I496" s="5">
        <v>46048.663622685184</v>
      </c>
      <c r="J496">
        <v>3</v>
      </c>
      <c r="K496" t="s">
        <v>25</v>
      </c>
      <c r="L496" t="s">
        <v>30</v>
      </c>
    </row>
    <row r="497" spans="1:12" x14ac:dyDescent="0.25">
      <c r="A497" t="s">
        <v>1816</v>
      </c>
      <c r="B497">
        <v>129319</v>
      </c>
      <c r="C497" s="3">
        <v>38</v>
      </c>
      <c r="D497" t="s">
        <v>32</v>
      </c>
      <c r="E497" t="s">
        <v>260</v>
      </c>
      <c r="F497" t="s">
        <v>3074</v>
      </c>
      <c r="G497" t="s">
        <v>22</v>
      </c>
      <c r="H497" s="5">
        <v>46044.928356481483</v>
      </c>
      <c r="I497" s="5">
        <v>46048.688703703701</v>
      </c>
      <c r="J497">
        <v>3</v>
      </c>
      <c r="K497" t="s">
        <v>25</v>
      </c>
      <c r="L497" t="s">
        <v>30</v>
      </c>
    </row>
    <row r="498" spans="1:12" x14ac:dyDescent="0.25">
      <c r="A498" t="s">
        <v>1819</v>
      </c>
      <c r="B498">
        <v>129326</v>
      </c>
      <c r="C498" s="3">
        <v>34</v>
      </c>
      <c r="D498" t="s">
        <v>32</v>
      </c>
      <c r="E498" t="s">
        <v>3073</v>
      </c>
      <c r="F498" t="s">
        <v>3074</v>
      </c>
      <c r="G498" t="s">
        <v>22</v>
      </c>
      <c r="H498" s="5">
        <v>46045.365266203706</v>
      </c>
      <c r="I498" s="5">
        <v>46048.732430555552</v>
      </c>
      <c r="J498">
        <v>3</v>
      </c>
      <c r="K498" t="s">
        <v>25</v>
      </c>
      <c r="L498" t="s">
        <v>30</v>
      </c>
    </row>
    <row r="499" spans="1:12" x14ac:dyDescent="0.25">
      <c r="A499" t="s">
        <v>1822</v>
      </c>
      <c r="B499">
        <v>129333</v>
      </c>
      <c r="C499" s="3" t="s">
        <v>3092</v>
      </c>
      <c r="D499" t="s">
        <v>19</v>
      </c>
      <c r="E499" t="s">
        <v>3073</v>
      </c>
      <c r="F499" t="s">
        <v>3072</v>
      </c>
      <c r="G499" t="s">
        <v>22</v>
      </c>
      <c r="H499" s="5">
        <v>46045.728425925925</v>
      </c>
      <c r="I499" s="5">
        <v>46048.734259259261</v>
      </c>
      <c r="J499">
        <v>3</v>
      </c>
      <c r="K499" t="s">
        <v>25</v>
      </c>
      <c r="L499" t="s">
        <v>30</v>
      </c>
    </row>
    <row r="500" spans="1:12" x14ac:dyDescent="0.25">
      <c r="A500" t="s">
        <v>1825</v>
      </c>
      <c r="B500">
        <v>129428</v>
      </c>
      <c r="C500" s="3">
        <v>1</v>
      </c>
      <c r="D500" t="s">
        <v>32</v>
      </c>
      <c r="E500" t="s">
        <v>3073</v>
      </c>
      <c r="F500" t="s">
        <v>763</v>
      </c>
      <c r="G500" t="s">
        <v>22</v>
      </c>
      <c r="H500" s="5">
        <v>46045.817523148151</v>
      </c>
      <c r="I500" s="5">
        <v>46049.376875000002</v>
      </c>
      <c r="J500">
        <v>3</v>
      </c>
      <c r="K500" t="s">
        <v>211</v>
      </c>
      <c r="L500" t="s">
        <v>30</v>
      </c>
    </row>
    <row r="501" spans="1:12" x14ac:dyDescent="0.25">
      <c r="A501" t="s">
        <v>1829</v>
      </c>
      <c r="B501">
        <v>129416</v>
      </c>
      <c r="C501" s="3">
        <v>60</v>
      </c>
      <c r="D501" t="s">
        <v>32</v>
      </c>
      <c r="E501" t="s">
        <v>3073</v>
      </c>
      <c r="F501" t="s">
        <v>3091</v>
      </c>
      <c r="G501" t="s">
        <v>22</v>
      </c>
      <c r="H501" s="5">
        <v>46045.831041666665</v>
      </c>
      <c r="I501" s="5">
        <v>46049.723298611112</v>
      </c>
      <c r="J501">
        <v>3</v>
      </c>
      <c r="K501" t="s">
        <v>211</v>
      </c>
      <c r="L501" t="s">
        <v>30</v>
      </c>
    </row>
    <row r="502" spans="1:12" x14ac:dyDescent="0.25">
      <c r="A502" t="s">
        <v>1832</v>
      </c>
      <c r="B502">
        <v>129451</v>
      </c>
      <c r="C502" s="3">
        <v>24</v>
      </c>
      <c r="D502" t="s">
        <v>32</v>
      </c>
      <c r="E502" t="s">
        <v>3073</v>
      </c>
      <c r="F502" t="s">
        <v>3074</v>
      </c>
      <c r="G502" t="s">
        <v>22</v>
      </c>
      <c r="H502" s="5">
        <v>46046.2502662037</v>
      </c>
      <c r="I502" s="5">
        <v>46049.697002314817</v>
      </c>
      <c r="J502">
        <v>3</v>
      </c>
      <c r="K502" t="s">
        <v>25</v>
      </c>
      <c r="L502" t="s">
        <v>30</v>
      </c>
    </row>
    <row r="503" spans="1:12" x14ac:dyDescent="0.25">
      <c r="A503" t="s">
        <v>1835</v>
      </c>
      <c r="B503">
        <v>129475</v>
      </c>
      <c r="C503" s="3">
        <v>17</v>
      </c>
      <c r="D503" t="s">
        <v>19</v>
      </c>
      <c r="E503" t="s">
        <v>20</v>
      </c>
      <c r="F503" t="s">
        <v>3086</v>
      </c>
      <c r="G503" t="s">
        <v>22</v>
      </c>
      <c r="H503" s="5">
        <v>46046.623090277775</v>
      </c>
      <c r="I503" s="5">
        <v>46049.688275462962</v>
      </c>
      <c r="J503">
        <v>3</v>
      </c>
      <c r="K503" t="s">
        <v>25</v>
      </c>
      <c r="L503" t="s">
        <v>30</v>
      </c>
    </row>
    <row r="504" spans="1:12" x14ac:dyDescent="0.25">
      <c r="A504" t="s">
        <v>1838</v>
      </c>
      <c r="B504">
        <v>129492</v>
      </c>
      <c r="C504" s="3">
        <v>64</v>
      </c>
      <c r="D504" t="s">
        <v>32</v>
      </c>
      <c r="E504" t="s">
        <v>2589</v>
      </c>
      <c r="F504" t="s">
        <v>3077</v>
      </c>
      <c r="G504" t="s">
        <v>22</v>
      </c>
      <c r="H504" s="5">
        <v>46046.710243055553</v>
      </c>
      <c r="I504" s="5">
        <v>46050.382974537039</v>
      </c>
      <c r="J504">
        <v>3</v>
      </c>
      <c r="K504" t="s">
        <v>211</v>
      </c>
      <c r="L504" t="s">
        <v>30</v>
      </c>
    </row>
    <row r="505" spans="1:12" x14ac:dyDescent="0.25">
      <c r="A505" t="s">
        <v>1842</v>
      </c>
      <c r="B505">
        <v>129476</v>
      </c>
      <c r="C505" s="3">
        <v>7</v>
      </c>
      <c r="D505" t="s">
        <v>19</v>
      </c>
      <c r="E505" t="s">
        <v>3073</v>
      </c>
      <c r="F505" t="s">
        <v>3076</v>
      </c>
      <c r="G505" t="s">
        <v>22</v>
      </c>
      <c r="H505" s="5">
        <v>46046.722118055557</v>
      </c>
      <c r="I505" s="5">
        <v>46049.730671296296</v>
      </c>
      <c r="J505">
        <v>3</v>
      </c>
      <c r="K505" t="s">
        <v>25</v>
      </c>
      <c r="L505" t="s">
        <v>30</v>
      </c>
    </row>
    <row r="506" spans="1:12" x14ac:dyDescent="0.25">
      <c r="A506" t="s">
        <v>1845</v>
      </c>
      <c r="B506">
        <v>129503</v>
      </c>
      <c r="C506" s="3">
        <v>40</v>
      </c>
      <c r="D506" t="s">
        <v>32</v>
      </c>
      <c r="E506" t="s">
        <v>20</v>
      </c>
      <c r="F506" t="s">
        <v>3074</v>
      </c>
      <c r="G506" t="s">
        <v>22</v>
      </c>
      <c r="H506" s="5">
        <v>46046.96334490741</v>
      </c>
      <c r="I506" s="5">
        <v>46050.657719907409</v>
      </c>
      <c r="J506">
        <v>3</v>
      </c>
      <c r="K506" t="s">
        <v>25</v>
      </c>
      <c r="L506" t="s">
        <v>30</v>
      </c>
    </row>
    <row r="507" spans="1:12" x14ac:dyDescent="0.25">
      <c r="A507" t="s">
        <v>1848</v>
      </c>
      <c r="B507">
        <v>129506</v>
      </c>
      <c r="C507" s="3">
        <v>28</v>
      </c>
      <c r="D507" t="s">
        <v>32</v>
      </c>
      <c r="E507" t="s">
        <v>3073</v>
      </c>
      <c r="F507" t="s">
        <v>3074</v>
      </c>
      <c r="G507" t="s">
        <v>22</v>
      </c>
      <c r="H507" s="5">
        <v>46047.092233796298</v>
      </c>
      <c r="I507" s="5">
        <v>46050.572604166664</v>
      </c>
      <c r="J507">
        <v>3</v>
      </c>
      <c r="K507" t="s">
        <v>25</v>
      </c>
      <c r="L507" t="s">
        <v>30</v>
      </c>
    </row>
    <row r="508" spans="1:12" x14ac:dyDescent="0.25">
      <c r="A508" t="s">
        <v>1851</v>
      </c>
      <c r="B508">
        <v>129502</v>
      </c>
      <c r="C508" s="3">
        <v>68</v>
      </c>
      <c r="D508" t="s">
        <v>32</v>
      </c>
      <c r="E508" t="s">
        <v>62</v>
      </c>
      <c r="F508" t="s">
        <v>3091</v>
      </c>
      <c r="G508" t="s">
        <v>22</v>
      </c>
      <c r="H508" s="5">
        <v>46047.375671296293</v>
      </c>
      <c r="I508" s="5">
        <v>46050.624768518515</v>
      </c>
      <c r="J508">
        <v>3</v>
      </c>
      <c r="K508" t="s">
        <v>25</v>
      </c>
      <c r="L508" t="s">
        <v>30</v>
      </c>
    </row>
    <row r="509" spans="1:12" x14ac:dyDescent="0.25">
      <c r="A509" t="s">
        <v>1854</v>
      </c>
      <c r="B509">
        <v>77930</v>
      </c>
      <c r="C509" s="3">
        <v>82</v>
      </c>
      <c r="D509" t="s">
        <v>32</v>
      </c>
      <c r="E509" t="s">
        <v>227</v>
      </c>
      <c r="F509" t="s">
        <v>3090</v>
      </c>
      <c r="G509" t="s">
        <v>394</v>
      </c>
      <c r="H509" s="5">
        <v>46047.489560185182</v>
      </c>
      <c r="I509" s="5">
        <v>46050.62222222222</v>
      </c>
      <c r="J509">
        <v>3</v>
      </c>
      <c r="K509" t="s">
        <v>25</v>
      </c>
      <c r="L509" t="s">
        <v>30</v>
      </c>
    </row>
    <row r="510" spans="1:12" x14ac:dyDescent="0.25">
      <c r="A510" t="s">
        <v>1858</v>
      </c>
      <c r="B510">
        <v>12194</v>
      </c>
      <c r="C510" s="3">
        <v>5</v>
      </c>
      <c r="D510" t="s">
        <v>32</v>
      </c>
      <c r="E510" t="s">
        <v>754</v>
      </c>
      <c r="F510" t="s">
        <v>3084</v>
      </c>
      <c r="G510" t="s">
        <v>394</v>
      </c>
      <c r="H510" s="5">
        <v>46047.658090277779</v>
      </c>
      <c r="I510" s="5">
        <v>46051.518078703702</v>
      </c>
      <c r="J510">
        <v>3</v>
      </c>
      <c r="K510" t="s">
        <v>25</v>
      </c>
      <c r="L510" t="s">
        <v>30</v>
      </c>
    </row>
    <row r="511" spans="1:12" x14ac:dyDescent="0.25">
      <c r="A511" t="s">
        <v>1861</v>
      </c>
      <c r="B511">
        <v>86347</v>
      </c>
      <c r="C511" s="3">
        <v>3</v>
      </c>
      <c r="D511" t="s">
        <v>19</v>
      </c>
      <c r="E511" t="s">
        <v>3073</v>
      </c>
      <c r="F511" t="s">
        <v>3076</v>
      </c>
      <c r="G511" t="s">
        <v>22</v>
      </c>
      <c r="H511" s="5">
        <v>46047.687997685185</v>
      </c>
      <c r="I511" s="5">
        <v>46051.682129629633</v>
      </c>
      <c r="J511">
        <v>3</v>
      </c>
      <c r="K511" t="s">
        <v>25</v>
      </c>
      <c r="L511" t="s">
        <v>30</v>
      </c>
    </row>
    <row r="512" spans="1:12" x14ac:dyDescent="0.25">
      <c r="A512" t="s">
        <v>1864</v>
      </c>
      <c r="B512">
        <v>128539</v>
      </c>
      <c r="C512" s="3">
        <v>39</v>
      </c>
      <c r="D512" t="s">
        <v>19</v>
      </c>
      <c r="E512" t="s">
        <v>1865</v>
      </c>
      <c r="F512" t="s">
        <v>3085</v>
      </c>
      <c r="G512" t="s">
        <v>22</v>
      </c>
      <c r="H512" s="5">
        <v>46048.599502314813</v>
      </c>
      <c r="I512" s="5">
        <v>46051.608877314815</v>
      </c>
      <c r="J512">
        <v>3</v>
      </c>
      <c r="K512" t="s">
        <v>25</v>
      </c>
      <c r="L512" t="s">
        <v>1869</v>
      </c>
    </row>
    <row r="513" spans="1:12" x14ac:dyDescent="0.25">
      <c r="A513" t="s">
        <v>1870</v>
      </c>
      <c r="B513">
        <v>64732</v>
      </c>
      <c r="C513" s="3">
        <v>61</v>
      </c>
      <c r="D513" t="s">
        <v>32</v>
      </c>
      <c r="E513" t="s">
        <v>227</v>
      </c>
      <c r="F513" t="s">
        <v>3091</v>
      </c>
      <c r="G513" t="s">
        <v>22</v>
      </c>
      <c r="H513" s="5">
        <v>46048.617291666669</v>
      </c>
      <c r="I513" s="5">
        <v>46052.532384259262</v>
      </c>
      <c r="J513">
        <v>3</v>
      </c>
      <c r="K513" t="s">
        <v>211</v>
      </c>
      <c r="L513" t="s">
        <v>30</v>
      </c>
    </row>
    <row r="514" spans="1:12" x14ac:dyDescent="0.25">
      <c r="A514" t="s">
        <v>1874</v>
      </c>
      <c r="B514">
        <v>129678</v>
      </c>
      <c r="C514" s="3">
        <v>9</v>
      </c>
      <c r="D514" t="s">
        <v>19</v>
      </c>
      <c r="E514" t="s">
        <v>62</v>
      </c>
      <c r="F514" t="s">
        <v>3076</v>
      </c>
      <c r="G514" t="s">
        <v>22</v>
      </c>
      <c r="H514" s="5">
        <v>46048.896145833336</v>
      </c>
      <c r="I514" s="5">
        <v>46052.646956018521</v>
      </c>
      <c r="J514">
        <v>3</v>
      </c>
      <c r="K514" t="s">
        <v>25</v>
      </c>
      <c r="L514" t="s">
        <v>30</v>
      </c>
    </row>
    <row r="515" spans="1:12" x14ac:dyDescent="0.25">
      <c r="A515" t="s">
        <v>1877</v>
      </c>
      <c r="B515">
        <v>38056</v>
      </c>
      <c r="C515" s="3">
        <v>38</v>
      </c>
      <c r="D515" t="s">
        <v>19</v>
      </c>
      <c r="E515" t="s">
        <v>3073</v>
      </c>
      <c r="F515" t="s">
        <v>3090</v>
      </c>
      <c r="G515" t="s">
        <v>394</v>
      </c>
      <c r="H515" s="5">
        <v>46048.971238425926</v>
      </c>
      <c r="I515" s="5">
        <v>46052.60696759259</v>
      </c>
      <c r="J515">
        <v>3</v>
      </c>
      <c r="K515" t="s">
        <v>25</v>
      </c>
      <c r="L515" t="s">
        <v>30</v>
      </c>
    </row>
    <row r="516" spans="1:12" x14ac:dyDescent="0.25">
      <c r="A516" t="s">
        <v>1880</v>
      </c>
      <c r="B516">
        <v>129617</v>
      </c>
      <c r="C516" s="3" t="s">
        <v>3088</v>
      </c>
      <c r="D516" t="s">
        <v>32</v>
      </c>
      <c r="E516" t="s">
        <v>3073</v>
      </c>
      <c r="F516" t="s">
        <v>3072</v>
      </c>
      <c r="G516" t="s">
        <v>22</v>
      </c>
      <c r="H516" s="5">
        <v>46049.294745370367</v>
      </c>
      <c r="I516" s="5">
        <v>46052.695115740738</v>
      </c>
      <c r="J516">
        <v>3</v>
      </c>
      <c r="K516" t="s">
        <v>25</v>
      </c>
      <c r="L516" t="s">
        <v>30</v>
      </c>
    </row>
    <row r="517" spans="1:12" x14ac:dyDescent="0.25">
      <c r="A517" t="s">
        <v>1883</v>
      </c>
      <c r="B517">
        <v>16186</v>
      </c>
      <c r="C517" s="3">
        <v>7</v>
      </c>
      <c r="D517" t="s">
        <v>32</v>
      </c>
      <c r="E517" t="s">
        <v>62</v>
      </c>
      <c r="F517" t="s">
        <v>3076</v>
      </c>
      <c r="G517" t="s">
        <v>394</v>
      </c>
      <c r="H517" s="5">
        <v>46049.65353009259</v>
      </c>
      <c r="I517" s="5">
        <v>46053.634305555555</v>
      </c>
      <c r="J517">
        <v>3</v>
      </c>
      <c r="K517" t="s">
        <v>25</v>
      </c>
      <c r="L517" t="s">
        <v>30</v>
      </c>
    </row>
    <row r="518" spans="1:12" x14ac:dyDescent="0.25">
      <c r="A518" t="s">
        <v>1886</v>
      </c>
      <c r="B518">
        <v>96277</v>
      </c>
      <c r="C518" s="3">
        <v>29</v>
      </c>
      <c r="D518" t="s">
        <v>32</v>
      </c>
      <c r="E518" t="s">
        <v>3073</v>
      </c>
      <c r="F518" t="s">
        <v>3074</v>
      </c>
      <c r="G518" t="s">
        <v>22</v>
      </c>
      <c r="H518" s="5">
        <v>46049.770914351851</v>
      </c>
      <c r="I518" s="5">
        <v>46053.697129629632</v>
      </c>
      <c r="J518">
        <v>3</v>
      </c>
      <c r="K518" t="s">
        <v>25</v>
      </c>
      <c r="L518" t="s">
        <v>30</v>
      </c>
    </row>
    <row r="519" spans="1:12" x14ac:dyDescent="0.25">
      <c r="A519" t="s">
        <v>1801</v>
      </c>
      <c r="B519">
        <v>129079</v>
      </c>
      <c r="C519" s="3" t="s">
        <v>3088</v>
      </c>
      <c r="D519" t="s">
        <v>19</v>
      </c>
      <c r="E519" t="s">
        <v>3073</v>
      </c>
      <c r="F519" t="s">
        <v>3072</v>
      </c>
      <c r="G519" t="s">
        <v>22</v>
      </c>
      <c r="H519" s="5">
        <v>46050.381631944445</v>
      </c>
      <c r="I519" s="5">
        <v>46053.651087962964</v>
      </c>
      <c r="J519">
        <v>3</v>
      </c>
      <c r="K519" t="s">
        <v>25</v>
      </c>
      <c r="L519" t="s">
        <v>30</v>
      </c>
    </row>
    <row r="520" spans="1:12" x14ac:dyDescent="0.25">
      <c r="A520" t="s">
        <v>1891</v>
      </c>
      <c r="B520">
        <v>129673</v>
      </c>
      <c r="C520" s="3" t="s">
        <v>3092</v>
      </c>
      <c r="D520" t="s">
        <v>19</v>
      </c>
      <c r="E520" t="s">
        <v>3073</v>
      </c>
      <c r="F520" t="s">
        <v>3072</v>
      </c>
      <c r="G520" t="s">
        <v>22</v>
      </c>
      <c r="H520" s="5">
        <v>46050.405902777777</v>
      </c>
      <c r="I520" s="5">
        <v>46053.665347222224</v>
      </c>
      <c r="J520">
        <v>3</v>
      </c>
      <c r="K520" t="s">
        <v>25</v>
      </c>
      <c r="L520" t="s">
        <v>30</v>
      </c>
    </row>
    <row r="521" spans="1:12" x14ac:dyDescent="0.25">
      <c r="A521" t="s">
        <v>1894</v>
      </c>
      <c r="B521">
        <v>129851</v>
      </c>
      <c r="C521" s="3">
        <v>26</v>
      </c>
      <c r="D521" t="s">
        <v>32</v>
      </c>
      <c r="E521" t="s">
        <v>62</v>
      </c>
      <c r="F521" t="s">
        <v>3074</v>
      </c>
      <c r="G521" t="s">
        <v>22</v>
      </c>
      <c r="H521" s="5">
        <v>46050.434814814813</v>
      </c>
      <c r="I521" s="5">
        <v>46053.701979166668</v>
      </c>
      <c r="J521">
        <v>3</v>
      </c>
      <c r="K521" t="s">
        <v>25</v>
      </c>
      <c r="L521" t="s">
        <v>30</v>
      </c>
    </row>
    <row r="522" spans="1:12" x14ac:dyDescent="0.25">
      <c r="A522" t="s">
        <v>1897</v>
      </c>
      <c r="B522">
        <v>129810</v>
      </c>
      <c r="C522" s="3">
        <v>19</v>
      </c>
      <c r="D522" t="s">
        <v>19</v>
      </c>
      <c r="E522" t="s">
        <v>3073</v>
      </c>
      <c r="F522" t="s">
        <v>3085</v>
      </c>
      <c r="G522" t="s">
        <v>22</v>
      </c>
      <c r="H522" s="5">
        <v>46050.572152777779</v>
      </c>
      <c r="I522" s="5">
        <v>46053.639687499999</v>
      </c>
      <c r="J522">
        <v>3</v>
      </c>
      <c r="K522" t="s">
        <v>112</v>
      </c>
      <c r="L522" t="s">
        <v>30</v>
      </c>
    </row>
    <row r="523" spans="1:12" x14ac:dyDescent="0.25">
      <c r="A523" t="s">
        <v>1900</v>
      </c>
      <c r="B523">
        <v>102872</v>
      </c>
      <c r="C523" s="3">
        <v>28</v>
      </c>
      <c r="D523" t="s">
        <v>32</v>
      </c>
      <c r="E523" t="s">
        <v>3073</v>
      </c>
      <c r="F523" t="s">
        <v>3074</v>
      </c>
      <c r="G523" t="s">
        <v>394</v>
      </c>
      <c r="H523" s="5">
        <v>46020.554571759261</v>
      </c>
      <c r="I523" s="5">
        <v>46023.409282407411</v>
      </c>
      <c r="J523">
        <v>2</v>
      </c>
      <c r="K523" t="s">
        <v>25</v>
      </c>
      <c r="L523" t="s">
        <v>30</v>
      </c>
    </row>
    <row r="524" spans="1:12" x14ac:dyDescent="0.25">
      <c r="A524" t="s">
        <v>1903</v>
      </c>
      <c r="B524">
        <v>126729</v>
      </c>
      <c r="C524" s="3">
        <v>30</v>
      </c>
      <c r="D524" t="s">
        <v>32</v>
      </c>
      <c r="E524" t="s">
        <v>62</v>
      </c>
      <c r="F524" t="s">
        <v>3074</v>
      </c>
      <c r="G524" t="s">
        <v>22</v>
      </c>
      <c r="H524" s="5">
        <v>46021.174189814818</v>
      </c>
      <c r="I524" s="5">
        <v>46023.63013888889</v>
      </c>
      <c r="J524">
        <v>2</v>
      </c>
      <c r="K524" t="s">
        <v>25</v>
      </c>
      <c r="L524" t="s">
        <v>30</v>
      </c>
    </row>
    <row r="525" spans="1:12" x14ac:dyDescent="0.25">
      <c r="A525" t="s">
        <v>1906</v>
      </c>
      <c r="B525">
        <v>55537</v>
      </c>
      <c r="C525" s="3">
        <v>31</v>
      </c>
      <c r="D525" t="s">
        <v>32</v>
      </c>
      <c r="E525" t="s">
        <v>227</v>
      </c>
      <c r="F525" t="s">
        <v>3077</v>
      </c>
      <c r="G525" t="s">
        <v>394</v>
      </c>
      <c r="H525" s="5">
        <v>46021.649189814816</v>
      </c>
      <c r="I525" s="5">
        <v>46023.673946759256</v>
      </c>
      <c r="J525">
        <v>2</v>
      </c>
      <c r="K525" t="s">
        <v>25</v>
      </c>
      <c r="L525" t="s">
        <v>30</v>
      </c>
    </row>
    <row r="526" spans="1:12" x14ac:dyDescent="0.25">
      <c r="A526" t="s">
        <v>1909</v>
      </c>
      <c r="B526">
        <v>23620</v>
      </c>
      <c r="C526" s="3">
        <v>26</v>
      </c>
      <c r="D526" t="s">
        <v>32</v>
      </c>
      <c r="E526" t="s">
        <v>227</v>
      </c>
      <c r="F526" t="s">
        <v>3074</v>
      </c>
      <c r="G526" t="s">
        <v>22</v>
      </c>
      <c r="H526" s="5">
        <v>46021.849479166667</v>
      </c>
      <c r="I526" s="5">
        <v>46024.627708333333</v>
      </c>
      <c r="J526">
        <v>2</v>
      </c>
      <c r="K526" t="s">
        <v>25</v>
      </c>
      <c r="L526" t="s">
        <v>30</v>
      </c>
    </row>
    <row r="527" spans="1:12" x14ac:dyDescent="0.25">
      <c r="A527" t="s">
        <v>1912</v>
      </c>
      <c r="B527">
        <v>126862</v>
      </c>
      <c r="C527" s="3">
        <v>51</v>
      </c>
      <c r="D527" t="s">
        <v>32</v>
      </c>
      <c r="E527" t="s">
        <v>20</v>
      </c>
      <c r="F527" t="s">
        <v>3091</v>
      </c>
      <c r="G527" t="s">
        <v>22</v>
      </c>
      <c r="H527" s="5">
        <v>46022.035451388889</v>
      </c>
      <c r="I527" s="5">
        <v>46024.365335648145</v>
      </c>
      <c r="J527">
        <v>2</v>
      </c>
      <c r="K527" t="s">
        <v>25</v>
      </c>
      <c r="L527" t="s">
        <v>30</v>
      </c>
    </row>
    <row r="528" spans="1:12" x14ac:dyDescent="0.25">
      <c r="A528" t="s">
        <v>1915</v>
      </c>
      <c r="B528">
        <v>126992</v>
      </c>
      <c r="C528" s="3">
        <v>25</v>
      </c>
      <c r="D528" t="s">
        <v>32</v>
      </c>
      <c r="E528" t="s">
        <v>20</v>
      </c>
      <c r="F528" t="s">
        <v>3074</v>
      </c>
      <c r="G528" t="s">
        <v>292</v>
      </c>
      <c r="H528" s="5">
        <v>46023.585729166669</v>
      </c>
      <c r="I528" s="5">
        <v>46025.653912037036</v>
      </c>
      <c r="J528">
        <v>2</v>
      </c>
      <c r="K528" t="s">
        <v>25</v>
      </c>
      <c r="L528" t="s">
        <v>30</v>
      </c>
    </row>
    <row r="529" spans="1:12" x14ac:dyDescent="0.25">
      <c r="A529" t="s">
        <v>1633</v>
      </c>
      <c r="B529">
        <v>127010</v>
      </c>
      <c r="C529" s="3" t="s">
        <v>3088</v>
      </c>
      <c r="D529" t="s">
        <v>19</v>
      </c>
      <c r="E529" t="s">
        <v>3073</v>
      </c>
      <c r="F529" t="s">
        <v>3072</v>
      </c>
      <c r="G529" t="s">
        <v>22</v>
      </c>
      <c r="H529" s="5">
        <v>46023.877395833333</v>
      </c>
      <c r="I529" s="5">
        <v>46026.560497685183</v>
      </c>
      <c r="J529">
        <v>2</v>
      </c>
      <c r="K529" t="s">
        <v>25</v>
      </c>
      <c r="L529" t="s">
        <v>30</v>
      </c>
    </row>
    <row r="530" spans="1:12" x14ac:dyDescent="0.25">
      <c r="A530" t="s">
        <v>1920</v>
      </c>
      <c r="B530">
        <v>127001</v>
      </c>
      <c r="C530" s="3">
        <v>7</v>
      </c>
      <c r="D530" t="s">
        <v>19</v>
      </c>
      <c r="E530" t="s">
        <v>20</v>
      </c>
      <c r="F530" t="s">
        <v>3076</v>
      </c>
      <c r="G530" t="s">
        <v>22</v>
      </c>
      <c r="H530" s="5">
        <v>46024.016331018516</v>
      </c>
      <c r="I530" s="5">
        <v>46026.638460648152</v>
      </c>
      <c r="J530">
        <v>2</v>
      </c>
      <c r="K530" t="s">
        <v>211</v>
      </c>
      <c r="L530" t="s">
        <v>30</v>
      </c>
    </row>
    <row r="531" spans="1:12" x14ac:dyDescent="0.25">
      <c r="A531" t="s">
        <v>1923</v>
      </c>
      <c r="B531">
        <v>103279</v>
      </c>
      <c r="C531" s="3">
        <v>15</v>
      </c>
      <c r="D531" t="s">
        <v>32</v>
      </c>
      <c r="E531" t="s">
        <v>62</v>
      </c>
      <c r="F531" t="s">
        <v>3091</v>
      </c>
      <c r="G531" t="s">
        <v>394</v>
      </c>
      <c r="H531" s="5">
        <v>46024.095011574071</v>
      </c>
      <c r="I531" s="5">
        <v>46026.44803240741</v>
      </c>
      <c r="J531">
        <v>2</v>
      </c>
      <c r="K531" t="s">
        <v>25</v>
      </c>
      <c r="L531" t="s">
        <v>30</v>
      </c>
    </row>
    <row r="532" spans="1:12" x14ac:dyDescent="0.25">
      <c r="A532" t="s">
        <v>1926</v>
      </c>
      <c r="B532">
        <v>127021</v>
      </c>
      <c r="C532" s="3">
        <v>5</v>
      </c>
      <c r="D532" t="s">
        <v>32</v>
      </c>
      <c r="E532" t="s">
        <v>62</v>
      </c>
      <c r="F532" t="s">
        <v>3076</v>
      </c>
      <c r="G532" t="s">
        <v>394</v>
      </c>
      <c r="H532" s="5">
        <v>46024.100798611114</v>
      </c>
      <c r="I532" s="5">
        <v>46026.683634259258</v>
      </c>
      <c r="J532">
        <v>2</v>
      </c>
      <c r="K532" t="s">
        <v>25</v>
      </c>
      <c r="L532" t="s">
        <v>30</v>
      </c>
    </row>
    <row r="533" spans="1:12" x14ac:dyDescent="0.25">
      <c r="A533" t="s">
        <v>1929</v>
      </c>
      <c r="B533">
        <v>28040</v>
      </c>
      <c r="C533" s="3">
        <v>18</v>
      </c>
      <c r="D533" t="s">
        <v>32</v>
      </c>
      <c r="E533" t="s">
        <v>227</v>
      </c>
      <c r="F533" t="s">
        <v>3091</v>
      </c>
      <c r="G533" t="s">
        <v>394</v>
      </c>
      <c r="H533" s="5">
        <v>46024.165231481478</v>
      </c>
      <c r="I533" s="5">
        <v>46026.450150462966</v>
      </c>
      <c r="J533">
        <v>2</v>
      </c>
      <c r="K533" t="s">
        <v>25</v>
      </c>
      <c r="L533" t="s">
        <v>30</v>
      </c>
    </row>
    <row r="534" spans="1:12" x14ac:dyDescent="0.25">
      <c r="A534" t="s">
        <v>1932</v>
      </c>
      <c r="B534">
        <v>127133</v>
      </c>
      <c r="C534" s="3">
        <v>33</v>
      </c>
      <c r="D534" t="s">
        <v>32</v>
      </c>
      <c r="E534" t="s">
        <v>3073</v>
      </c>
      <c r="F534" t="s">
        <v>3074</v>
      </c>
      <c r="G534" t="s">
        <v>22</v>
      </c>
      <c r="H534" s="5">
        <v>46024.927476851852</v>
      </c>
      <c r="I534" s="5">
        <v>46027.687638888892</v>
      </c>
      <c r="J534">
        <v>2</v>
      </c>
      <c r="K534" t="s">
        <v>25</v>
      </c>
      <c r="L534" t="s">
        <v>30</v>
      </c>
    </row>
    <row r="535" spans="1:12" x14ac:dyDescent="0.25">
      <c r="A535" t="s">
        <v>1935</v>
      </c>
      <c r="B535">
        <v>106158</v>
      </c>
      <c r="C535" s="3">
        <v>24</v>
      </c>
      <c r="D535" t="s">
        <v>32</v>
      </c>
      <c r="E535" t="s">
        <v>3073</v>
      </c>
      <c r="F535" t="s">
        <v>3090</v>
      </c>
      <c r="G535" t="s">
        <v>394</v>
      </c>
      <c r="H535" s="5">
        <v>46025.004247685189</v>
      </c>
      <c r="I535" s="5">
        <v>46027.574953703705</v>
      </c>
      <c r="J535">
        <v>2</v>
      </c>
      <c r="K535" t="s">
        <v>25</v>
      </c>
      <c r="L535" t="s">
        <v>30</v>
      </c>
    </row>
    <row r="536" spans="1:12" x14ac:dyDescent="0.25">
      <c r="A536" t="s">
        <v>1938</v>
      </c>
      <c r="B536">
        <v>127124</v>
      </c>
      <c r="C536" s="3">
        <v>1</v>
      </c>
      <c r="D536" t="s">
        <v>32</v>
      </c>
      <c r="E536" t="s">
        <v>62</v>
      </c>
      <c r="F536" t="s">
        <v>3076</v>
      </c>
      <c r="G536" t="s">
        <v>22</v>
      </c>
      <c r="H536" s="5">
        <v>46025.039131944446</v>
      </c>
      <c r="I536" s="5">
        <v>46027.641516203701</v>
      </c>
      <c r="J536">
        <v>2</v>
      </c>
      <c r="K536" t="s">
        <v>25</v>
      </c>
      <c r="L536" t="s">
        <v>30</v>
      </c>
    </row>
    <row r="537" spans="1:12" x14ac:dyDescent="0.25">
      <c r="A537" t="s">
        <v>1941</v>
      </c>
      <c r="B537">
        <v>127141</v>
      </c>
      <c r="C537" s="3">
        <v>38</v>
      </c>
      <c r="D537" t="s">
        <v>32</v>
      </c>
      <c r="E537" t="s">
        <v>3073</v>
      </c>
      <c r="F537" t="s">
        <v>3074</v>
      </c>
      <c r="G537" t="s">
        <v>22</v>
      </c>
      <c r="H537" s="5">
        <v>46025.267928240741</v>
      </c>
      <c r="I537" s="5">
        <v>46027.719351851854</v>
      </c>
      <c r="J537">
        <v>2</v>
      </c>
      <c r="K537" t="s">
        <v>25</v>
      </c>
      <c r="L537" t="s">
        <v>30</v>
      </c>
    </row>
    <row r="538" spans="1:12" x14ac:dyDescent="0.25">
      <c r="A538" t="s">
        <v>1944</v>
      </c>
      <c r="B538">
        <v>125376</v>
      </c>
      <c r="C538" s="3">
        <v>25</v>
      </c>
      <c r="D538" t="s">
        <v>19</v>
      </c>
      <c r="E538" t="s">
        <v>3073</v>
      </c>
      <c r="F538" t="s">
        <v>3086</v>
      </c>
      <c r="G538" t="s">
        <v>22</v>
      </c>
      <c r="H538" s="5">
        <v>46025.528333333335</v>
      </c>
      <c r="I538" s="5">
        <v>46027.55300925926</v>
      </c>
      <c r="J538">
        <v>2</v>
      </c>
      <c r="K538" t="s">
        <v>25</v>
      </c>
      <c r="L538" t="s">
        <v>30</v>
      </c>
    </row>
    <row r="539" spans="1:12" x14ac:dyDescent="0.25">
      <c r="A539" t="s">
        <v>1947</v>
      </c>
      <c r="B539">
        <v>73292</v>
      </c>
      <c r="C539" s="3">
        <v>20</v>
      </c>
      <c r="D539" t="s">
        <v>32</v>
      </c>
      <c r="E539" t="s">
        <v>227</v>
      </c>
      <c r="F539" t="s">
        <v>3090</v>
      </c>
      <c r="G539" t="s">
        <v>394</v>
      </c>
      <c r="H539" s="5">
        <v>46025.71025462963</v>
      </c>
      <c r="I539" s="5">
        <v>46028.571782407409</v>
      </c>
      <c r="J539">
        <v>2</v>
      </c>
      <c r="K539" t="s">
        <v>25</v>
      </c>
      <c r="L539" t="s">
        <v>30</v>
      </c>
    </row>
    <row r="540" spans="1:12" x14ac:dyDescent="0.25">
      <c r="A540" t="s">
        <v>1950</v>
      </c>
      <c r="B540">
        <v>97568</v>
      </c>
      <c r="C540" s="3">
        <v>58</v>
      </c>
      <c r="D540" t="s">
        <v>19</v>
      </c>
      <c r="E540" t="s">
        <v>3073</v>
      </c>
      <c r="F540" t="s">
        <v>3090</v>
      </c>
      <c r="G540" t="s">
        <v>394</v>
      </c>
      <c r="H540" s="5">
        <v>46025.837013888886</v>
      </c>
      <c r="I540" s="5">
        <v>46028.548703703702</v>
      </c>
      <c r="J540">
        <v>2</v>
      </c>
      <c r="K540" t="s">
        <v>25</v>
      </c>
      <c r="L540" t="s">
        <v>30</v>
      </c>
    </row>
    <row r="541" spans="1:12" x14ac:dyDescent="0.25">
      <c r="A541" t="s">
        <v>1954</v>
      </c>
      <c r="B541">
        <v>127202</v>
      </c>
      <c r="C541" s="3" t="s">
        <v>3088</v>
      </c>
      <c r="D541" t="s">
        <v>19</v>
      </c>
      <c r="E541" t="s">
        <v>62</v>
      </c>
      <c r="F541" t="s">
        <v>3072</v>
      </c>
      <c r="G541" t="s">
        <v>22</v>
      </c>
      <c r="H541" s="5">
        <v>46026.088460648149</v>
      </c>
      <c r="I541" s="5">
        <v>46028.5621875</v>
      </c>
      <c r="J541">
        <v>2</v>
      </c>
      <c r="K541" t="s">
        <v>211</v>
      </c>
      <c r="L541" t="s">
        <v>30</v>
      </c>
    </row>
    <row r="542" spans="1:12" x14ac:dyDescent="0.25">
      <c r="A542" t="s">
        <v>1957</v>
      </c>
      <c r="B542">
        <v>126410</v>
      </c>
      <c r="C542" s="3">
        <v>61</v>
      </c>
      <c r="D542" t="s">
        <v>19</v>
      </c>
      <c r="E542" t="s">
        <v>20</v>
      </c>
      <c r="F542" t="s">
        <v>3085</v>
      </c>
      <c r="G542" t="s">
        <v>22</v>
      </c>
      <c r="H542" s="5">
        <v>46026.851898148147</v>
      </c>
      <c r="I542" s="5">
        <v>46029.677800925929</v>
      </c>
      <c r="J542">
        <v>2</v>
      </c>
      <c r="K542" t="s">
        <v>25</v>
      </c>
      <c r="L542" t="s">
        <v>30</v>
      </c>
    </row>
    <row r="543" spans="1:12" x14ac:dyDescent="0.25">
      <c r="A543" t="s">
        <v>1909</v>
      </c>
      <c r="B543">
        <v>23620</v>
      </c>
      <c r="C543" s="3">
        <v>26</v>
      </c>
      <c r="D543" t="s">
        <v>32</v>
      </c>
      <c r="E543" t="s">
        <v>227</v>
      </c>
      <c r="F543" t="s">
        <v>3074</v>
      </c>
      <c r="G543" t="s">
        <v>22</v>
      </c>
      <c r="H543" s="5">
        <v>46026.887465277781</v>
      </c>
      <c r="I543" s="5">
        <v>46028.960995370369</v>
      </c>
      <c r="J543">
        <v>2</v>
      </c>
      <c r="K543" t="s">
        <v>25</v>
      </c>
      <c r="L543" t="s">
        <v>30</v>
      </c>
    </row>
    <row r="544" spans="1:12" x14ac:dyDescent="0.25">
      <c r="A544" t="s">
        <v>1962</v>
      </c>
      <c r="B544">
        <v>127250</v>
      </c>
      <c r="C544" s="3">
        <v>23</v>
      </c>
      <c r="D544" t="s">
        <v>32</v>
      </c>
      <c r="E544" t="s">
        <v>3073</v>
      </c>
      <c r="F544" t="s">
        <v>3074</v>
      </c>
      <c r="G544" t="s">
        <v>22</v>
      </c>
      <c r="H544" s="5">
        <v>46027.675092592595</v>
      </c>
      <c r="I544" s="5">
        <v>46029.752418981479</v>
      </c>
      <c r="J544">
        <v>2</v>
      </c>
      <c r="K544" t="s">
        <v>25</v>
      </c>
      <c r="L544" t="s">
        <v>30</v>
      </c>
    </row>
    <row r="545" spans="1:12" x14ac:dyDescent="0.25">
      <c r="A545" t="s">
        <v>1965</v>
      </c>
      <c r="B545">
        <v>127436</v>
      </c>
      <c r="C545" s="3">
        <v>22</v>
      </c>
      <c r="D545" t="s">
        <v>32</v>
      </c>
      <c r="E545" t="s">
        <v>260</v>
      </c>
      <c r="F545" t="s">
        <v>3074</v>
      </c>
      <c r="G545" t="s">
        <v>22</v>
      </c>
      <c r="H545" s="5">
        <v>46028.167685185188</v>
      </c>
      <c r="I545" s="5">
        <v>46030.863402777781</v>
      </c>
      <c r="J545">
        <v>2</v>
      </c>
      <c r="K545" t="s">
        <v>25</v>
      </c>
      <c r="L545" t="s">
        <v>30</v>
      </c>
    </row>
    <row r="546" spans="1:12" x14ac:dyDescent="0.25">
      <c r="A546" t="s">
        <v>1968</v>
      </c>
      <c r="B546">
        <v>127476</v>
      </c>
      <c r="C546" s="3">
        <v>9</v>
      </c>
      <c r="D546" t="s">
        <v>19</v>
      </c>
      <c r="E546" t="s">
        <v>3073</v>
      </c>
      <c r="F546" t="s">
        <v>3076</v>
      </c>
      <c r="G546" t="s">
        <v>394</v>
      </c>
      <c r="H546" s="5">
        <v>46028.578217592592</v>
      </c>
      <c r="I546" s="5">
        <v>46030.657905092594</v>
      </c>
      <c r="J546">
        <v>2</v>
      </c>
      <c r="K546" t="s">
        <v>25</v>
      </c>
      <c r="L546" t="s">
        <v>30</v>
      </c>
    </row>
    <row r="547" spans="1:12" x14ac:dyDescent="0.25">
      <c r="A547" t="s">
        <v>1971</v>
      </c>
      <c r="B547">
        <v>127473</v>
      </c>
      <c r="C547" s="3">
        <v>23</v>
      </c>
      <c r="D547" t="s">
        <v>19</v>
      </c>
      <c r="E547" t="s">
        <v>3073</v>
      </c>
      <c r="F547" t="s">
        <v>3085</v>
      </c>
      <c r="G547" t="s">
        <v>22</v>
      </c>
      <c r="H547" s="5">
        <v>46028.661168981482</v>
      </c>
      <c r="I547" s="5">
        <v>46031.585266203707</v>
      </c>
      <c r="J547">
        <v>2</v>
      </c>
      <c r="K547" t="s">
        <v>211</v>
      </c>
      <c r="L547" t="s">
        <v>30</v>
      </c>
    </row>
    <row r="548" spans="1:12" x14ac:dyDescent="0.25">
      <c r="A548" t="s">
        <v>1974</v>
      </c>
      <c r="B548">
        <v>116526</v>
      </c>
      <c r="C548" s="3">
        <v>25</v>
      </c>
      <c r="D548" t="s">
        <v>32</v>
      </c>
      <c r="E548" t="s">
        <v>3073</v>
      </c>
      <c r="F548" t="s">
        <v>3074</v>
      </c>
      <c r="G548" t="s">
        <v>22</v>
      </c>
      <c r="H548" s="5">
        <v>46028.732546296298</v>
      </c>
      <c r="I548" s="5">
        <v>46031.723715277774</v>
      </c>
      <c r="J548">
        <v>2</v>
      </c>
      <c r="K548" t="s">
        <v>25</v>
      </c>
      <c r="L548" t="s">
        <v>30</v>
      </c>
    </row>
    <row r="549" spans="1:12" x14ac:dyDescent="0.25">
      <c r="A549" t="s">
        <v>1977</v>
      </c>
      <c r="B549">
        <v>127544</v>
      </c>
      <c r="C549" s="3">
        <v>70</v>
      </c>
      <c r="D549" t="s">
        <v>19</v>
      </c>
      <c r="E549" t="s">
        <v>3073</v>
      </c>
      <c r="F549" t="s">
        <v>3086</v>
      </c>
      <c r="G549" t="s">
        <v>22</v>
      </c>
      <c r="H549" s="5">
        <v>46028.831030092595</v>
      </c>
      <c r="I549" s="5">
        <v>46031.710520833331</v>
      </c>
      <c r="J549">
        <v>2</v>
      </c>
      <c r="K549" t="s">
        <v>25</v>
      </c>
      <c r="L549" t="s">
        <v>30</v>
      </c>
    </row>
    <row r="550" spans="1:12" x14ac:dyDescent="0.25">
      <c r="A550" t="s">
        <v>1980</v>
      </c>
      <c r="B550">
        <v>127554</v>
      </c>
      <c r="C550" s="3">
        <v>2</v>
      </c>
      <c r="D550" t="s">
        <v>32</v>
      </c>
      <c r="E550" t="s">
        <v>1981</v>
      </c>
      <c r="F550" t="s">
        <v>763</v>
      </c>
      <c r="G550" t="s">
        <v>22</v>
      </c>
      <c r="H550" s="5">
        <v>46028.871342592596</v>
      </c>
      <c r="I550" s="5">
        <v>46031.795543981483</v>
      </c>
      <c r="J550">
        <v>2</v>
      </c>
      <c r="K550" t="s">
        <v>211</v>
      </c>
      <c r="L550" t="s">
        <v>1984</v>
      </c>
    </row>
    <row r="551" spans="1:12" x14ac:dyDescent="0.25">
      <c r="A551" t="s">
        <v>1985</v>
      </c>
      <c r="B551">
        <v>127563</v>
      </c>
      <c r="C551" s="3">
        <v>32</v>
      </c>
      <c r="D551" t="s">
        <v>32</v>
      </c>
      <c r="E551" t="s">
        <v>20</v>
      </c>
      <c r="F551" t="s">
        <v>3074</v>
      </c>
      <c r="G551" t="s">
        <v>22</v>
      </c>
      <c r="H551" s="5">
        <v>46028.959537037037</v>
      </c>
      <c r="I551" s="5">
        <v>46031.729131944441</v>
      </c>
      <c r="J551">
        <v>2</v>
      </c>
      <c r="K551" t="s">
        <v>25</v>
      </c>
      <c r="L551" t="s">
        <v>30</v>
      </c>
    </row>
    <row r="552" spans="1:12" x14ac:dyDescent="0.25">
      <c r="A552" t="s">
        <v>1988</v>
      </c>
      <c r="B552">
        <v>127452</v>
      </c>
      <c r="C552" s="3" t="s">
        <v>3088</v>
      </c>
      <c r="D552" t="s">
        <v>32</v>
      </c>
      <c r="E552" t="s">
        <v>2589</v>
      </c>
      <c r="F552" t="s">
        <v>3072</v>
      </c>
      <c r="G552" t="s">
        <v>22</v>
      </c>
      <c r="H552" s="5">
        <v>46029.378310185188</v>
      </c>
      <c r="I552" s="5">
        <v>46031.673796296294</v>
      </c>
      <c r="J552">
        <v>2</v>
      </c>
      <c r="K552" t="s">
        <v>25</v>
      </c>
      <c r="L552" t="s">
        <v>30</v>
      </c>
    </row>
    <row r="553" spans="1:12" x14ac:dyDescent="0.25">
      <c r="A553" t="s">
        <v>1991</v>
      </c>
      <c r="B553">
        <v>126187</v>
      </c>
      <c r="C553" s="3">
        <v>13</v>
      </c>
      <c r="D553" t="s">
        <v>19</v>
      </c>
      <c r="E553" t="s">
        <v>3073</v>
      </c>
      <c r="F553" t="s">
        <v>3090</v>
      </c>
      <c r="G553" t="s">
        <v>22</v>
      </c>
      <c r="H553" s="5">
        <v>46029.613680555558</v>
      </c>
      <c r="I553" s="5">
        <v>46031.678136574075</v>
      </c>
      <c r="J553">
        <v>2</v>
      </c>
      <c r="K553" t="s">
        <v>25</v>
      </c>
      <c r="L553" t="s">
        <v>30</v>
      </c>
    </row>
    <row r="554" spans="1:12" x14ac:dyDescent="0.25">
      <c r="A554" t="s">
        <v>1995</v>
      </c>
      <c r="B554">
        <v>127626</v>
      </c>
      <c r="C554" s="3">
        <v>60</v>
      </c>
      <c r="D554" t="s">
        <v>32</v>
      </c>
      <c r="E554" t="s">
        <v>3073</v>
      </c>
      <c r="F554" t="s">
        <v>3091</v>
      </c>
      <c r="G554" t="s">
        <v>22</v>
      </c>
      <c r="H554" s="5">
        <v>46029.771956018521</v>
      </c>
      <c r="I554" s="5">
        <v>46032.486817129633</v>
      </c>
      <c r="J554">
        <v>2</v>
      </c>
      <c r="K554" t="s">
        <v>25</v>
      </c>
      <c r="L554" t="s">
        <v>30</v>
      </c>
    </row>
    <row r="555" spans="1:12" x14ac:dyDescent="0.25">
      <c r="A555" t="s">
        <v>1998</v>
      </c>
      <c r="B555">
        <v>127706</v>
      </c>
      <c r="C555" s="3">
        <v>35</v>
      </c>
      <c r="D555" t="s">
        <v>32</v>
      </c>
      <c r="E555" t="s">
        <v>3073</v>
      </c>
      <c r="F555" t="s">
        <v>3077</v>
      </c>
      <c r="G555" t="s">
        <v>22</v>
      </c>
      <c r="H555" s="5">
        <v>46030.160763888889</v>
      </c>
      <c r="I555" s="5">
        <v>46032.693437499998</v>
      </c>
      <c r="J555">
        <v>2</v>
      </c>
      <c r="K555" t="s">
        <v>25</v>
      </c>
      <c r="L555" t="s">
        <v>30</v>
      </c>
    </row>
    <row r="556" spans="1:12" x14ac:dyDescent="0.25">
      <c r="A556" t="s">
        <v>2001</v>
      </c>
      <c r="B556">
        <v>127794</v>
      </c>
      <c r="C556" s="3">
        <v>41</v>
      </c>
      <c r="D556" t="s">
        <v>19</v>
      </c>
      <c r="E556" t="s">
        <v>62</v>
      </c>
      <c r="F556" t="s">
        <v>3086</v>
      </c>
      <c r="G556" t="s">
        <v>22</v>
      </c>
      <c r="H556" s="5">
        <v>46030.803715277776</v>
      </c>
      <c r="I556" s="5">
        <v>46033.589872685188</v>
      </c>
      <c r="J556">
        <v>2</v>
      </c>
      <c r="K556" t="s">
        <v>112</v>
      </c>
      <c r="L556" t="s">
        <v>30</v>
      </c>
    </row>
    <row r="557" spans="1:12" x14ac:dyDescent="0.25">
      <c r="A557" t="s">
        <v>2004</v>
      </c>
      <c r="B557">
        <v>127809</v>
      </c>
      <c r="C557" s="3" t="s">
        <v>3088</v>
      </c>
      <c r="D557" t="s">
        <v>32</v>
      </c>
      <c r="E557" t="s">
        <v>260</v>
      </c>
      <c r="F557" t="s">
        <v>3072</v>
      </c>
      <c r="G557" t="s">
        <v>22</v>
      </c>
      <c r="H557" s="5">
        <v>46031.00341435185</v>
      </c>
      <c r="I557" s="5">
        <v>46033.598020833335</v>
      </c>
      <c r="J557">
        <v>2</v>
      </c>
      <c r="K557" t="s">
        <v>25</v>
      </c>
      <c r="L557" t="s">
        <v>30</v>
      </c>
    </row>
    <row r="558" spans="1:12" x14ac:dyDescent="0.25">
      <c r="A558" t="s">
        <v>2007</v>
      </c>
      <c r="B558">
        <v>97215</v>
      </c>
      <c r="C558" s="3">
        <v>64</v>
      </c>
      <c r="D558" t="s">
        <v>32</v>
      </c>
      <c r="E558" t="s">
        <v>2589</v>
      </c>
      <c r="F558" t="s">
        <v>3091</v>
      </c>
      <c r="G558" t="s">
        <v>22</v>
      </c>
      <c r="H558" s="5">
        <v>46031.088194444441</v>
      </c>
      <c r="I558" s="5">
        <v>46033.658715277779</v>
      </c>
      <c r="J558">
        <v>2</v>
      </c>
      <c r="K558" t="s">
        <v>25</v>
      </c>
      <c r="L558" t="s">
        <v>30</v>
      </c>
    </row>
    <row r="559" spans="1:12" x14ac:dyDescent="0.25">
      <c r="A559" t="s">
        <v>2010</v>
      </c>
      <c r="B559">
        <v>127808</v>
      </c>
      <c r="C559" s="3">
        <v>27</v>
      </c>
      <c r="D559" t="s">
        <v>32</v>
      </c>
      <c r="E559" t="s">
        <v>20</v>
      </c>
      <c r="F559" t="s">
        <v>3074</v>
      </c>
      <c r="G559" t="s">
        <v>22</v>
      </c>
      <c r="H559" s="5">
        <v>46031.102511574078</v>
      </c>
      <c r="I559" s="5">
        <v>46033.747372685182</v>
      </c>
      <c r="J559">
        <v>2</v>
      </c>
      <c r="K559" t="s">
        <v>25</v>
      </c>
      <c r="L559" t="s">
        <v>30</v>
      </c>
    </row>
    <row r="560" spans="1:12" x14ac:dyDescent="0.25">
      <c r="A560" t="s">
        <v>2013</v>
      </c>
      <c r="B560">
        <v>127815</v>
      </c>
      <c r="C560" s="3">
        <v>26</v>
      </c>
      <c r="D560" t="s">
        <v>32</v>
      </c>
      <c r="E560" t="s">
        <v>62</v>
      </c>
      <c r="F560" t="s">
        <v>3074</v>
      </c>
      <c r="G560" t="s">
        <v>22</v>
      </c>
      <c r="H560" s="5">
        <v>46031.35119212963</v>
      </c>
      <c r="I560" s="5">
        <v>46033.672673611109</v>
      </c>
      <c r="J560">
        <v>2</v>
      </c>
      <c r="K560" t="s">
        <v>25</v>
      </c>
      <c r="L560" t="s">
        <v>30</v>
      </c>
    </row>
    <row r="561" spans="1:12" x14ac:dyDescent="0.25">
      <c r="A561" t="s">
        <v>2016</v>
      </c>
      <c r="B561">
        <v>80430</v>
      </c>
      <c r="C561" s="3">
        <v>31</v>
      </c>
      <c r="D561" t="s">
        <v>32</v>
      </c>
      <c r="E561" t="s">
        <v>3073</v>
      </c>
      <c r="F561" t="s">
        <v>3074</v>
      </c>
      <c r="G561" t="s">
        <v>22</v>
      </c>
      <c r="H561" s="5">
        <v>46031.454594907409</v>
      </c>
      <c r="I561" s="5">
        <v>46033.54246527778</v>
      </c>
      <c r="J561">
        <v>2</v>
      </c>
      <c r="K561" t="s">
        <v>25</v>
      </c>
      <c r="L561" t="s">
        <v>30</v>
      </c>
    </row>
    <row r="562" spans="1:12" x14ac:dyDescent="0.25">
      <c r="A562" t="s">
        <v>2019</v>
      </c>
      <c r="B562">
        <v>127863</v>
      </c>
      <c r="C562" s="3" t="s">
        <v>3088</v>
      </c>
      <c r="D562" t="s">
        <v>32</v>
      </c>
      <c r="E562" t="s">
        <v>3073</v>
      </c>
      <c r="F562" t="s">
        <v>3072</v>
      </c>
      <c r="G562" t="s">
        <v>22</v>
      </c>
      <c r="H562" s="5">
        <v>46031.601851851854</v>
      </c>
      <c r="I562" s="5">
        <v>46033.739120370374</v>
      </c>
      <c r="J562">
        <v>2</v>
      </c>
      <c r="K562" t="s">
        <v>25</v>
      </c>
      <c r="L562" t="s">
        <v>30</v>
      </c>
    </row>
    <row r="563" spans="1:12" x14ac:dyDescent="0.25">
      <c r="A563" t="s">
        <v>2022</v>
      </c>
      <c r="B563">
        <v>127919</v>
      </c>
      <c r="C563" s="3">
        <v>70</v>
      </c>
      <c r="D563" t="s">
        <v>32</v>
      </c>
      <c r="E563" t="s">
        <v>62</v>
      </c>
      <c r="F563" t="s">
        <v>3091</v>
      </c>
      <c r="G563" t="s">
        <v>22</v>
      </c>
      <c r="H563" s="5">
        <v>46031.648310185185</v>
      </c>
      <c r="I563" s="5">
        <v>46034.563287037039</v>
      </c>
      <c r="J563">
        <v>2</v>
      </c>
      <c r="K563" t="s">
        <v>25</v>
      </c>
      <c r="L563" t="s">
        <v>30</v>
      </c>
    </row>
    <row r="564" spans="1:12" x14ac:dyDescent="0.25">
      <c r="A564" t="s">
        <v>2025</v>
      </c>
      <c r="B564">
        <v>35771</v>
      </c>
      <c r="C564" s="3">
        <v>8</v>
      </c>
      <c r="D564" t="s">
        <v>19</v>
      </c>
      <c r="E564" t="s">
        <v>62</v>
      </c>
      <c r="F564" t="s">
        <v>3084</v>
      </c>
      <c r="G564" t="s">
        <v>701</v>
      </c>
      <c r="H564" s="5">
        <v>46031.66747685185</v>
      </c>
      <c r="I564" s="5">
        <v>46034.646655092591</v>
      </c>
      <c r="J564">
        <v>2</v>
      </c>
      <c r="K564" t="s">
        <v>25</v>
      </c>
      <c r="L564" t="s">
        <v>30</v>
      </c>
    </row>
    <row r="565" spans="1:12" x14ac:dyDescent="0.25">
      <c r="A565" t="s">
        <v>2028</v>
      </c>
      <c r="B565">
        <v>127943</v>
      </c>
      <c r="C565" s="3">
        <v>26</v>
      </c>
      <c r="D565" t="s">
        <v>32</v>
      </c>
      <c r="E565" t="s">
        <v>20</v>
      </c>
      <c r="F565" t="s">
        <v>3077</v>
      </c>
      <c r="G565" t="s">
        <v>22</v>
      </c>
      <c r="H565" s="5">
        <v>46031.808599537035</v>
      </c>
      <c r="I565" s="5">
        <v>46034.720196759263</v>
      </c>
      <c r="J565">
        <v>2</v>
      </c>
      <c r="K565" t="s">
        <v>25</v>
      </c>
      <c r="L565" t="s">
        <v>30</v>
      </c>
    </row>
    <row r="566" spans="1:12" x14ac:dyDescent="0.25">
      <c r="A566" t="s">
        <v>2031</v>
      </c>
      <c r="B566">
        <v>128006</v>
      </c>
      <c r="C566" s="3">
        <v>38</v>
      </c>
      <c r="D566" t="s">
        <v>32</v>
      </c>
      <c r="E566" t="s">
        <v>20</v>
      </c>
      <c r="F566" t="s">
        <v>3077</v>
      </c>
      <c r="G566" t="s">
        <v>22</v>
      </c>
      <c r="H566" s="5">
        <v>46032.710034722222</v>
      </c>
      <c r="I566" s="5">
        <v>46035.655243055553</v>
      </c>
      <c r="J566">
        <v>2</v>
      </c>
      <c r="K566" t="s">
        <v>25</v>
      </c>
      <c r="L566" t="s">
        <v>30</v>
      </c>
    </row>
    <row r="567" spans="1:12" x14ac:dyDescent="0.25">
      <c r="A567" t="s">
        <v>2034</v>
      </c>
      <c r="B567">
        <v>112569</v>
      </c>
      <c r="C567" s="3">
        <v>32</v>
      </c>
      <c r="D567" t="s">
        <v>32</v>
      </c>
      <c r="E567" t="s">
        <v>3073</v>
      </c>
      <c r="F567" t="s">
        <v>3077</v>
      </c>
      <c r="G567" t="s">
        <v>394</v>
      </c>
      <c r="H567" s="5">
        <v>46032.755335648151</v>
      </c>
      <c r="I567" s="5">
        <v>46035.734351851854</v>
      </c>
      <c r="J567">
        <v>2</v>
      </c>
      <c r="K567" t="s">
        <v>25</v>
      </c>
      <c r="L567" t="s">
        <v>30</v>
      </c>
    </row>
    <row r="568" spans="1:12" x14ac:dyDescent="0.25">
      <c r="A568" t="s">
        <v>2037</v>
      </c>
      <c r="B568">
        <v>128011</v>
      </c>
      <c r="C568" s="3" t="s">
        <v>3088</v>
      </c>
      <c r="D568" t="s">
        <v>19</v>
      </c>
      <c r="E568" t="s">
        <v>3073</v>
      </c>
      <c r="F568" t="s">
        <v>3072</v>
      </c>
      <c r="G568" t="s">
        <v>22</v>
      </c>
      <c r="H568" s="5">
        <v>46032.779224537036</v>
      </c>
      <c r="I568" s="5">
        <v>46035.748032407406</v>
      </c>
      <c r="J568">
        <v>2</v>
      </c>
      <c r="K568" t="s">
        <v>25</v>
      </c>
      <c r="L568" t="s">
        <v>30</v>
      </c>
    </row>
    <row r="569" spans="1:12" x14ac:dyDescent="0.25">
      <c r="A569" t="s">
        <v>2040</v>
      </c>
      <c r="B569">
        <v>128015</v>
      </c>
      <c r="C569" s="3">
        <v>85</v>
      </c>
      <c r="D569" t="s">
        <v>32</v>
      </c>
      <c r="E569" t="s">
        <v>3073</v>
      </c>
      <c r="F569" t="s">
        <v>3091</v>
      </c>
      <c r="G569" t="s">
        <v>22</v>
      </c>
      <c r="H569" s="5">
        <v>46033.035324074073</v>
      </c>
      <c r="I569" s="5">
        <v>46035.500636574077</v>
      </c>
      <c r="J569">
        <v>2</v>
      </c>
      <c r="K569" t="s">
        <v>211</v>
      </c>
      <c r="L569" t="s">
        <v>30</v>
      </c>
    </row>
    <row r="570" spans="1:12" x14ac:dyDescent="0.25">
      <c r="A570" t="s">
        <v>2043</v>
      </c>
      <c r="B570">
        <v>127996</v>
      </c>
      <c r="C570" s="3">
        <v>70</v>
      </c>
      <c r="D570" t="s">
        <v>19</v>
      </c>
      <c r="E570" t="s">
        <v>260</v>
      </c>
      <c r="F570" t="s">
        <v>3085</v>
      </c>
      <c r="G570" t="s">
        <v>22</v>
      </c>
      <c r="H570" s="5">
        <v>46033.077627314815</v>
      </c>
      <c r="I570" s="5">
        <v>46035.544259259259</v>
      </c>
      <c r="J570">
        <v>2</v>
      </c>
      <c r="K570" t="s">
        <v>25</v>
      </c>
      <c r="L570" t="s">
        <v>30</v>
      </c>
    </row>
    <row r="571" spans="1:12" x14ac:dyDescent="0.25">
      <c r="A571" t="s">
        <v>2046</v>
      </c>
      <c r="B571">
        <v>128021</v>
      </c>
      <c r="C571" s="3">
        <v>20</v>
      </c>
      <c r="D571" t="s">
        <v>19</v>
      </c>
      <c r="E571" t="s">
        <v>62</v>
      </c>
      <c r="F571" t="s">
        <v>3085</v>
      </c>
      <c r="G571" t="s">
        <v>22</v>
      </c>
      <c r="H571" s="5">
        <v>46033.311921296299</v>
      </c>
      <c r="I571" s="5">
        <v>46035.563055555554</v>
      </c>
      <c r="J571">
        <v>2</v>
      </c>
      <c r="K571" t="s">
        <v>25</v>
      </c>
      <c r="L571" t="s">
        <v>30</v>
      </c>
    </row>
    <row r="572" spans="1:12" x14ac:dyDescent="0.25">
      <c r="A572" t="s">
        <v>2049</v>
      </c>
      <c r="B572">
        <v>15361</v>
      </c>
      <c r="C572" s="3">
        <v>43</v>
      </c>
      <c r="D572" t="s">
        <v>32</v>
      </c>
      <c r="E572" t="s">
        <v>3073</v>
      </c>
      <c r="F572" t="s">
        <v>3077</v>
      </c>
      <c r="G572" t="s">
        <v>394</v>
      </c>
      <c r="H572" s="5">
        <v>46033.497858796298</v>
      </c>
      <c r="I572" s="5">
        <v>46035.551354166666</v>
      </c>
      <c r="J572">
        <v>2</v>
      </c>
      <c r="K572" t="s">
        <v>25</v>
      </c>
      <c r="L572" t="s">
        <v>30</v>
      </c>
    </row>
    <row r="573" spans="1:12" x14ac:dyDescent="0.25">
      <c r="A573" t="s">
        <v>2052</v>
      </c>
      <c r="B573">
        <v>112336</v>
      </c>
      <c r="C573" s="3">
        <v>66</v>
      </c>
      <c r="D573" t="s">
        <v>32</v>
      </c>
      <c r="E573" t="s">
        <v>3073</v>
      </c>
      <c r="F573" t="s">
        <v>3090</v>
      </c>
      <c r="G573" t="s">
        <v>394</v>
      </c>
      <c r="H573" s="5">
        <v>46033.535150462965</v>
      </c>
      <c r="I573" s="5">
        <v>46036.507916666669</v>
      </c>
      <c r="J573">
        <v>2</v>
      </c>
      <c r="K573" t="s">
        <v>25</v>
      </c>
      <c r="L573" t="s">
        <v>30</v>
      </c>
    </row>
    <row r="574" spans="1:12" x14ac:dyDescent="0.25">
      <c r="A574" t="s">
        <v>2055</v>
      </c>
      <c r="B574">
        <v>13799</v>
      </c>
      <c r="C574" s="3">
        <v>79</v>
      </c>
      <c r="D574" t="s">
        <v>32</v>
      </c>
      <c r="E574" t="s">
        <v>754</v>
      </c>
      <c r="F574" t="s">
        <v>3084</v>
      </c>
      <c r="G574" t="s">
        <v>394</v>
      </c>
      <c r="H574" s="5">
        <v>46033.630960648145</v>
      </c>
      <c r="I574" s="5">
        <v>46036.572974537034</v>
      </c>
      <c r="J574">
        <v>2</v>
      </c>
      <c r="K574" t="s">
        <v>25</v>
      </c>
      <c r="L574" t="s">
        <v>30</v>
      </c>
    </row>
    <row r="575" spans="1:12" x14ac:dyDescent="0.25">
      <c r="A575" t="s">
        <v>2059</v>
      </c>
      <c r="B575">
        <v>128060</v>
      </c>
      <c r="C575" s="3">
        <v>22</v>
      </c>
      <c r="D575" t="s">
        <v>32</v>
      </c>
      <c r="E575" t="s">
        <v>3073</v>
      </c>
      <c r="F575" t="s">
        <v>3074</v>
      </c>
      <c r="G575" t="s">
        <v>22</v>
      </c>
      <c r="H575" s="5">
        <v>46034.062673611108</v>
      </c>
      <c r="I575" s="5">
        <v>46036.587048611109</v>
      </c>
      <c r="J575">
        <v>2</v>
      </c>
      <c r="K575" t="s">
        <v>25</v>
      </c>
      <c r="L575" t="s">
        <v>30</v>
      </c>
    </row>
    <row r="576" spans="1:12" x14ac:dyDescent="0.25">
      <c r="A576" t="s">
        <v>2062</v>
      </c>
      <c r="B576">
        <v>128067</v>
      </c>
      <c r="C576" s="3">
        <v>42</v>
      </c>
      <c r="D576" t="s">
        <v>32</v>
      </c>
      <c r="E576" t="s">
        <v>3073</v>
      </c>
      <c r="F576" t="s">
        <v>3074</v>
      </c>
      <c r="G576" t="s">
        <v>22</v>
      </c>
      <c r="H576" s="5">
        <v>46034.342812499999</v>
      </c>
      <c r="I576" s="5">
        <v>46036.797569444447</v>
      </c>
      <c r="J576">
        <v>2</v>
      </c>
      <c r="K576" t="s">
        <v>25</v>
      </c>
      <c r="L576" t="s">
        <v>30</v>
      </c>
    </row>
    <row r="577" spans="1:12" x14ac:dyDescent="0.25">
      <c r="A577" t="s">
        <v>2065</v>
      </c>
      <c r="B577">
        <v>51929</v>
      </c>
      <c r="C577" s="3">
        <v>4</v>
      </c>
      <c r="D577" t="s">
        <v>19</v>
      </c>
      <c r="E577" t="s">
        <v>227</v>
      </c>
      <c r="F577" t="s">
        <v>3076</v>
      </c>
      <c r="G577" t="s">
        <v>394</v>
      </c>
      <c r="H577" s="5">
        <v>46034.413113425922</v>
      </c>
      <c r="I577" s="5">
        <v>46036.43372685185</v>
      </c>
      <c r="J577">
        <v>2</v>
      </c>
      <c r="K577" t="s">
        <v>25</v>
      </c>
      <c r="L577" t="s">
        <v>30</v>
      </c>
    </row>
    <row r="578" spans="1:12" x14ac:dyDescent="0.25">
      <c r="A578" t="s">
        <v>2068</v>
      </c>
      <c r="B578">
        <v>128104</v>
      </c>
      <c r="C578" s="3">
        <v>25</v>
      </c>
      <c r="D578" t="s">
        <v>32</v>
      </c>
      <c r="E578" t="s">
        <v>1774</v>
      </c>
      <c r="F578" t="s">
        <v>3074</v>
      </c>
      <c r="G578" t="s">
        <v>22</v>
      </c>
      <c r="H578" s="5">
        <v>46034.486446759256</v>
      </c>
      <c r="I578" s="5">
        <v>46036.553495370368</v>
      </c>
      <c r="J578">
        <v>2</v>
      </c>
      <c r="K578" t="s">
        <v>25</v>
      </c>
      <c r="L578" t="s">
        <v>30</v>
      </c>
    </row>
    <row r="579" spans="1:12" x14ac:dyDescent="0.25">
      <c r="A579" t="s">
        <v>2071</v>
      </c>
      <c r="B579">
        <v>128069</v>
      </c>
      <c r="C579" s="3">
        <v>20</v>
      </c>
      <c r="D579" t="s">
        <v>19</v>
      </c>
      <c r="E579" t="s">
        <v>3073</v>
      </c>
      <c r="F579" t="s">
        <v>3085</v>
      </c>
      <c r="G579" t="s">
        <v>22</v>
      </c>
      <c r="H579" s="5">
        <v>46034.534618055557</v>
      </c>
      <c r="I579" s="5">
        <v>46036.620856481481</v>
      </c>
      <c r="J579">
        <v>2</v>
      </c>
      <c r="K579" t="s">
        <v>112</v>
      </c>
      <c r="L579" t="s">
        <v>30</v>
      </c>
    </row>
    <row r="580" spans="1:12" x14ac:dyDescent="0.25">
      <c r="A580" t="s">
        <v>2074</v>
      </c>
      <c r="B580">
        <v>128144</v>
      </c>
      <c r="C580" s="3">
        <v>25</v>
      </c>
      <c r="D580" t="s">
        <v>32</v>
      </c>
      <c r="E580" t="s">
        <v>62</v>
      </c>
      <c r="F580" t="s">
        <v>3074</v>
      </c>
      <c r="G580" t="s">
        <v>22</v>
      </c>
      <c r="H580" s="5">
        <v>46034.688344907408</v>
      </c>
      <c r="I580" s="5">
        <v>46036.706111111111</v>
      </c>
      <c r="J580">
        <v>2</v>
      </c>
      <c r="K580" t="s">
        <v>211</v>
      </c>
      <c r="L580" t="s">
        <v>30</v>
      </c>
    </row>
    <row r="581" spans="1:12" x14ac:dyDescent="0.25">
      <c r="A581" t="s">
        <v>2077</v>
      </c>
      <c r="B581">
        <v>128139</v>
      </c>
      <c r="C581" s="3">
        <v>58</v>
      </c>
      <c r="D581" t="s">
        <v>19</v>
      </c>
      <c r="E581" t="s">
        <v>62</v>
      </c>
      <c r="F581" t="s">
        <v>3086</v>
      </c>
      <c r="G581" t="s">
        <v>22</v>
      </c>
      <c r="H581" s="5">
        <v>46034.704918981479</v>
      </c>
      <c r="I581" s="5">
        <v>46037.499479166669</v>
      </c>
      <c r="J581">
        <v>2</v>
      </c>
      <c r="K581" t="s">
        <v>211</v>
      </c>
      <c r="L581" t="s">
        <v>30</v>
      </c>
    </row>
    <row r="582" spans="1:12" x14ac:dyDescent="0.25">
      <c r="A582" t="s">
        <v>2080</v>
      </c>
      <c r="B582">
        <v>128101</v>
      </c>
      <c r="C582" s="3" t="s">
        <v>3088</v>
      </c>
      <c r="D582" t="s">
        <v>32</v>
      </c>
      <c r="E582" t="s">
        <v>3073</v>
      </c>
      <c r="F582" t="s">
        <v>3072</v>
      </c>
      <c r="G582" t="s">
        <v>22</v>
      </c>
      <c r="H582" s="5">
        <v>46034.914537037039</v>
      </c>
      <c r="I582" s="5">
        <v>46037.5080787037</v>
      </c>
      <c r="J582">
        <v>2</v>
      </c>
      <c r="K582" t="s">
        <v>25</v>
      </c>
      <c r="L582" t="s">
        <v>30</v>
      </c>
    </row>
    <row r="583" spans="1:12" x14ac:dyDescent="0.25">
      <c r="A583" t="s">
        <v>2083</v>
      </c>
      <c r="B583">
        <v>128167</v>
      </c>
      <c r="C583" s="3">
        <v>4</v>
      </c>
      <c r="D583" t="s">
        <v>19</v>
      </c>
      <c r="E583" t="s">
        <v>3073</v>
      </c>
      <c r="F583" t="s">
        <v>3076</v>
      </c>
      <c r="G583" t="s">
        <v>22</v>
      </c>
      <c r="H583" s="5">
        <v>46034.956296296295</v>
      </c>
      <c r="I583" s="5">
        <v>46037.465983796297</v>
      </c>
      <c r="J583">
        <v>2</v>
      </c>
      <c r="K583" t="s">
        <v>25</v>
      </c>
      <c r="L583" t="s">
        <v>30</v>
      </c>
    </row>
    <row r="584" spans="1:12" x14ac:dyDescent="0.25">
      <c r="A584" t="s">
        <v>2086</v>
      </c>
      <c r="B584">
        <v>128193</v>
      </c>
      <c r="C584" s="3">
        <v>21</v>
      </c>
      <c r="D584" t="s">
        <v>32</v>
      </c>
      <c r="E584" t="s">
        <v>3073</v>
      </c>
      <c r="F584" t="s">
        <v>3074</v>
      </c>
      <c r="G584" t="s">
        <v>22</v>
      </c>
      <c r="H584" s="5">
        <v>46035.453252314815</v>
      </c>
      <c r="I584" s="5">
        <v>46037.553981481484</v>
      </c>
      <c r="J584">
        <v>2</v>
      </c>
      <c r="K584" t="s">
        <v>25</v>
      </c>
      <c r="L584" t="s">
        <v>30</v>
      </c>
    </row>
    <row r="585" spans="1:12" x14ac:dyDescent="0.25">
      <c r="A585" t="s">
        <v>2089</v>
      </c>
      <c r="B585">
        <v>127763</v>
      </c>
      <c r="C585" s="3">
        <v>45</v>
      </c>
      <c r="D585" t="s">
        <v>32</v>
      </c>
      <c r="E585" t="s">
        <v>3073</v>
      </c>
      <c r="F585" t="s">
        <v>3077</v>
      </c>
      <c r="G585" t="s">
        <v>22</v>
      </c>
      <c r="H585" s="5">
        <v>46035.663124999999</v>
      </c>
      <c r="I585" s="5">
        <v>46038.544675925928</v>
      </c>
      <c r="J585">
        <v>2</v>
      </c>
      <c r="K585" t="s">
        <v>25</v>
      </c>
      <c r="L585" t="s">
        <v>30</v>
      </c>
    </row>
    <row r="586" spans="1:12" x14ac:dyDescent="0.25">
      <c r="A586" t="s">
        <v>2092</v>
      </c>
      <c r="B586">
        <v>128161</v>
      </c>
      <c r="C586" s="3">
        <v>34</v>
      </c>
      <c r="D586" t="s">
        <v>19</v>
      </c>
      <c r="E586" t="s">
        <v>20</v>
      </c>
      <c r="F586" t="s">
        <v>3085</v>
      </c>
      <c r="G586" t="s">
        <v>22</v>
      </c>
      <c r="H586" s="5">
        <v>46035.775277777779</v>
      </c>
      <c r="I586" s="5">
        <v>46038.564421296294</v>
      </c>
      <c r="J586">
        <v>2</v>
      </c>
      <c r="K586" t="s">
        <v>25</v>
      </c>
      <c r="L586" t="s">
        <v>30</v>
      </c>
    </row>
    <row r="587" spans="1:12" x14ac:dyDescent="0.25">
      <c r="A587" t="s">
        <v>2095</v>
      </c>
      <c r="B587">
        <v>128313</v>
      </c>
      <c r="C587" s="3">
        <v>66</v>
      </c>
      <c r="D587" t="s">
        <v>19</v>
      </c>
      <c r="E587" t="s">
        <v>260</v>
      </c>
      <c r="F587" t="s">
        <v>3086</v>
      </c>
      <c r="G587" t="s">
        <v>22</v>
      </c>
      <c r="H587" s="5">
        <v>46035.965289351851</v>
      </c>
      <c r="I587" s="5">
        <v>46038.639120370368</v>
      </c>
      <c r="J587">
        <v>2</v>
      </c>
      <c r="K587" t="s">
        <v>25</v>
      </c>
      <c r="L587" t="s">
        <v>30</v>
      </c>
    </row>
    <row r="588" spans="1:12" x14ac:dyDescent="0.25">
      <c r="A588" t="s">
        <v>2098</v>
      </c>
      <c r="B588">
        <v>128317</v>
      </c>
      <c r="C588" s="3" t="s">
        <v>3088</v>
      </c>
      <c r="D588" t="s">
        <v>19</v>
      </c>
      <c r="E588" t="s">
        <v>3073</v>
      </c>
      <c r="F588" t="s">
        <v>3072</v>
      </c>
      <c r="G588" t="s">
        <v>22</v>
      </c>
      <c r="H588" s="5">
        <v>46036.16542824074</v>
      </c>
      <c r="I588" s="5">
        <v>46038.739594907405</v>
      </c>
      <c r="J588">
        <v>2</v>
      </c>
      <c r="K588" t="s">
        <v>25</v>
      </c>
      <c r="L588" t="s">
        <v>30</v>
      </c>
    </row>
    <row r="589" spans="1:12" x14ac:dyDescent="0.25">
      <c r="A589" t="s">
        <v>2101</v>
      </c>
      <c r="B589">
        <v>128376</v>
      </c>
      <c r="C589" s="3" t="s">
        <v>3088</v>
      </c>
      <c r="D589" t="s">
        <v>32</v>
      </c>
      <c r="E589" t="s">
        <v>3073</v>
      </c>
      <c r="F589" t="s">
        <v>3072</v>
      </c>
      <c r="G589" t="s">
        <v>22</v>
      </c>
      <c r="H589" s="5">
        <v>46036.640810185185</v>
      </c>
      <c r="I589" s="5">
        <v>46039.561006944445</v>
      </c>
      <c r="J589">
        <v>2</v>
      </c>
      <c r="K589" t="s">
        <v>25</v>
      </c>
      <c r="L589" t="s">
        <v>30</v>
      </c>
    </row>
    <row r="590" spans="1:12" x14ac:dyDescent="0.25">
      <c r="A590" t="s">
        <v>2104</v>
      </c>
      <c r="B590">
        <v>49921</v>
      </c>
      <c r="C590" s="3">
        <v>6</v>
      </c>
      <c r="D590" t="s">
        <v>19</v>
      </c>
      <c r="E590" t="s">
        <v>62</v>
      </c>
      <c r="F590" t="s">
        <v>3076</v>
      </c>
      <c r="G590" t="s">
        <v>1062</v>
      </c>
      <c r="H590" s="5">
        <v>46036.756388888891</v>
      </c>
      <c r="I590" s="5">
        <v>46039.738171296296</v>
      </c>
      <c r="J590">
        <v>2</v>
      </c>
      <c r="K590" t="s">
        <v>25</v>
      </c>
      <c r="L590" t="s">
        <v>30</v>
      </c>
    </row>
    <row r="591" spans="1:12" x14ac:dyDescent="0.25">
      <c r="A591" t="s">
        <v>2107</v>
      </c>
      <c r="B591">
        <v>128472</v>
      </c>
      <c r="C591" s="3">
        <v>41</v>
      </c>
      <c r="D591" t="s">
        <v>32</v>
      </c>
      <c r="E591" t="s">
        <v>3073</v>
      </c>
      <c r="F591" t="s">
        <v>3074</v>
      </c>
      <c r="G591" t="s">
        <v>22</v>
      </c>
      <c r="H591" s="5">
        <v>46037.013032407405</v>
      </c>
      <c r="I591" s="5">
        <v>46039.764432870368</v>
      </c>
      <c r="J591">
        <v>2</v>
      </c>
      <c r="K591" t="s">
        <v>25</v>
      </c>
      <c r="L591" t="s">
        <v>30</v>
      </c>
    </row>
    <row r="592" spans="1:12" x14ac:dyDescent="0.25">
      <c r="A592" t="s">
        <v>936</v>
      </c>
      <c r="B592">
        <v>32062</v>
      </c>
      <c r="C592" s="3">
        <v>25</v>
      </c>
      <c r="D592" t="s">
        <v>32</v>
      </c>
      <c r="E592" t="s">
        <v>227</v>
      </c>
      <c r="F592" t="s">
        <v>3077</v>
      </c>
      <c r="G592" t="s">
        <v>22</v>
      </c>
      <c r="H592" s="5">
        <v>46037.030914351853</v>
      </c>
      <c r="I592" s="5">
        <v>46039.404178240744</v>
      </c>
      <c r="J592">
        <v>2</v>
      </c>
      <c r="K592" t="s">
        <v>25</v>
      </c>
      <c r="L592" t="s">
        <v>30</v>
      </c>
    </row>
    <row r="593" spans="1:12" x14ac:dyDescent="0.25">
      <c r="A593" t="s">
        <v>2112</v>
      </c>
      <c r="B593">
        <v>128506</v>
      </c>
      <c r="C593" s="3">
        <v>63</v>
      </c>
      <c r="D593" t="s">
        <v>19</v>
      </c>
      <c r="E593" t="s">
        <v>62</v>
      </c>
      <c r="F593" t="s">
        <v>3086</v>
      </c>
      <c r="G593" t="s">
        <v>22</v>
      </c>
      <c r="H593" s="5">
        <v>46037.507893518516</v>
      </c>
      <c r="I593" s="5">
        <v>46039.774398148147</v>
      </c>
      <c r="J593">
        <v>2</v>
      </c>
      <c r="K593" t="s">
        <v>25</v>
      </c>
      <c r="L593" t="s">
        <v>30</v>
      </c>
    </row>
    <row r="594" spans="1:12" x14ac:dyDescent="0.25">
      <c r="A594" t="s">
        <v>2115</v>
      </c>
      <c r="B594">
        <v>128537</v>
      </c>
      <c r="C594" s="3">
        <v>37</v>
      </c>
      <c r="D594" t="s">
        <v>32</v>
      </c>
      <c r="E594" t="s">
        <v>20</v>
      </c>
      <c r="F594" t="s">
        <v>3074</v>
      </c>
      <c r="G594" t="s">
        <v>22</v>
      </c>
      <c r="H594" s="5">
        <v>46037.606724537036</v>
      </c>
      <c r="I594" s="5">
        <v>46039.734988425924</v>
      </c>
      <c r="J594">
        <v>2</v>
      </c>
      <c r="K594" t="s">
        <v>25</v>
      </c>
      <c r="L594" t="s">
        <v>30</v>
      </c>
    </row>
    <row r="595" spans="1:12" x14ac:dyDescent="0.25">
      <c r="A595" t="s">
        <v>2065</v>
      </c>
      <c r="B595">
        <v>51929</v>
      </c>
      <c r="C595" s="3">
        <v>4</v>
      </c>
      <c r="D595" t="s">
        <v>19</v>
      </c>
      <c r="E595" t="s">
        <v>227</v>
      </c>
      <c r="F595" t="s">
        <v>3076</v>
      </c>
      <c r="G595" t="s">
        <v>394</v>
      </c>
      <c r="H595" s="5">
        <v>46037.725416666668</v>
      </c>
      <c r="I595" s="5">
        <v>46040.650335648148</v>
      </c>
      <c r="J595">
        <v>2</v>
      </c>
      <c r="K595" t="s">
        <v>25</v>
      </c>
      <c r="L595" t="s">
        <v>30</v>
      </c>
    </row>
    <row r="596" spans="1:12" x14ac:dyDescent="0.25">
      <c r="A596" t="s">
        <v>2121</v>
      </c>
      <c r="B596">
        <v>128564</v>
      </c>
      <c r="C596" s="3">
        <v>19</v>
      </c>
      <c r="D596" t="s">
        <v>32</v>
      </c>
      <c r="E596" t="s">
        <v>260</v>
      </c>
      <c r="F596" t="s">
        <v>3074</v>
      </c>
      <c r="G596" t="s">
        <v>22</v>
      </c>
      <c r="H596" s="5">
        <v>46037.908854166664</v>
      </c>
      <c r="I596" s="5">
        <v>46040.688078703701</v>
      </c>
      <c r="J596">
        <v>2</v>
      </c>
      <c r="K596" t="s">
        <v>25</v>
      </c>
      <c r="L596" t="s">
        <v>30</v>
      </c>
    </row>
    <row r="597" spans="1:12" x14ac:dyDescent="0.25">
      <c r="A597" t="s">
        <v>2124</v>
      </c>
      <c r="B597">
        <v>128553</v>
      </c>
      <c r="C597" s="3">
        <v>26</v>
      </c>
      <c r="D597" t="s">
        <v>19</v>
      </c>
      <c r="E597" t="s">
        <v>62</v>
      </c>
      <c r="F597" t="s">
        <v>3085</v>
      </c>
      <c r="G597" t="s">
        <v>22</v>
      </c>
      <c r="H597" s="5">
        <v>46038.252256944441</v>
      </c>
      <c r="I597" s="5">
        <v>46040.361678240741</v>
      </c>
      <c r="J597">
        <v>2</v>
      </c>
      <c r="K597" t="s">
        <v>25</v>
      </c>
      <c r="L597" t="s">
        <v>30</v>
      </c>
    </row>
    <row r="598" spans="1:12" x14ac:dyDescent="0.25">
      <c r="A598" t="s">
        <v>2127</v>
      </c>
      <c r="B598">
        <v>128724</v>
      </c>
      <c r="C598" s="3">
        <v>30</v>
      </c>
      <c r="D598" t="s">
        <v>32</v>
      </c>
      <c r="E598" t="s">
        <v>20</v>
      </c>
      <c r="F598" t="s">
        <v>3077</v>
      </c>
      <c r="G598" t="s">
        <v>22</v>
      </c>
      <c r="H598" s="5">
        <v>46039.596909722219</v>
      </c>
      <c r="I598" s="5">
        <v>46041.757002314815</v>
      </c>
      <c r="J598">
        <v>2</v>
      </c>
      <c r="K598" t="s">
        <v>112</v>
      </c>
      <c r="L598" t="s">
        <v>30</v>
      </c>
    </row>
    <row r="599" spans="1:12" x14ac:dyDescent="0.25">
      <c r="A599" t="s">
        <v>2130</v>
      </c>
      <c r="B599">
        <v>128716</v>
      </c>
      <c r="C599" s="3">
        <v>45</v>
      </c>
      <c r="D599" t="s">
        <v>19</v>
      </c>
      <c r="E599" t="s">
        <v>3073</v>
      </c>
      <c r="F599" t="s">
        <v>3085</v>
      </c>
      <c r="G599" t="s">
        <v>22</v>
      </c>
      <c r="H599" s="5">
        <v>46039.643229166664</v>
      </c>
      <c r="I599" s="5">
        <v>46041.682326388887</v>
      </c>
      <c r="J599">
        <v>2</v>
      </c>
      <c r="K599" t="s">
        <v>112</v>
      </c>
      <c r="L599" t="s">
        <v>30</v>
      </c>
    </row>
    <row r="600" spans="1:12" x14ac:dyDescent="0.25">
      <c r="A600" t="s">
        <v>2133</v>
      </c>
      <c r="B600">
        <v>128718</v>
      </c>
      <c r="C600" s="3">
        <v>13</v>
      </c>
      <c r="D600" t="s">
        <v>32</v>
      </c>
      <c r="E600" t="s">
        <v>20</v>
      </c>
      <c r="F600" t="s">
        <v>3091</v>
      </c>
      <c r="G600" t="s">
        <v>22</v>
      </c>
      <c r="H600" s="5">
        <v>46039.660324074073</v>
      </c>
      <c r="I600" s="5">
        <v>46041.743587962963</v>
      </c>
      <c r="J600">
        <v>2</v>
      </c>
      <c r="K600" t="s">
        <v>25</v>
      </c>
      <c r="L600" t="s">
        <v>30</v>
      </c>
    </row>
    <row r="601" spans="1:12" x14ac:dyDescent="0.25">
      <c r="A601" t="s">
        <v>2136</v>
      </c>
      <c r="B601">
        <v>128723</v>
      </c>
      <c r="C601" s="3">
        <v>30</v>
      </c>
      <c r="D601" t="s">
        <v>32</v>
      </c>
      <c r="E601" t="s">
        <v>3073</v>
      </c>
      <c r="F601" t="s">
        <v>3074</v>
      </c>
      <c r="G601" t="s">
        <v>22</v>
      </c>
      <c r="H601" s="5">
        <v>46039.697060185186</v>
      </c>
      <c r="I601" s="5">
        <v>46042.569328703707</v>
      </c>
      <c r="J601">
        <v>2</v>
      </c>
      <c r="K601" t="s">
        <v>25</v>
      </c>
      <c r="L601" t="s">
        <v>30</v>
      </c>
    </row>
    <row r="602" spans="1:12" x14ac:dyDescent="0.25">
      <c r="A602" t="s">
        <v>2139</v>
      </c>
      <c r="B602">
        <v>128758</v>
      </c>
      <c r="C602" s="3">
        <v>30</v>
      </c>
      <c r="D602" t="s">
        <v>32</v>
      </c>
      <c r="E602" t="s">
        <v>62</v>
      </c>
      <c r="F602" t="s">
        <v>3074</v>
      </c>
      <c r="G602" t="s">
        <v>22</v>
      </c>
      <c r="H602" s="5">
        <v>46040.443888888891</v>
      </c>
      <c r="I602" s="5">
        <v>46042.604166666664</v>
      </c>
      <c r="J602">
        <v>2</v>
      </c>
      <c r="K602" t="s">
        <v>25</v>
      </c>
      <c r="L602" t="s">
        <v>30</v>
      </c>
    </row>
    <row r="603" spans="1:12" x14ac:dyDescent="0.25">
      <c r="A603" t="s">
        <v>2142</v>
      </c>
      <c r="B603">
        <v>111886</v>
      </c>
      <c r="C603" s="3">
        <v>26</v>
      </c>
      <c r="D603" t="s">
        <v>32</v>
      </c>
      <c r="E603" t="s">
        <v>3073</v>
      </c>
      <c r="F603" t="s">
        <v>3084</v>
      </c>
      <c r="G603" t="s">
        <v>394</v>
      </c>
      <c r="H603" s="5">
        <v>46040.605173611111</v>
      </c>
      <c r="I603" s="5">
        <v>46043.391446759262</v>
      </c>
      <c r="J603">
        <v>2</v>
      </c>
      <c r="K603" t="s">
        <v>25</v>
      </c>
      <c r="L603" t="s">
        <v>30</v>
      </c>
    </row>
    <row r="604" spans="1:12" x14ac:dyDescent="0.25">
      <c r="A604" t="s">
        <v>2145</v>
      </c>
      <c r="B604">
        <v>63979</v>
      </c>
      <c r="C604" s="3">
        <v>3</v>
      </c>
      <c r="D604" t="s">
        <v>19</v>
      </c>
      <c r="E604" t="s">
        <v>227</v>
      </c>
      <c r="F604" t="s">
        <v>3076</v>
      </c>
      <c r="G604" t="s">
        <v>394</v>
      </c>
      <c r="H604" s="5">
        <v>46040.636655092596</v>
      </c>
      <c r="I604" s="5">
        <v>46042.777245370373</v>
      </c>
      <c r="J604">
        <v>2</v>
      </c>
      <c r="K604" t="s">
        <v>25</v>
      </c>
      <c r="L604" t="s">
        <v>30</v>
      </c>
    </row>
    <row r="605" spans="1:12" x14ac:dyDescent="0.25">
      <c r="A605" t="s">
        <v>2148</v>
      </c>
      <c r="B605">
        <v>128252</v>
      </c>
      <c r="C605" s="3">
        <v>7</v>
      </c>
      <c r="D605" t="s">
        <v>19</v>
      </c>
      <c r="E605" t="s">
        <v>62</v>
      </c>
      <c r="F605" t="s">
        <v>3084</v>
      </c>
      <c r="G605" t="s">
        <v>394</v>
      </c>
      <c r="H605" s="5">
        <v>46040.697060185186</v>
      </c>
      <c r="I605" s="5">
        <v>46043.637511574074</v>
      </c>
      <c r="J605">
        <v>2</v>
      </c>
      <c r="K605" t="s">
        <v>25</v>
      </c>
      <c r="L605" t="s">
        <v>30</v>
      </c>
    </row>
    <row r="606" spans="1:12" x14ac:dyDescent="0.25">
      <c r="A606" t="s">
        <v>2151</v>
      </c>
      <c r="B606">
        <v>70335</v>
      </c>
      <c r="C606" s="3">
        <v>33</v>
      </c>
      <c r="D606" t="s">
        <v>32</v>
      </c>
      <c r="E606" t="s">
        <v>227</v>
      </c>
      <c r="F606" t="s">
        <v>3074</v>
      </c>
      <c r="G606" t="s">
        <v>22</v>
      </c>
      <c r="H606" s="5">
        <v>46041.118495370371</v>
      </c>
      <c r="I606" s="5">
        <v>46043.748506944445</v>
      </c>
      <c r="J606">
        <v>2</v>
      </c>
      <c r="K606" t="s">
        <v>25</v>
      </c>
      <c r="L606" t="s">
        <v>30</v>
      </c>
    </row>
    <row r="607" spans="1:12" x14ac:dyDescent="0.25">
      <c r="A607" t="s">
        <v>2154</v>
      </c>
      <c r="B607">
        <v>46121</v>
      </c>
      <c r="C607" s="3">
        <v>31</v>
      </c>
      <c r="D607" t="s">
        <v>19</v>
      </c>
      <c r="E607" t="s">
        <v>227</v>
      </c>
      <c r="F607" t="s">
        <v>3090</v>
      </c>
      <c r="G607" t="s">
        <v>394</v>
      </c>
      <c r="H607" s="5">
        <v>46041.558159722219</v>
      </c>
      <c r="I607" s="5">
        <v>46043.578067129631</v>
      </c>
      <c r="J607">
        <v>2</v>
      </c>
      <c r="K607" t="s">
        <v>25</v>
      </c>
      <c r="L607" t="s">
        <v>30</v>
      </c>
    </row>
    <row r="608" spans="1:12" x14ac:dyDescent="0.25">
      <c r="A608" t="s">
        <v>2158</v>
      </c>
      <c r="B608">
        <v>128913</v>
      </c>
      <c r="C608" s="3">
        <v>18</v>
      </c>
      <c r="D608" t="s">
        <v>32</v>
      </c>
      <c r="E608" t="s">
        <v>3073</v>
      </c>
      <c r="F608" t="s">
        <v>3091</v>
      </c>
      <c r="G608" t="s">
        <v>22</v>
      </c>
      <c r="H608" s="5">
        <v>46041.902002314811</v>
      </c>
      <c r="I608" s="5">
        <v>46044.752534722225</v>
      </c>
      <c r="J608">
        <v>2</v>
      </c>
      <c r="K608" t="s">
        <v>25</v>
      </c>
      <c r="L608" t="s">
        <v>30</v>
      </c>
    </row>
    <row r="609" spans="1:12" x14ac:dyDescent="0.25">
      <c r="A609" t="s">
        <v>2161</v>
      </c>
      <c r="B609">
        <v>128959</v>
      </c>
      <c r="C609" s="3" t="s">
        <v>3088</v>
      </c>
      <c r="D609" t="s">
        <v>32</v>
      </c>
      <c r="E609" t="s">
        <v>62</v>
      </c>
      <c r="F609" t="s">
        <v>3072</v>
      </c>
      <c r="G609" t="s">
        <v>22</v>
      </c>
      <c r="H609" s="5">
        <v>46041.958333333336</v>
      </c>
      <c r="I609" s="5">
        <v>46044.618657407409</v>
      </c>
      <c r="J609">
        <v>2</v>
      </c>
      <c r="K609" t="s">
        <v>25</v>
      </c>
      <c r="L609" t="s">
        <v>30</v>
      </c>
    </row>
    <row r="610" spans="1:12" x14ac:dyDescent="0.25">
      <c r="A610" t="s">
        <v>2164</v>
      </c>
      <c r="B610">
        <v>128935</v>
      </c>
      <c r="C610" s="3">
        <v>3</v>
      </c>
      <c r="D610" t="s">
        <v>19</v>
      </c>
      <c r="E610" t="s">
        <v>62</v>
      </c>
      <c r="F610" t="s">
        <v>3076</v>
      </c>
      <c r="G610" t="s">
        <v>22</v>
      </c>
      <c r="H610" s="5">
        <v>46042.000393518516</v>
      </c>
      <c r="I610" s="5">
        <v>46044.625960648147</v>
      </c>
      <c r="J610">
        <v>2</v>
      </c>
      <c r="K610" t="s">
        <v>112</v>
      </c>
      <c r="L610" t="s">
        <v>30</v>
      </c>
    </row>
    <row r="611" spans="1:12" x14ac:dyDescent="0.25">
      <c r="A611" t="s">
        <v>2167</v>
      </c>
      <c r="B611">
        <v>128975</v>
      </c>
      <c r="C611" s="3" t="s">
        <v>3088</v>
      </c>
      <c r="D611" t="s">
        <v>32</v>
      </c>
      <c r="E611" t="s">
        <v>3073</v>
      </c>
      <c r="F611" t="s">
        <v>3072</v>
      </c>
      <c r="G611" t="s">
        <v>22</v>
      </c>
      <c r="H611" s="5">
        <v>46042.292650462965</v>
      </c>
      <c r="I611" s="5">
        <v>46044.657858796294</v>
      </c>
      <c r="J611">
        <v>2</v>
      </c>
      <c r="K611" t="s">
        <v>25</v>
      </c>
      <c r="L611" t="s">
        <v>30</v>
      </c>
    </row>
    <row r="612" spans="1:12" x14ac:dyDescent="0.25">
      <c r="A612" t="s">
        <v>2170</v>
      </c>
      <c r="B612">
        <v>109599</v>
      </c>
      <c r="C612" s="3">
        <v>25</v>
      </c>
      <c r="D612" t="s">
        <v>32</v>
      </c>
      <c r="E612" t="s">
        <v>3073</v>
      </c>
      <c r="F612" t="s">
        <v>3074</v>
      </c>
      <c r="G612" t="s">
        <v>22</v>
      </c>
      <c r="H612" s="5">
        <v>46042.850590277776</v>
      </c>
      <c r="I612" s="5">
        <v>46045.756736111114</v>
      </c>
      <c r="J612">
        <v>2</v>
      </c>
      <c r="K612" t="s">
        <v>25</v>
      </c>
      <c r="L612" t="s">
        <v>30</v>
      </c>
    </row>
    <row r="613" spans="1:12" x14ac:dyDescent="0.25">
      <c r="A613" t="s">
        <v>2173</v>
      </c>
      <c r="B613">
        <v>113231</v>
      </c>
      <c r="C613" s="3">
        <v>18</v>
      </c>
      <c r="D613" t="s">
        <v>32</v>
      </c>
      <c r="E613" t="s">
        <v>3073</v>
      </c>
      <c r="F613" t="s">
        <v>3074</v>
      </c>
      <c r="G613" t="s">
        <v>22</v>
      </c>
      <c r="H613" s="5">
        <v>46042.939641203702</v>
      </c>
      <c r="I613" s="5">
        <v>46045.444432870368</v>
      </c>
      <c r="J613">
        <v>2</v>
      </c>
      <c r="K613" t="s">
        <v>25</v>
      </c>
      <c r="L613" t="s">
        <v>30</v>
      </c>
    </row>
    <row r="614" spans="1:12" x14ac:dyDescent="0.25">
      <c r="A614" t="s">
        <v>2176</v>
      </c>
      <c r="B614">
        <v>129090</v>
      </c>
      <c r="C614" s="3">
        <v>9</v>
      </c>
      <c r="D614" t="s">
        <v>32</v>
      </c>
      <c r="E614" t="s">
        <v>20</v>
      </c>
      <c r="F614" t="s">
        <v>3076</v>
      </c>
      <c r="G614" t="s">
        <v>22</v>
      </c>
      <c r="H614" s="5">
        <v>46043.240162037036</v>
      </c>
      <c r="I614" s="5">
        <v>46045.638657407406</v>
      </c>
      <c r="J614">
        <v>2</v>
      </c>
      <c r="K614" t="s">
        <v>25</v>
      </c>
      <c r="L614" t="s">
        <v>30</v>
      </c>
    </row>
    <row r="615" spans="1:12" x14ac:dyDescent="0.25">
      <c r="A615" t="s">
        <v>2179</v>
      </c>
      <c r="B615">
        <v>129069</v>
      </c>
      <c r="C615" s="3">
        <v>22</v>
      </c>
      <c r="D615" t="s">
        <v>32</v>
      </c>
      <c r="E615" t="s">
        <v>260</v>
      </c>
      <c r="F615" t="s">
        <v>3074</v>
      </c>
      <c r="G615" t="s">
        <v>22</v>
      </c>
      <c r="H615" s="5">
        <v>46043.290601851855</v>
      </c>
      <c r="I615" s="5">
        <v>46045.765127314815</v>
      </c>
      <c r="J615">
        <v>2</v>
      </c>
      <c r="K615" t="s">
        <v>25</v>
      </c>
      <c r="L615" t="s">
        <v>30</v>
      </c>
    </row>
    <row r="616" spans="1:12" x14ac:dyDescent="0.25">
      <c r="A616" t="s">
        <v>2182</v>
      </c>
      <c r="B616">
        <v>58891</v>
      </c>
      <c r="C616" s="3">
        <v>66</v>
      </c>
      <c r="D616" t="s">
        <v>32</v>
      </c>
      <c r="E616" t="s">
        <v>3073</v>
      </c>
      <c r="F616" t="s">
        <v>3091</v>
      </c>
      <c r="G616" t="s">
        <v>394</v>
      </c>
      <c r="H616" s="5">
        <v>46043.65116898148</v>
      </c>
      <c r="I616" s="5">
        <v>46046.619826388887</v>
      </c>
      <c r="J616">
        <v>2</v>
      </c>
      <c r="K616" t="s">
        <v>25</v>
      </c>
      <c r="L616" t="s">
        <v>30</v>
      </c>
    </row>
    <row r="617" spans="1:12" x14ac:dyDescent="0.25">
      <c r="A617" t="s">
        <v>2185</v>
      </c>
      <c r="B617">
        <v>129174</v>
      </c>
      <c r="C617" s="3">
        <v>28</v>
      </c>
      <c r="D617" t="s">
        <v>19</v>
      </c>
      <c r="E617" t="s">
        <v>260</v>
      </c>
      <c r="F617" t="s">
        <v>3085</v>
      </c>
      <c r="G617" t="s">
        <v>22</v>
      </c>
      <c r="H617" s="5">
        <v>46043.726631944446</v>
      </c>
      <c r="I617" s="5">
        <v>46046.497708333336</v>
      </c>
      <c r="J617">
        <v>2</v>
      </c>
      <c r="K617" t="s">
        <v>25</v>
      </c>
      <c r="L617" t="s">
        <v>30</v>
      </c>
    </row>
    <row r="618" spans="1:12" x14ac:dyDescent="0.25">
      <c r="A618" t="s">
        <v>2188</v>
      </c>
      <c r="B618">
        <v>129183</v>
      </c>
      <c r="C618" s="3">
        <v>6</v>
      </c>
      <c r="D618" t="s">
        <v>32</v>
      </c>
      <c r="E618" t="s">
        <v>62</v>
      </c>
      <c r="F618" t="s">
        <v>3076</v>
      </c>
      <c r="G618" t="s">
        <v>22</v>
      </c>
      <c r="H618" s="5">
        <v>46043.927314814813</v>
      </c>
      <c r="I618" s="5">
        <v>46046.578796296293</v>
      </c>
      <c r="J618">
        <v>2</v>
      </c>
      <c r="K618" t="s">
        <v>25</v>
      </c>
      <c r="L618" t="s">
        <v>30</v>
      </c>
    </row>
    <row r="619" spans="1:12" x14ac:dyDescent="0.25">
      <c r="A619" t="s">
        <v>2191</v>
      </c>
      <c r="B619">
        <v>129182</v>
      </c>
      <c r="C619" s="3">
        <v>30</v>
      </c>
      <c r="D619" t="s">
        <v>32</v>
      </c>
      <c r="E619" t="s">
        <v>3073</v>
      </c>
      <c r="F619" t="s">
        <v>3074</v>
      </c>
      <c r="G619" t="s">
        <v>22</v>
      </c>
      <c r="H619" s="5">
        <v>46044.291516203702</v>
      </c>
      <c r="I619" s="5">
        <v>46046.633379629631</v>
      </c>
      <c r="J619">
        <v>2</v>
      </c>
      <c r="K619" t="s">
        <v>25</v>
      </c>
      <c r="L619" t="s">
        <v>30</v>
      </c>
    </row>
    <row r="620" spans="1:12" x14ac:dyDescent="0.25">
      <c r="A620" t="s">
        <v>2194</v>
      </c>
      <c r="B620">
        <v>129202</v>
      </c>
      <c r="C620" s="3" t="s">
        <v>3088</v>
      </c>
      <c r="D620" t="s">
        <v>32</v>
      </c>
      <c r="E620" t="s">
        <v>3073</v>
      </c>
      <c r="F620" t="s">
        <v>3072</v>
      </c>
      <c r="G620" t="s">
        <v>22</v>
      </c>
      <c r="H620" s="5">
        <v>46044.294004629628</v>
      </c>
      <c r="I620" s="5">
        <v>46046.619328703702</v>
      </c>
      <c r="J620">
        <v>2</v>
      </c>
      <c r="K620" t="s">
        <v>25</v>
      </c>
      <c r="L620" t="s">
        <v>30</v>
      </c>
    </row>
    <row r="621" spans="1:12" x14ac:dyDescent="0.25">
      <c r="A621" t="s">
        <v>2197</v>
      </c>
      <c r="B621">
        <v>125184</v>
      </c>
      <c r="C621" s="3" t="s">
        <v>3079</v>
      </c>
      <c r="D621" t="s">
        <v>32</v>
      </c>
      <c r="E621" t="s">
        <v>62</v>
      </c>
      <c r="F621" t="s">
        <v>3076</v>
      </c>
      <c r="G621" t="s">
        <v>394</v>
      </c>
      <c r="H621" s="5">
        <v>46044.552812499998</v>
      </c>
      <c r="I621" s="5">
        <v>46046.708379629628</v>
      </c>
      <c r="J621">
        <v>2</v>
      </c>
      <c r="K621" t="s">
        <v>25</v>
      </c>
      <c r="L621" t="s">
        <v>30</v>
      </c>
    </row>
    <row r="622" spans="1:12" x14ac:dyDescent="0.25">
      <c r="A622" t="s">
        <v>2200</v>
      </c>
      <c r="B622">
        <v>129302</v>
      </c>
      <c r="C622" s="3">
        <v>43</v>
      </c>
      <c r="D622" t="s">
        <v>32</v>
      </c>
      <c r="E622" t="s">
        <v>260</v>
      </c>
      <c r="F622" t="s">
        <v>3091</v>
      </c>
      <c r="G622" t="s">
        <v>22</v>
      </c>
      <c r="H622" s="5">
        <v>46044.833969907406</v>
      </c>
      <c r="I622" s="5">
        <v>46047.643576388888</v>
      </c>
      <c r="J622">
        <v>2</v>
      </c>
      <c r="K622" t="s">
        <v>397</v>
      </c>
      <c r="L622" t="s">
        <v>30</v>
      </c>
    </row>
    <row r="623" spans="1:12" x14ac:dyDescent="0.25">
      <c r="A623" t="s">
        <v>2203</v>
      </c>
      <c r="B623">
        <v>129291</v>
      </c>
      <c r="C623" s="3">
        <v>3</v>
      </c>
      <c r="D623" t="s">
        <v>19</v>
      </c>
      <c r="E623" t="s">
        <v>3073</v>
      </c>
      <c r="F623" t="s">
        <v>3076</v>
      </c>
      <c r="G623" t="s">
        <v>22</v>
      </c>
      <c r="H623" s="5">
        <v>46044.963171296295</v>
      </c>
      <c r="I623" s="5">
        <v>46047.384375000001</v>
      </c>
      <c r="J623">
        <v>2</v>
      </c>
      <c r="K623" t="s">
        <v>25</v>
      </c>
      <c r="L623" t="s">
        <v>30</v>
      </c>
    </row>
    <row r="624" spans="1:12" x14ac:dyDescent="0.25">
      <c r="A624" t="s">
        <v>2206</v>
      </c>
      <c r="B624">
        <v>129324</v>
      </c>
      <c r="C624" s="3" t="s">
        <v>3080</v>
      </c>
      <c r="D624" t="s">
        <v>32</v>
      </c>
      <c r="E624" t="s">
        <v>62</v>
      </c>
      <c r="F624" t="s">
        <v>3076</v>
      </c>
      <c r="G624" t="s">
        <v>22</v>
      </c>
      <c r="H624" s="5">
        <v>46045.050127314818</v>
      </c>
      <c r="I624" s="5">
        <v>46047.334166666667</v>
      </c>
      <c r="J624">
        <v>2</v>
      </c>
      <c r="K624" t="s">
        <v>25</v>
      </c>
      <c r="L624" t="s">
        <v>30</v>
      </c>
    </row>
    <row r="625" spans="1:12" x14ac:dyDescent="0.25">
      <c r="A625" t="s">
        <v>2209</v>
      </c>
      <c r="B625">
        <v>129327</v>
      </c>
      <c r="C625" s="3" t="s">
        <v>3092</v>
      </c>
      <c r="D625" t="s">
        <v>19</v>
      </c>
      <c r="E625" t="s">
        <v>3073</v>
      </c>
      <c r="F625" t="s">
        <v>3072</v>
      </c>
      <c r="G625" t="s">
        <v>22</v>
      </c>
      <c r="H625" s="5">
        <v>46045.6405787037</v>
      </c>
      <c r="I625" s="5">
        <v>46047.729456018518</v>
      </c>
      <c r="J625">
        <v>2</v>
      </c>
      <c r="K625" t="s">
        <v>25</v>
      </c>
      <c r="L625" t="s">
        <v>30</v>
      </c>
    </row>
    <row r="626" spans="1:12" x14ac:dyDescent="0.25">
      <c r="A626" t="s">
        <v>2212</v>
      </c>
      <c r="B626">
        <v>129431</v>
      </c>
      <c r="C626" s="3" t="s">
        <v>3088</v>
      </c>
      <c r="D626" t="s">
        <v>32</v>
      </c>
      <c r="E626" t="s">
        <v>3073</v>
      </c>
      <c r="F626" t="s">
        <v>3072</v>
      </c>
      <c r="G626" t="s">
        <v>22</v>
      </c>
      <c r="H626" s="5">
        <v>46045.740451388891</v>
      </c>
      <c r="I626" s="5">
        <v>46048.654722222222</v>
      </c>
      <c r="J626">
        <v>2</v>
      </c>
      <c r="K626" t="s">
        <v>25</v>
      </c>
      <c r="L626" t="s">
        <v>30</v>
      </c>
    </row>
    <row r="627" spans="1:12" x14ac:dyDescent="0.25">
      <c r="A627" t="s">
        <v>2215</v>
      </c>
      <c r="B627">
        <v>129418</v>
      </c>
      <c r="C627" s="3">
        <v>32</v>
      </c>
      <c r="D627" t="s">
        <v>32</v>
      </c>
      <c r="E627" t="s">
        <v>20</v>
      </c>
      <c r="F627" t="s">
        <v>3074</v>
      </c>
      <c r="G627" t="s">
        <v>22</v>
      </c>
      <c r="H627" s="5">
        <v>46045.756747685184</v>
      </c>
      <c r="I627" s="5">
        <v>46047.778784722221</v>
      </c>
      <c r="J627">
        <v>2</v>
      </c>
      <c r="K627" t="s">
        <v>25</v>
      </c>
      <c r="L627" t="s">
        <v>30</v>
      </c>
    </row>
    <row r="628" spans="1:12" x14ac:dyDescent="0.25">
      <c r="A628" t="s">
        <v>2218</v>
      </c>
      <c r="B628">
        <v>129322</v>
      </c>
      <c r="C628" s="3" t="s">
        <v>3088</v>
      </c>
      <c r="D628" t="s">
        <v>19</v>
      </c>
      <c r="E628" t="s">
        <v>3073</v>
      </c>
      <c r="F628" t="s">
        <v>3072</v>
      </c>
      <c r="G628" t="s">
        <v>22</v>
      </c>
      <c r="H628" s="5">
        <v>46045.832766203705</v>
      </c>
      <c r="I628" s="5">
        <v>46048.663391203707</v>
      </c>
      <c r="J628">
        <v>2</v>
      </c>
      <c r="K628" t="s">
        <v>25</v>
      </c>
      <c r="L628" t="s">
        <v>30</v>
      </c>
    </row>
    <row r="629" spans="1:12" x14ac:dyDescent="0.25">
      <c r="A629" t="s">
        <v>2222</v>
      </c>
      <c r="B629">
        <v>23424</v>
      </c>
      <c r="C629" s="3">
        <v>75</v>
      </c>
      <c r="D629" t="s">
        <v>32</v>
      </c>
      <c r="E629" t="s">
        <v>227</v>
      </c>
      <c r="F629" t="s">
        <v>3090</v>
      </c>
      <c r="G629" t="s">
        <v>394</v>
      </c>
      <c r="H629" s="5">
        <v>46045.940717592595</v>
      </c>
      <c r="I629" s="5">
        <v>46048.631354166668</v>
      </c>
      <c r="J629">
        <v>2</v>
      </c>
      <c r="K629" t="s">
        <v>25</v>
      </c>
      <c r="L629" t="s">
        <v>30</v>
      </c>
    </row>
    <row r="630" spans="1:12" x14ac:dyDescent="0.25">
      <c r="A630" t="s">
        <v>2225</v>
      </c>
      <c r="B630">
        <v>129495</v>
      </c>
      <c r="C630" s="3">
        <v>40</v>
      </c>
      <c r="D630" t="s">
        <v>19</v>
      </c>
      <c r="E630" t="s">
        <v>2589</v>
      </c>
      <c r="F630" t="s">
        <v>3086</v>
      </c>
      <c r="G630" t="s">
        <v>22</v>
      </c>
      <c r="H630" s="5">
        <v>46046.797326388885</v>
      </c>
      <c r="I630" s="5">
        <v>46049.549143518518</v>
      </c>
      <c r="J630">
        <v>2</v>
      </c>
      <c r="K630" t="s">
        <v>25</v>
      </c>
      <c r="L630" t="s">
        <v>30</v>
      </c>
    </row>
    <row r="631" spans="1:12" x14ac:dyDescent="0.25">
      <c r="A631" t="s">
        <v>2228</v>
      </c>
      <c r="B631">
        <v>125580</v>
      </c>
      <c r="C631" s="3">
        <v>48</v>
      </c>
      <c r="D631" t="s">
        <v>19</v>
      </c>
      <c r="E631" t="s">
        <v>260</v>
      </c>
      <c r="F631" t="s">
        <v>3086</v>
      </c>
      <c r="G631" t="s">
        <v>22</v>
      </c>
      <c r="H631" s="5">
        <v>46047.046296296299</v>
      </c>
      <c r="I631" s="5">
        <v>46049.545416666668</v>
      </c>
      <c r="J631">
        <v>2</v>
      </c>
      <c r="K631" t="s">
        <v>25</v>
      </c>
      <c r="L631" t="s">
        <v>30</v>
      </c>
    </row>
    <row r="632" spans="1:12" x14ac:dyDescent="0.25">
      <c r="A632" t="s">
        <v>2232</v>
      </c>
      <c r="B632">
        <v>36443</v>
      </c>
      <c r="C632" s="3">
        <v>3</v>
      </c>
      <c r="D632" t="s">
        <v>19</v>
      </c>
      <c r="E632" t="s">
        <v>227</v>
      </c>
      <c r="F632" t="s">
        <v>3076</v>
      </c>
      <c r="G632" t="s">
        <v>664</v>
      </c>
      <c r="H632" s="5">
        <v>46047.192245370374</v>
      </c>
      <c r="I632" s="5">
        <v>46049.732685185183</v>
      </c>
      <c r="J632">
        <v>2</v>
      </c>
      <c r="K632" t="s">
        <v>25</v>
      </c>
      <c r="L632" t="s">
        <v>30</v>
      </c>
    </row>
    <row r="633" spans="1:12" x14ac:dyDescent="0.25">
      <c r="A633" t="s">
        <v>2235</v>
      </c>
      <c r="B633">
        <v>129452</v>
      </c>
      <c r="C633" s="3" t="s">
        <v>3079</v>
      </c>
      <c r="D633" t="s">
        <v>19</v>
      </c>
      <c r="E633" t="s">
        <v>3073</v>
      </c>
      <c r="F633" t="s">
        <v>3076</v>
      </c>
      <c r="G633" t="s">
        <v>22</v>
      </c>
      <c r="H633" s="5">
        <v>46047.430717592593</v>
      </c>
      <c r="I633" s="5">
        <v>46049.732870370368</v>
      </c>
      <c r="J633">
        <v>2</v>
      </c>
      <c r="K633" t="s">
        <v>25</v>
      </c>
      <c r="L633" t="s">
        <v>30</v>
      </c>
    </row>
    <row r="634" spans="1:12" x14ac:dyDescent="0.25">
      <c r="A634" t="s">
        <v>2238</v>
      </c>
      <c r="B634">
        <v>31160</v>
      </c>
      <c r="C634" s="3">
        <v>3</v>
      </c>
      <c r="D634" t="s">
        <v>32</v>
      </c>
      <c r="E634" t="s">
        <v>227</v>
      </c>
      <c r="F634" t="s">
        <v>3076</v>
      </c>
      <c r="G634" t="s">
        <v>394</v>
      </c>
      <c r="H634" s="5">
        <v>46047.461122685185</v>
      </c>
      <c r="I634" s="5">
        <v>46049.569027777776</v>
      </c>
      <c r="J634">
        <v>2</v>
      </c>
      <c r="K634" t="s">
        <v>25</v>
      </c>
      <c r="L634" t="s">
        <v>30</v>
      </c>
    </row>
    <row r="635" spans="1:12" x14ac:dyDescent="0.25">
      <c r="A635" t="s">
        <v>2242</v>
      </c>
      <c r="B635">
        <v>3092</v>
      </c>
      <c r="C635" s="3">
        <v>50</v>
      </c>
      <c r="D635" t="s">
        <v>19</v>
      </c>
      <c r="E635" t="s">
        <v>20</v>
      </c>
      <c r="F635" t="s">
        <v>3086</v>
      </c>
      <c r="G635" t="s">
        <v>22</v>
      </c>
      <c r="H635" s="5">
        <v>46047.626064814816</v>
      </c>
      <c r="I635" s="5">
        <v>46050.535636574074</v>
      </c>
      <c r="J635">
        <v>2</v>
      </c>
      <c r="K635" t="s">
        <v>25</v>
      </c>
      <c r="L635" t="s">
        <v>30</v>
      </c>
    </row>
    <row r="636" spans="1:12" x14ac:dyDescent="0.25">
      <c r="A636" t="s">
        <v>2245</v>
      </c>
      <c r="B636">
        <v>122693</v>
      </c>
      <c r="C636" s="3">
        <v>1</v>
      </c>
      <c r="D636" t="s">
        <v>32</v>
      </c>
      <c r="E636" t="s">
        <v>3073</v>
      </c>
      <c r="F636" t="s">
        <v>3084</v>
      </c>
      <c r="G636" t="s">
        <v>394</v>
      </c>
      <c r="H636" s="5">
        <v>46047.655972222223</v>
      </c>
      <c r="I636" s="5">
        <v>46050.490636574075</v>
      </c>
      <c r="J636">
        <v>2</v>
      </c>
      <c r="K636" t="s">
        <v>25</v>
      </c>
      <c r="L636" t="s">
        <v>30</v>
      </c>
    </row>
    <row r="637" spans="1:12" x14ac:dyDescent="0.25">
      <c r="A637" t="s">
        <v>2249</v>
      </c>
      <c r="B637">
        <v>127638</v>
      </c>
      <c r="C637" s="3">
        <v>7</v>
      </c>
      <c r="D637" t="s">
        <v>19</v>
      </c>
      <c r="E637" t="s">
        <v>3073</v>
      </c>
      <c r="F637" t="s">
        <v>3076</v>
      </c>
      <c r="G637" t="s">
        <v>22</v>
      </c>
      <c r="H637" s="5">
        <v>46047.695787037039</v>
      </c>
      <c r="I637" s="5">
        <v>46050.494884259257</v>
      </c>
      <c r="J637">
        <v>2</v>
      </c>
      <c r="K637" t="s">
        <v>25</v>
      </c>
      <c r="L637" t="s">
        <v>30</v>
      </c>
    </row>
    <row r="638" spans="1:12" x14ac:dyDescent="0.25">
      <c r="A638" t="s">
        <v>2252</v>
      </c>
      <c r="B638">
        <v>7643</v>
      </c>
      <c r="C638" s="3">
        <v>65</v>
      </c>
      <c r="D638" t="s">
        <v>32</v>
      </c>
      <c r="E638" t="s">
        <v>754</v>
      </c>
      <c r="F638" t="s">
        <v>3084</v>
      </c>
      <c r="G638" t="s">
        <v>394</v>
      </c>
      <c r="H638" s="5">
        <v>46047.697835648149</v>
      </c>
      <c r="I638" s="5">
        <v>46050.592569444445</v>
      </c>
      <c r="J638">
        <v>2</v>
      </c>
      <c r="K638" t="s">
        <v>25</v>
      </c>
      <c r="L638" t="s">
        <v>30</v>
      </c>
    </row>
    <row r="639" spans="1:12" x14ac:dyDescent="0.25">
      <c r="A639" t="s">
        <v>2255</v>
      </c>
      <c r="B639">
        <v>96821</v>
      </c>
      <c r="C639" s="3">
        <v>33</v>
      </c>
      <c r="D639" t="s">
        <v>19</v>
      </c>
      <c r="E639" t="s">
        <v>3073</v>
      </c>
      <c r="F639" t="s">
        <v>3085</v>
      </c>
      <c r="G639" t="s">
        <v>22</v>
      </c>
      <c r="H639" s="5">
        <v>46047.804224537038</v>
      </c>
      <c r="I639" s="5">
        <v>46050.578067129631</v>
      </c>
      <c r="J639">
        <v>2</v>
      </c>
      <c r="K639" t="s">
        <v>25</v>
      </c>
      <c r="L639" t="s">
        <v>30</v>
      </c>
    </row>
    <row r="640" spans="1:12" x14ac:dyDescent="0.25">
      <c r="A640" t="s">
        <v>2258</v>
      </c>
      <c r="B640">
        <v>129552</v>
      </c>
      <c r="C640" s="3">
        <v>53</v>
      </c>
      <c r="D640" t="s">
        <v>19</v>
      </c>
      <c r="E640" t="s">
        <v>3073</v>
      </c>
      <c r="F640" t="s">
        <v>3085</v>
      </c>
      <c r="G640" t="s">
        <v>22</v>
      </c>
      <c r="H640" s="5">
        <v>46047.8746875</v>
      </c>
      <c r="I640" s="5">
        <v>46050.688784722224</v>
      </c>
      <c r="J640">
        <v>2</v>
      </c>
      <c r="K640" t="s">
        <v>112</v>
      </c>
      <c r="L640" t="s">
        <v>30</v>
      </c>
    </row>
    <row r="641" spans="1:12" x14ac:dyDescent="0.25">
      <c r="A641" t="s">
        <v>2261</v>
      </c>
      <c r="B641">
        <v>129555</v>
      </c>
      <c r="C641" s="3">
        <v>70</v>
      </c>
      <c r="D641" t="s">
        <v>32</v>
      </c>
      <c r="E641" t="s">
        <v>3073</v>
      </c>
      <c r="F641" t="s">
        <v>3091</v>
      </c>
      <c r="G641" t="s">
        <v>22</v>
      </c>
      <c r="H641" s="5">
        <v>46048.0237037037</v>
      </c>
      <c r="I641" s="5">
        <v>46050.687372685185</v>
      </c>
      <c r="J641">
        <v>2</v>
      </c>
      <c r="K641" t="s">
        <v>25</v>
      </c>
      <c r="L641" t="s">
        <v>30</v>
      </c>
    </row>
    <row r="642" spans="1:12" x14ac:dyDescent="0.25">
      <c r="A642" t="s">
        <v>2264</v>
      </c>
      <c r="B642">
        <v>128390</v>
      </c>
      <c r="C642" s="3">
        <v>20</v>
      </c>
      <c r="D642" t="s">
        <v>32</v>
      </c>
      <c r="E642" t="s">
        <v>62</v>
      </c>
      <c r="F642" t="s">
        <v>3090</v>
      </c>
      <c r="G642" t="s">
        <v>2265</v>
      </c>
      <c r="H642" s="5">
        <v>46048.481747685182</v>
      </c>
      <c r="I642" s="5">
        <v>46050.600381944445</v>
      </c>
      <c r="J642">
        <v>2</v>
      </c>
      <c r="K642" t="s">
        <v>25</v>
      </c>
      <c r="L642" t="s">
        <v>30</v>
      </c>
    </row>
    <row r="643" spans="1:12" x14ac:dyDescent="0.25">
      <c r="A643" t="s">
        <v>2268</v>
      </c>
      <c r="B643">
        <v>98603</v>
      </c>
      <c r="C643" s="3">
        <v>2</v>
      </c>
      <c r="D643" t="s">
        <v>32</v>
      </c>
      <c r="E643" t="s">
        <v>3073</v>
      </c>
      <c r="F643" t="s">
        <v>3076</v>
      </c>
      <c r="G643" t="s">
        <v>394</v>
      </c>
      <c r="H643" s="5">
        <v>46048.823784722219</v>
      </c>
      <c r="I643" s="5">
        <v>46051.661053240743</v>
      </c>
      <c r="J643">
        <v>2</v>
      </c>
      <c r="K643" t="s">
        <v>112</v>
      </c>
      <c r="L643" t="s">
        <v>30</v>
      </c>
    </row>
    <row r="644" spans="1:12" x14ac:dyDescent="0.25">
      <c r="A644" t="s">
        <v>2271</v>
      </c>
      <c r="B644">
        <v>129660</v>
      </c>
      <c r="C644" s="3">
        <v>35</v>
      </c>
      <c r="D644" t="s">
        <v>19</v>
      </c>
      <c r="E644" t="s">
        <v>3073</v>
      </c>
      <c r="F644" t="s">
        <v>3086</v>
      </c>
      <c r="G644" t="s">
        <v>22</v>
      </c>
      <c r="H644" s="5">
        <v>46048.92491898148</v>
      </c>
      <c r="I644" s="5">
        <v>46051.665972222225</v>
      </c>
      <c r="J644">
        <v>2</v>
      </c>
      <c r="K644" t="s">
        <v>25</v>
      </c>
      <c r="L644" t="s">
        <v>30</v>
      </c>
    </row>
    <row r="645" spans="1:12" x14ac:dyDescent="0.25">
      <c r="A645" t="s">
        <v>2274</v>
      </c>
      <c r="B645">
        <v>129696</v>
      </c>
      <c r="C645" s="3">
        <v>36</v>
      </c>
      <c r="D645" t="s">
        <v>19</v>
      </c>
      <c r="E645" t="s">
        <v>20</v>
      </c>
      <c r="F645" t="s">
        <v>3085</v>
      </c>
      <c r="G645" t="s">
        <v>22</v>
      </c>
      <c r="H645" s="5">
        <v>46049.226631944446</v>
      </c>
      <c r="I645" s="5">
        <v>46051.355949074074</v>
      </c>
      <c r="J645">
        <v>2</v>
      </c>
      <c r="K645" t="s">
        <v>397</v>
      </c>
      <c r="L645" t="s">
        <v>30</v>
      </c>
    </row>
    <row r="646" spans="1:12" x14ac:dyDescent="0.25">
      <c r="A646" t="s">
        <v>2277</v>
      </c>
      <c r="B646">
        <v>239</v>
      </c>
      <c r="C646" s="3">
        <v>57</v>
      </c>
      <c r="D646" t="s">
        <v>32</v>
      </c>
      <c r="E646" t="s">
        <v>3073</v>
      </c>
      <c r="F646" t="s">
        <v>3091</v>
      </c>
      <c r="G646" t="s">
        <v>22</v>
      </c>
      <c r="H646" s="5">
        <v>46049.425879629627</v>
      </c>
      <c r="I646" s="5">
        <v>46051.457256944443</v>
      </c>
      <c r="J646">
        <v>2</v>
      </c>
      <c r="K646" t="s">
        <v>25</v>
      </c>
      <c r="L646" t="s">
        <v>30</v>
      </c>
    </row>
    <row r="647" spans="1:12" x14ac:dyDescent="0.25">
      <c r="A647" t="s">
        <v>2280</v>
      </c>
      <c r="B647">
        <v>129777</v>
      </c>
      <c r="C647" s="3">
        <v>72</v>
      </c>
      <c r="D647" t="s">
        <v>32</v>
      </c>
      <c r="E647" t="s">
        <v>3073</v>
      </c>
      <c r="F647" t="s">
        <v>3090</v>
      </c>
      <c r="G647" t="s">
        <v>394</v>
      </c>
      <c r="H647" s="5">
        <v>46049.570416666669</v>
      </c>
      <c r="I647" s="5">
        <v>46051.577384259261</v>
      </c>
      <c r="J647">
        <v>2</v>
      </c>
      <c r="K647" t="s">
        <v>112</v>
      </c>
      <c r="L647" t="s">
        <v>30</v>
      </c>
    </row>
    <row r="648" spans="1:12" x14ac:dyDescent="0.25">
      <c r="A648" t="s">
        <v>2283</v>
      </c>
      <c r="B648">
        <v>129706</v>
      </c>
      <c r="C648" s="3">
        <v>26</v>
      </c>
      <c r="D648" t="s">
        <v>19</v>
      </c>
      <c r="E648" t="s">
        <v>2589</v>
      </c>
      <c r="F648" t="s">
        <v>3086</v>
      </c>
      <c r="G648" t="s">
        <v>22</v>
      </c>
      <c r="H648" s="5">
        <v>46049.727407407408</v>
      </c>
      <c r="I648" s="5">
        <v>46052.525312500002</v>
      </c>
      <c r="J648">
        <v>2</v>
      </c>
      <c r="K648" t="s">
        <v>25</v>
      </c>
      <c r="L648" t="s">
        <v>30</v>
      </c>
    </row>
    <row r="649" spans="1:12" x14ac:dyDescent="0.25">
      <c r="A649" t="s">
        <v>2286</v>
      </c>
      <c r="B649">
        <v>129780</v>
      </c>
      <c r="C649" s="3">
        <v>8</v>
      </c>
      <c r="D649" t="s">
        <v>32</v>
      </c>
      <c r="E649" t="s">
        <v>3073</v>
      </c>
      <c r="F649" t="s">
        <v>3076</v>
      </c>
      <c r="G649" t="s">
        <v>22</v>
      </c>
      <c r="H649" s="5">
        <v>46049.729733796295</v>
      </c>
      <c r="I649" s="5">
        <v>46052.604189814818</v>
      </c>
      <c r="J649">
        <v>2</v>
      </c>
      <c r="K649" t="s">
        <v>25</v>
      </c>
      <c r="L649" t="s">
        <v>30</v>
      </c>
    </row>
    <row r="650" spans="1:12" x14ac:dyDescent="0.25">
      <c r="A650" t="s">
        <v>2289</v>
      </c>
      <c r="B650">
        <v>129826</v>
      </c>
      <c r="C650" s="3">
        <v>45</v>
      </c>
      <c r="D650" t="s">
        <v>19</v>
      </c>
      <c r="E650" t="s">
        <v>62</v>
      </c>
      <c r="F650" t="s">
        <v>3086</v>
      </c>
      <c r="G650" t="s">
        <v>22</v>
      </c>
      <c r="H650" s="5">
        <v>46050.446655092594</v>
      </c>
      <c r="I650" s="5">
        <v>46052.637291666666</v>
      </c>
      <c r="J650">
        <v>2</v>
      </c>
      <c r="K650" t="s">
        <v>25</v>
      </c>
      <c r="L650" t="s">
        <v>30</v>
      </c>
    </row>
    <row r="651" spans="1:12" x14ac:dyDescent="0.25">
      <c r="A651" t="s">
        <v>2292</v>
      </c>
      <c r="B651">
        <v>129896</v>
      </c>
      <c r="C651" s="3">
        <v>37</v>
      </c>
      <c r="D651" t="s">
        <v>32</v>
      </c>
      <c r="E651" t="s">
        <v>3073</v>
      </c>
      <c r="F651" t="s">
        <v>3074</v>
      </c>
      <c r="G651" t="s">
        <v>22</v>
      </c>
      <c r="H651" s="5">
        <v>46050.58222222222</v>
      </c>
      <c r="I651" s="5">
        <v>46052.681516203702</v>
      </c>
      <c r="J651">
        <v>2</v>
      </c>
      <c r="K651" t="s">
        <v>25</v>
      </c>
      <c r="L651" t="s">
        <v>30</v>
      </c>
    </row>
    <row r="652" spans="1:12" x14ac:dyDescent="0.25">
      <c r="A652" t="s">
        <v>2295</v>
      </c>
      <c r="B652">
        <v>129943</v>
      </c>
      <c r="C652" s="3">
        <v>33</v>
      </c>
      <c r="D652" t="s">
        <v>32</v>
      </c>
      <c r="E652" t="s">
        <v>62</v>
      </c>
      <c r="F652" t="s">
        <v>3074</v>
      </c>
      <c r="G652" t="s">
        <v>22</v>
      </c>
      <c r="H652" s="5">
        <v>46050.923148148147</v>
      </c>
      <c r="I652" s="5">
        <v>46053.751782407409</v>
      </c>
      <c r="J652">
        <v>2</v>
      </c>
      <c r="K652" t="s">
        <v>25</v>
      </c>
      <c r="L652" t="s">
        <v>30</v>
      </c>
    </row>
    <row r="653" spans="1:12" x14ac:dyDescent="0.25">
      <c r="A653" t="s">
        <v>2299</v>
      </c>
      <c r="B653">
        <v>129944</v>
      </c>
      <c r="C653" s="3">
        <v>55</v>
      </c>
      <c r="D653" t="s">
        <v>32</v>
      </c>
      <c r="E653" t="s">
        <v>3073</v>
      </c>
      <c r="F653" t="s">
        <v>3091</v>
      </c>
      <c r="G653" t="s">
        <v>22</v>
      </c>
      <c r="H653" s="5">
        <v>46051.148368055554</v>
      </c>
      <c r="I653" s="5">
        <v>46053.735983796294</v>
      </c>
      <c r="J653">
        <v>2</v>
      </c>
      <c r="K653" t="s">
        <v>25</v>
      </c>
      <c r="L653" t="s">
        <v>30</v>
      </c>
    </row>
    <row r="654" spans="1:12" x14ac:dyDescent="0.25">
      <c r="A654" t="s">
        <v>2302</v>
      </c>
      <c r="B654">
        <v>38653</v>
      </c>
      <c r="C654" s="3">
        <v>25</v>
      </c>
      <c r="D654" t="s">
        <v>32</v>
      </c>
      <c r="E654" t="s">
        <v>227</v>
      </c>
      <c r="F654" t="s">
        <v>3074</v>
      </c>
      <c r="G654" t="s">
        <v>22</v>
      </c>
      <c r="H654" s="5">
        <v>46051.469513888886</v>
      </c>
      <c r="I654" s="5">
        <v>46053.698634259257</v>
      </c>
      <c r="J654">
        <v>2</v>
      </c>
      <c r="K654" t="s">
        <v>25</v>
      </c>
      <c r="L654" t="s">
        <v>30</v>
      </c>
    </row>
    <row r="655" spans="1:12" x14ac:dyDescent="0.25">
      <c r="A655" t="s">
        <v>2305</v>
      </c>
      <c r="B655">
        <v>129959</v>
      </c>
      <c r="C655" s="3">
        <v>55</v>
      </c>
      <c r="D655" t="s">
        <v>19</v>
      </c>
      <c r="E655" t="s">
        <v>3073</v>
      </c>
      <c r="F655" t="s">
        <v>3085</v>
      </c>
      <c r="G655" t="s">
        <v>22</v>
      </c>
      <c r="H655" s="5">
        <v>46051.504120370373</v>
      </c>
      <c r="I655" s="5">
        <v>46053.688692129632</v>
      </c>
      <c r="J655">
        <v>2</v>
      </c>
      <c r="K655" t="s">
        <v>112</v>
      </c>
      <c r="L655" t="s">
        <v>30</v>
      </c>
    </row>
    <row r="656" spans="1:12" x14ac:dyDescent="0.25">
      <c r="A656" t="s">
        <v>2308</v>
      </c>
      <c r="B656">
        <v>126753</v>
      </c>
      <c r="C656" s="3">
        <v>53</v>
      </c>
      <c r="D656" t="s">
        <v>32</v>
      </c>
      <c r="E656" t="s">
        <v>3073</v>
      </c>
      <c r="F656" t="s">
        <v>3091</v>
      </c>
      <c r="G656" t="s">
        <v>22</v>
      </c>
      <c r="H656" s="5">
        <v>46021.526504629626</v>
      </c>
      <c r="I656" s="5">
        <v>46023.424050925925</v>
      </c>
      <c r="J656">
        <v>1</v>
      </c>
      <c r="K656" t="s">
        <v>25</v>
      </c>
      <c r="L656" t="s">
        <v>30</v>
      </c>
    </row>
    <row r="657" spans="1:12" x14ac:dyDescent="0.25">
      <c r="A657" t="s">
        <v>2311</v>
      </c>
      <c r="B657">
        <v>126777</v>
      </c>
      <c r="C657" s="3">
        <v>33</v>
      </c>
      <c r="D657" t="s">
        <v>32</v>
      </c>
      <c r="E657" t="s">
        <v>3073</v>
      </c>
      <c r="F657" t="s">
        <v>3074</v>
      </c>
      <c r="G657" t="s">
        <v>22</v>
      </c>
      <c r="H657" s="5">
        <v>46021.556400462963</v>
      </c>
      <c r="I657" s="5">
        <v>46023.40048611111</v>
      </c>
      <c r="J657">
        <v>1</v>
      </c>
      <c r="K657" t="s">
        <v>25</v>
      </c>
      <c r="L657" t="s">
        <v>30</v>
      </c>
    </row>
    <row r="658" spans="1:12" x14ac:dyDescent="0.25">
      <c r="A658" t="s">
        <v>2314</v>
      </c>
      <c r="B658">
        <v>126782</v>
      </c>
      <c r="C658" s="3">
        <v>22</v>
      </c>
      <c r="D658" t="s">
        <v>32</v>
      </c>
      <c r="E658" t="s">
        <v>3073</v>
      </c>
      <c r="F658" t="s">
        <v>3077</v>
      </c>
      <c r="G658" t="s">
        <v>22</v>
      </c>
      <c r="H658" s="5">
        <v>46021.722708333335</v>
      </c>
      <c r="I658" s="5">
        <v>46023.478703703702</v>
      </c>
      <c r="J658">
        <v>1</v>
      </c>
      <c r="K658" t="s">
        <v>112</v>
      </c>
      <c r="L658" t="s">
        <v>30</v>
      </c>
    </row>
    <row r="659" spans="1:12" x14ac:dyDescent="0.25">
      <c r="A659" t="s">
        <v>2317</v>
      </c>
      <c r="B659">
        <v>126857</v>
      </c>
      <c r="C659" s="3">
        <v>48</v>
      </c>
      <c r="D659" t="s">
        <v>32</v>
      </c>
      <c r="E659" t="s">
        <v>3073</v>
      </c>
      <c r="F659" t="s">
        <v>3091</v>
      </c>
      <c r="G659" t="s">
        <v>22</v>
      </c>
      <c r="H659" s="5">
        <v>46021.802986111114</v>
      </c>
      <c r="I659" s="5">
        <v>46023.59547453704</v>
      </c>
      <c r="J659">
        <v>1</v>
      </c>
      <c r="K659" t="s">
        <v>25</v>
      </c>
      <c r="L659" t="s">
        <v>30</v>
      </c>
    </row>
    <row r="660" spans="1:12" x14ac:dyDescent="0.25">
      <c r="A660" t="s">
        <v>2320</v>
      </c>
      <c r="B660">
        <v>126856</v>
      </c>
      <c r="C660" s="3">
        <v>17</v>
      </c>
      <c r="D660" t="s">
        <v>32</v>
      </c>
      <c r="E660" t="s">
        <v>260</v>
      </c>
      <c r="F660" t="s">
        <v>3074</v>
      </c>
      <c r="G660" t="s">
        <v>22</v>
      </c>
      <c r="H660" s="5">
        <v>46021.814259259256</v>
      </c>
      <c r="I660" s="5">
        <v>46023.650856481479</v>
      </c>
      <c r="J660">
        <v>1</v>
      </c>
      <c r="K660" t="s">
        <v>25</v>
      </c>
      <c r="L660" t="s">
        <v>30</v>
      </c>
    </row>
    <row r="661" spans="1:12" x14ac:dyDescent="0.25">
      <c r="A661" t="s">
        <v>2323</v>
      </c>
      <c r="B661">
        <v>126859</v>
      </c>
      <c r="C661" s="3">
        <v>44</v>
      </c>
      <c r="D661" t="s">
        <v>19</v>
      </c>
      <c r="E661" t="s">
        <v>3073</v>
      </c>
      <c r="F661" t="s">
        <v>3086</v>
      </c>
      <c r="G661" t="s">
        <v>22</v>
      </c>
      <c r="H661" s="5">
        <v>46021.880925925929</v>
      </c>
      <c r="I661" s="5">
        <v>46023.595347222225</v>
      </c>
      <c r="J661">
        <v>1</v>
      </c>
      <c r="K661" t="s">
        <v>25</v>
      </c>
      <c r="L661" t="s">
        <v>30</v>
      </c>
    </row>
    <row r="662" spans="1:12" x14ac:dyDescent="0.25">
      <c r="A662" t="s">
        <v>2326</v>
      </c>
      <c r="B662">
        <v>126867</v>
      </c>
      <c r="C662" s="3" t="s">
        <v>3089</v>
      </c>
      <c r="D662" t="s">
        <v>19</v>
      </c>
      <c r="E662" t="s">
        <v>3073</v>
      </c>
      <c r="F662" t="s">
        <v>3072</v>
      </c>
      <c r="G662" t="s">
        <v>22</v>
      </c>
      <c r="H662" s="5">
        <v>46022.035092592596</v>
      </c>
      <c r="I662" s="5">
        <v>46023.607465277775</v>
      </c>
      <c r="J662">
        <v>1</v>
      </c>
      <c r="K662" t="s">
        <v>25</v>
      </c>
      <c r="L662" t="s">
        <v>30</v>
      </c>
    </row>
    <row r="663" spans="1:12" x14ac:dyDescent="0.25">
      <c r="A663" t="s">
        <v>2329</v>
      </c>
      <c r="B663">
        <v>126881</v>
      </c>
      <c r="C663" s="3">
        <v>70</v>
      </c>
      <c r="D663" t="s">
        <v>32</v>
      </c>
      <c r="E663" t="s">
        <v>3073</v>
      </c>
      <c r="F663" t="s">
        <v>3091</v>
      </c>
      <c r="G663" t="s">
        <v>22</v>
      </c>
      <c r="H663" s="5">
        <v>46022.481087962966</v>
      </c>
      <c r="I663" s="5">
        <v>46023.742974537039</v>
      </c>
      <c r="J663">
        <v>1</v>
      </c>
      <c r="K663" t="s">
        <v>25</v>
      </c>
      <c r="L663" t="s">
        <v>30</v>
      </c>
    </row>
    <row r="664" spans="1:12" x14ac:dyDescent="0.25">
      <c r="A664" t="s">
        <v>2332</v>
      </c>
      <c r="B664">
        <v>126926</v>
      </c>
      <c r="C664" s="3">
        <v>30</v>
      </c>
      <c r="D664" t="s">
        <v>32</v>
      </c>
      <c r="E664" t="s">
        <v>62</v>
      </c>
      <c r="F664" t="s">
        <v>3077</v>
      </c>
      <c r="G664" t="s">
        <v>22</v>
      </c>
      <c r="H664" s="5">
        <v>46022.708935185183</v>
      </c>
      <c r="I664" s="5">
        <v>46023.725648148145</v>
      </c>
      <c r="J664">
        <v>1</v>
      </c>
      <c r="K664" t="s">
        <v>25</v>
      </c>
      <c r="L664" t="s">
        <v>30</v>
      </c>
    </row>
    <row r="665" spans="1:12" x14ac:dyDescent="0.25">
      <c r="A665" t="s">
        <v>2335</v>
      </c>
      <c r="B665">
        <v>126967</v>
      </c>
      <c r="C665" s="3">
        <v>2</v>
      </c>
      <c r="D665" t="s">
        <v>19</v>
      </c>
      <c r="E665" t="s">
        <v>3073</v>
      </c>
      <c r="F665" t="s">
        <v>3076</v>
      </c>
      <c r="G665" t="s">
        <v>394</v>
      </c>
      <c r="H665" s="5">
        <v>46022.981620370374</v>
      </c>
      <c r="I665" s="5">
        <v>46024.497337962966</v>
      </c>
      <c r="J665">
        <v>1</v>
      </c>
      <c r="K665" t="s">
        <v>25</v>
      </c>
      <c r="L665" t="s">
        <v>30</v>
      </c>
    </row>
    <row r="666" spans="1:12" x14ac:dyDescent="0.25">
      <c r="A666" t="s">
        <v>2338</v>
      </c>
      <c r="B666">
        <v>126998</v>
      </c>
      <c r="C666" s="3">
        <v>64</v>
      </c>
      <c r="D666" t="s">
        <v>32</v>
      </c>
      <c r="E666" t="s">
        <v>2589</v>
      </c>
      <c r="F666" t="s">
        <v>3091</v>
      </c>
      <c r="G666" t="s">
        <v>394</v>
      </c>
      <c r="H666" s="5">
        <v>46023.655162037037</v>
      </c>
      <c r="I666" s="5">
        <v>46025.371793981481</v>
      </c>
      <c r="J666">
        <v>1</v>
      </c>
      <c r="K666" t="s">
        <v>211</v>
      </c>
      <c r="L666" t="s">
        <v>30</v>
      </c>
    </row>
    <row r="667" spans="1:12" x14ac:dyDescent="0.25">
      <c r="A667" t="s">
        <v>2341</v>
      </c>
      <c r="B667">
        <v>127018</v>
      </c>
      <c r="C667" s="3">
        <v>38</v>
      </c>
      <c r="D667" t="s">
        <v>32</v>
      </c>
      <c r="E667" t="s">
        <v>62</v>
      </c>
      <c r="F667" t="s">
        <v>3077</v>
      </c>
      <c r="G667" t="s">
        <v>22</v>
      </c>
      <c r="H667" s="5">
        <v>46024.064895833333</v>
      </c>
      <c r="I667" s="5">
        <v>46025.744814814818</v>
      </c>
      <c r="J667">
        <v>1</v>
      </c>
      <c r="K667" t="s">
        <v>25</v>
      </c>
      <c r="L667" t="s">
        <v>30</v>
      </c>
    </row>
    <row r="668" spans="1:12" x14ac:dyDescent="0.25">
      <c r="A668" t="s">
        <v>2344</v>
      </c>
      <c r="B668">
        <v>126898</v>
      </c>
      <c r="C668" s="3">
        <v>24</v>
      </c>
      <c r="D668" t="s">
        <v>32</v>
      </c>
      <c r="E668" t="s">
        <v>3073</v>
      </c>
      <c r="F668" t="s">
        <v>3074</v>
      </c>
      <c r="G668" t="s">
        <v>22</v>
      </c>
      <c r="H668" s="5">
        <v>46024.368645833332</v>
      </c>
      <c r="I668" s="5">
        <v>46025.62427083333</v>
      </c>
      <c r="J668">
        <v>1</v>
      </c>
      <c r="K668" t="s">
        <v>25</v>
      </c>
      <c r="L668" t="s">
        <v>30</v>
      </c>
    </row>
    <row r="669" spans="1:12" x14ac:dyDescent="0.25">
      <c r="A669" t="s">
        <v>2347</v>
      </c>
      <c r="B669">
        <v>41751</v>
      </c>
      <c r="C669" s="3">
        <v>90</v>
      </c>
      <c r="D669" t="s">
        <v>19</v>
      </c>
      <c r="E669" t="s">
        <v>227</v>
      </c>
      <c r="F669" t="s">
        <v>3090</v>
      </c>
      <c r="G669" t="s">
        <v>394</v>
      </c>
      <c r="H669" s="5">
        <v>46024.375706018516</v>
      </c>
      <c r="I669" s="5">
        <v>46025.51326388889</v>
      </c>
      <c r="J669">
        <v>1</v>
      </c>
      <c r="K669" t="s">
        <v>25</v>
      </c>
      <c r="L669" t="s">
        <v>30</v>
      </c>
    </row>
    <row r="670" spans="1:12" x14ac:dyDescent="0.25">
      <c r="A670" t="s">
        <v>2350</v>
      </c>
      <c r="B670">
        <v>76402</v>
      </c>
      <c r="C670" s="3">
        <v>1</v>
      </c>
      <c r="D670" t="s">
        <v>19</v>
      </c>
      <c r="E670" t="s">
        <v>3073</v>
      </c>
      <c r="F670" t="s">
        <v>3076</v>
      </c>
      <c r="G670" t="s">
        <v>394</v>
      </c>
      <c r="H670" s="5">
        <v>46024.544120370374</v>
      </c>
      <c r="I670" s="5">
        <v>46025.549560185187</v>
      </c>
      <c r="J670">
        <v>1</v>
      </c>
      <c r="K670" t="s">
        <v>25</v>
      </c>
      <c r="L670" t="s">
        <v>30</v>
      </c>
    </row>
    <row r="671" spans="1:12" x14ac:dyDescent="0.25">
      <c r="A671" t="s">
        <v>2353</v>
      </c>
      <c r="B671">
        <v>127087</v>
      </c>
      <c r="C671" s="3">
        <v>22</v>
      </c>
      <c r="D671" t="s">
        <v>32</v>
      </c>
      <c r="E671" t="s">
        <v>3073</v>
      </c>
      <c r="F671" t="s">
        <v>3074</v>
      </c>
      <c r="G671" t="s">
        <v>22</v>
      </c>
      <c r="H671" s="5">
        <v>46024.646203703705</v>
      </c>
      <c r="I671" s="5">
        <v>46026.57303240741</v>
      </c>
      <c r="J671">
        <v>1</v>
      </c>
      <c r="K671" t="s">
        <v>25</v>
      </c>
      <c r="L671" t="s">
        <v>30</v>
      </c>
    </row>
    <row r="672" spans="1:12" x14ac:dyDescent="0.25">
      <c r="A672" t="s">
        <v>2356</v>
      </c>
      <c r="B672">
        <v>113670</v>
      </c>
      <c r="C672" s="3">
        <v>26</v>
      </c>
      <c r="D672" t="s">
        <v>32</v>
      </c>
      <c r="E672" t="s">
        <v>3073</v>
      </c>
      <c r="F672" t="s">
        <v>3074</v>
      </c>
      <c r="G672" t="s">
        <v>22</v>
      </c>
      <c r="H672" s="5">
        <v>46024.791250000002</v>
      </c>
      <c r="I672" s="5">
        <v>46026.570486111108</v>
      </c>
      <c r="J672">
        <v>1</v>
      </c>
      <c r="K672" t="s">
        <v>25</v>
      </c>
      <c r="L672" t="s">
        <v>30</v>
      </c>
    </row>
    <row r="673" spans="1:12" x14ac:dyDescent="0.25">
      <c r="A673" t="s">
        <v>2359</v>
      </c>
      <c r="B673">
        <v>127137</v>
      </c>
      <c r="C673" s="3" t="s">
        <v>3088</v>
      </c>
      <c r="D673" t="s">
        <v>19</v>
      </c>
      <c r="E673" t="s">
        <v>3073</v>
      </c>
      <c r="F673" t="s">
        <v>3072</v>
      </c>
      <c r="G673" t="s">
        <v>22</v>
      </c>
      <c r="H673" s="5">
        <v>46025.026805555557</v>
      </c>
      <c r="I673" s="5">
        <v>46026.570960648147</v>
      </c>
      <c r="J673">
        <v>1</v>
      </c>
      <c r="K673" t="s">
        <v>25</v>
      </c>
      <c r="L673" t="s">
        <v>30</v>
      </c>
    </row>
    <row r="674" spans="1:12" x14ac:dyDescent="0.25">
      <c r="A674" t="s">
        <v>2362</v>
      </c>
      <c r="B674">
        <v>100606</v>
      </c>
      <c r="C674" s="3">
        <v>17</v>
      </c>
      <c r="D674" t="s">
        <v>19</v>
      </c>
      <c r="E674" t="s">
        <v>3073</v>
      </c>
      <c r="F674" t="s">
        <v>3086</v>
      </c>
      <c r="G674" t="s">
        <v>22</v>
      </c>
      <c r="H674" s="5">
        <v>46025.081701388888</v>
      </c>
      <c r="I674" s="5">
        <v>46026.525555555556</v>
      </c>
      <c r="J674">
        <v>1</v>
      </c>
      <c r="K674" t="s">
        <v>25</v>
      </c>
      <c r="L674" t="s">
        <v>30</v>
      </c>
    </row>
    <row r="675" spans="1:12" x14ac:dyDescent="0.25">
      <c r="A675" t="s">
        <v>2365</v>
      </c>
      <c r="B675">
        <v>127174</v>
      </c>
      <c r="C675" s="3">
        <v>1</v>
      </c>
      <c r="D675" t="s">
        <v>19</v>
      </c>
      <c r="E675" t="s">
        <v>3073</v>
      </c>
      <c r="F675" t="s">
        <v>3076</v>
      </c>
      <c r="G675" t="s">
        <v>22</v>
      </c>
      <c r="H675" s="5">
        <v>46025.726111111115</v>
      </c>
      <c r="I675" s="5">
        <v>46027.436840277776</v>
      </c>
      <c r="J675">
        <v>1</v>
      </c>
      <c r="K675" t="s">
        <v>211</v>
      </c>
      <c r="L675" t="s">
        <v>30</v>
      </c>
    </row>
    <row r="676" spans="1:12" x14ac:dyDescent="0.25">
      <c r="A676" t="s">
        <v>1325</v>
      </c>
      <c r="B676">
        <v>126781</v>
      </c>
      <c r="C676" s="3">
        <v>33</v>
      </c>
      <c r="D676" t="s">
        <v>32</v>
      </c>
      <c r="E676" t="s">
        <v>3073</v>
      </c>
      <c r="F676" t="s">
        <v>3074</v>
      </c>
      <c r="G676" t="s">
        <v>22</v>
      </c>
      <c r="H676" s="5">
        <v>46025.746828703705</v>
      </c>
      <c r="I676" s="5">
        <v>46027.724328703705</v>
      </c>
      <c r="J676">
        <v>1</v>
      </c>
      <c r="K676" t="s">
        <v>25</v>
      </c>
      <c r="L676" t="s">
        <v>30</v>
      </c>
    </row>
    <row r="677" spans="1:12" x14ac:dyDescent="0.25">
      <c r="A677" t="s">
        <v>2370</v>
      </c>
      <c r="B677">
        <v>86567</v>
      </c>
      <c r="C677" s="3">
        <v>7</v>
      </c>
      <c r="D677" t="s">
        <v>32</v>
      </c>
      <c r="E677" t="s">
        <v>3073</v>
      </c>
      <c r="F677" t="s">
        <v>3076</v>
      </c>
      <c r="G677" t="s">
        <v>394</v>
      </c>
      <c r="H677" s="5">
        <v>46026.473252314812</v>
      </c>
      <c r="I677" s="5">
        <v>46027.607268518521</v>
      </c>
      <c r="J677">
        <v>1</v>
      </c>
      <c r="K677" t="s">
        <v>25</v>
      </c>
      <c r="L677" t="s">
        <v>30</v>
      </c>
    </row>
    <row r="678" spans="1:12" x14ac:dyDescent="0.25">
      <c r="A678" t="s">
        <v>2373</v>
      </c>
      <c r="B678">
        <v>84413</v>
      </c>
      <c r="C678" s="3">
        <v>3</v>
      </c>
      <c r="D678" t="s">
        <v>19</v>
      </c>
      <c r="E678" t="s">
        <v>3073</v>
      </c>
      <c r="F678" t="s">
        <v>3076</v>
      </c>
      <c r="G678" t="s">
        <v>394</v>
      </c>
      <c r="H678" s="5">
        <v>46026.481631944444</v>
      </c>
      <c r="I678" s="5">
        <v>46027.7503125</v>
      </c>
      <c r="J678">
        <v>1</v>
      </c>
      <c r="K678" t="s">
        <v>25</v>
      </c>
      <c r="L678" t="s">
        <v>30</v>
      </c>
    </row>
    <row r="679" spans="1:12" x14ac:dyDescent="0.25">
      <c r="A679" t="s">
        <v>2377</v>
      </c>
      <c r="B679">
        <v>3907</v>
      </c>
      <c r="C679" s="3">
        <v>31</v>
      </c>
      <c r="D679" t="s">
        <v>32</v>
      </c>
      <c r="E679" t="s">
        <v>754</v>
      </c>
      <c r="F679" t="s">
        <v>3074</v>
      </c>
      <c r="G679" t="s">
        <v>22</v>
      </c>
      <c r="H679" s="5">
        <v>46026.605682870373</v>
      </c>
      <c r="I679" s="5">
        <v>46027.697268518517</v>
      </c>
      <c r="J679">
        <v>1</v>
      </c>
      <c r="K679" t="s">
        <v>25</v>
      </c>
      <c r="L679" t="s">
        <v>30</v>
      </c>
    </row>
    <row r="680" spans="1:12" x14ac:dyDescent="0.25">
      <c r="A680" t="s">
        <v>2380</v>
      </c>
      <c r="B680">
        <v>78462</v>
      </c>
      <c r="C680" s="3">
        <v>2</v>
      </c>
      <c r="D680" t="s">
        <v>32</v>
      </c>
      <c r="E680" t="s">
        <v>227</v>
      </c>
      <c r="F680" t="s">
        <v>3084</v>
      </c>
      <c r="G680" t="s">
        <v>394</v>
      </c>
      <c r="H680" s="5">
        <v>46026.653078703705</v>
      </c>
      <c r="I680" s="5">
        <v>46028.556770833333</v>
      </c>
      <c r="J680">
        <v>1</v>
      </c>
      <c r="K680" t="s">
        <v>25</v>
      </c>
      <c r="L680" t="s">
        <v>30</v>
      </c>
    </row>
    <row r="681" spans="1:12" x14ac:dyDescent="0.25">
      <c r="A681" t="s">
        <v>2383</v>
      </c>
      <c r="B681">
        <v>84292</v>
      </c>
      <c r="C681" s="3">
        <v>3</v>
      </c>
      <c r="D681" t="s">
        <v>32</v>
      </c>
      <c r="E681" t="s">
        <v>3073</v>
      </c>
      <c r="F681" t="s">
        <v>3084</v>
      </c>
      <c r="G681" t="s">
        <v>394</v>
      </c>
      <c r="H681" s="5">
        <v>46026.65388888889</v>
      </c>
      <c r="I681" s="5">
        <v>46028.557337962964</v>
      </c>
      <c r="J681">
        <v>1</v>
      </c>
      <c r="K681" t="s">
        <v>25</v>
      </c>
      <c r="L681" t="s">
        <v>30</v>
      </c>
    </row>
    <row r="682" spans="1:12" x14ac:dyDescent="0.25">
      <c r="A682" t="s">
        <v>2386</v>
      </c>
      <c r="B682">
        <v>127223</v>
      </c>
      <c r="C682" s="3">
        <v>49</v>
      </c>
      <c r="D682" t="s">
        <v>32</v>
      </c>
      <c r="E682" t="s">
        <v>3073</v>
      </c>
      <c r="F682" t="s">
        <v>3091</v>
      </c>
      <c r="G682" t="s">
        <v>22</v>
      </c>
      <c r="H682" s="5">
        <v>46026.81863425926</v>
      </c>
      <c r="I682" s="5">
        <v>46028.648310185185</v>
      </c>
      <c r="J682">
        <v>1</v>
      </c>
      <c r="K682" t="s">
        <v>25</v>
      </c>
      <c r="L682" t="s">
        <v>30</v>
      </c>
    </row>
    <row r="683" spans="1:12" x14ac:dyDescent="0.25">
      <c r="A683" t="s">
        <v>2389</v>
      </c>
      <c r="B683">
        <v>118082</v>
      </c>
      <c r="C683" s="3" t="s">
        <v>3080</v>
      </c>
      <c r="D683" t="s">
        <v>19</v>
      </c>
      <c r="E683" t="s">
        <v>3073</v>
      </c>
      <c r="F683" t="s">
        <v>3076</v>
      </c>
      <c r="G683" t="s">
        <v>394</v>
      </c>
      <c r="H683" s="5">
        <v>46026.908356481479</v>
      </c>
      <c r="I683" s="5">
        <v>46028.741724537038</v>
      </c>
      <c r="J683">
        <v>1</v>
      </c>
      <c r="K683" t="s">
        <v>25</v>
      </c>
      <c r="L683" t="s">
        <v>30</v>
      </c>
    </row>
    <row r="684" spans="1:12" x14ac:dyDescent="0.25">
      <c r="A684" t="s">
        <v>2392</v>
      </c>
      <c r="B684">
        <v>127253</v>
      </c>
      <c r="C684" s="3">
        <v>16</v>
      </c>
      <c r="D684" t="s">
        <v>32</v>
      </c>
      <c r="E684" t="s">
        <v>3073</v>
      </c>
      <c r="F684" t="s">
        <v>3091</v>
      </c>
      <c r="G684" t="s">
        <v>22</v>
      </c>
      <c r="H684" s="5">
        <v>46027.320972222224</v>
      </c>
      <c r="I684" s="5">
        <v>46028.616875</v>
      </c>
      <c r="J684">
        <v>1</v>
      </c>
      <c r="K684" t="s">
        <v>25</v>
      </c>
      <c r="L684" t="s">
        <v>30</v>
      </c>
    </row>
    <row r="685" spans="1:12" x14ac:dyDescent="0.25">
      <c r="A685" t="s">
        <v>2395</v>
      </c>
      <c r="B685">
        <v>126736</v>
      </c>
      <c r="C685" s="3">
        <v>14</v>
      </c>
      <c r="D685" t="s">
        <v>19</v>
      </c>
      <c r="E685" t="s">
        <v>62</v>
      </c>
      <c r="F685" t="s">
        <v>3086</v>
      </c>
      <c r="G685" t="s">
        <v>22</v>
      </c>
      <c r="H685" s="5">
        <v>46027.371458333335</v>
      </c>
      <c r="I685" s="5">
        <v>46028.673715277779</v>
      </c>
      <c r="J685">
        <v>1</v>
      </c>
      <c r="K685" t="s">
        <v>397</v>
      </c>
      <c r="L685" t="s">
        <v>30</v>
      </c>
    </row>
    <row r="686" spans="1:12" x14ac:dyDescent="0.25">
      <c r="A686" t="s">
        <v>2399</v>
      </c>
      <c r="B686">
        <v>26525</v>
      </c>
      <c r="C686" s="3">
        <v>43</v>
      </c>
      <c r="D686" t="s">
        <v>32</v>
      </c>
      <c r="E686" t="s">
        <v>227</v>
      </c>
      <c r="F686" t="s">
        <v>3077</v>
      </c>
      <c r="G686" t="s">
        <v>394</v>
      </c>
      <c r="H686" s="5">
        <v>46027.464930555558</v>
      </c>
      <c r="I686" s="5">
        <v>46028.732303240744</v>
      </c>
      <c r="J686">
        <v>1</v>
      </c>
      <c r="K686" t="s">
        <v>25</v>
      </c>
      <c r="L686" t="s">
        <v>30</v>
      </c>
    </row>
    <row r="687" spans="1:12" x14ac:dyDescent="0.25">
      <c r="A687" t="s">
        <v>2402</v>
      </c>
      <c r="B687">
        <v>127315</v>
      </c>
      <c r="C687" s="3">
        <v>5</v>
      </c>
      <c r="D687" t="s">
        <v>32</v>
      </c>
      <c r="E687" t="s">
        <v>3073</v>
      </c>
      <c r="F687" t="s">
        <v>3084</v>
      </c>
      <c r="G687" t="s">
        <v>394</v>
      </c>
      <c r="H687" s="5">
        <v>46027.507025462961</v>
      </c>
      <c r="I687" s="5">
        <v>46028.614965277775</v>
      </c>
      <c r="J687">
        <v>1</v>
      </c>
      <c r="K687" t="s">
        <v>25</v>
      </c>
      <c r="L687" t="s">
        <v>30</v>
      </c>
    </row>
    <row r="688" spans="1:12" x14ac:dyDescent="0.25">
      <c r="A688" t="s">
        <v>2405</v>
      </c>
      <c r="B688">
        <v>127218</v>
      </c>
      <c r="C688" s="3">
        <v>38</v>
      </c>
      <c r="D688" t="s">
        <v>19</v>
      </c>
      <c r="E688" t="s">
        <v>3073</v>
      </c>
      <c r="F688" t="s">
        <v>3090</v>
      </c>
      <c r="G688" t="s">
        <v>394</v>
      </c>
      <c r="H688" s="5">
        <v>46027.519409722219</v>
      </c>
      <c r="I688" s="5">
        <v>46028.605416666665</v>
      </c>
      <c r="J688">
        <v>1</v>
      </c>
      <c r="K688" t="s">
        <v>25</v>
      </c>
      <c r="L688" t="s">
        <v>30</v>
      </c>
    </row>
    <row r="689" spans="1:12" x14ac:dyDescent="0.25">
      <c r="A689" t="s">
        <v>2408</v>
      </c>
      <c r="B689">
        <v>127380</v>
      </c>
      <c r="C689" s="3">
        <v>22</v>
      </c>
      <c r="D689" t="s">
        <v>19</v>
      </c>
      <c r="E689" t="s">
        <v>62</v>
      </c>
      <c r="F689" t="s">
        <v>3085</v>
      </c>
      <c r="G689" t="s">
        <v>22</v>
      </c>
      <c r="H689" s="5">
        <v>46027.71465277778</v>
      </c>
      <c r="I689" s="5">
        <v>46029.687071759261</v>
      </c>
      <c r="J689">
        <v>1</v>
      </c>
      <c r="K689" t="s">
        <v>25</v>
      </c>
      <c r="L689" t="s">
        <v>30</v>
      </c>
    </row>
    <row r="690" spans="1:12" x14ac:dyDescent="0.25">
      <c r="A690" t="s">
        <v>2411</v>
      </c>
      <c r="B690">
        <v>97317</v>
      </c>
      <c r="C690" s="3">
        <v>71</v>
      </c>
      <c r="D690" t="s">
        <v>32</v>
      </c>
      <c r="E690" t="s">
        <v>62</v>
      </c>
      <c r="F690" t="s">
        <v>3077</v>
      </c>
      <c r="G690" t="s">
        <v>22</v>
      </c>
      <c r="H690" s="5">
        <v>46027.73578703704</v>
      </c>
      <c r="I690" s="5">
        <v>46029.719155092593</v>
      </c>
      <c r="J690">
        <v>1</v>
      </c>
      <c r="K690" t="s">
        <v>25</v>
      </c>
      <c r="L690" t="s">
        <v>30</v>
      </c>
    </row>
    <row r="691" spans="1:12" x14ac:dyDescent="0.25">
      <c r="A691" t="s">
        <v>2414</v>
      </c>
      <c r="B691">
        <v>127411</v>
      </c>
      <c r="C691" s="3">
        <v>51</v>
      </c>
      <c r="D691" t="s">
        <v>19</v>
      </c>
      <c r="E691" t="s">
        <v>3073</v>
      </c>
      <c r="F691" t="s">
        <v>3084</v>
      </c>
      <c r="G691" t="s">
        <v>394</v>
      </c>
      <c r="H691" s="5">
        <v>46027.849606481483</v>
      </c>
      <c r="I691" s="5">
        <v>46029.724814814814</v>
      </c>
      <c r="J691">
        <v>1</v>
      </c>
      <c r="K691" t="s">
        <v>25</v>
      </c>
      <c r="L691" t="s">
        <v>30</v>
      </c>
    </row>
    <row r="692" spans="1:12" x14ac:dyDescent="0.25">
      <c r="A692" t="s">
        <v>2417</v>
      </c>
      <c r="B692">
        <v>127431</v>
      </c>
      <c r="C692" s="3">
        <v>32</v>
      </c>
      <c r="D692" t="s">
        <v>32</v>
      </c>
      <c r="E692" t="s">
        <v>3073</v>
      </c>
      <c r="F692" t="s">
        <v>3074</v>
      </c>
      <c r="G692" t="s">
        <v>22</v>
      </c>
      <c r="H692" s="5">
        <v>46028.016944444447</v>
      </c>
      <c r="I692" s="5">
        <v>46029.752638888887</v>
      </c>
      <c r="J692">
        <v>1</v>
      </c>
      <c r="K692" t="s">
        <v>25</v>
      </c>
      <c r="L692" t="s">
        <v>30</v>
      </c>
    </row>
    <row r="693" spans="1:12" x14ac:dyDescent="0.25">
      <c r="A693" t="s">
        <v>2420</v>
      </c>
      <c r="B693">
        <v>127430</v>
      </c>
      <c r="C693" s="3">
        <v>20</v>
      </c>
      <c r="D693" t="s">
        <v>19</v>
      </c>
      <c r="E693" t="s">
        <v>3073</v>
      </c>
      <c r="F693" t="s">
        <v>763</v>
      </c>
      <c r="G693" t="s">
        <v>22</v>
      </c>
      <c r="H693">
        <v>46029.021724537</v>
      </c>
      <c r="I693" s="5">
        <v>46030.711539351854</v>
      </c>
      <c r="J693">
        <v>1</v>
      </c>
      <c r="K693" t="s">
        <v>211</v>
      </c>
      <c r="L693" t="s">
        <v>30</v>
      </c>
    </row>
    <row r="694" spans="1:12" x14ac:dyDescent="0.25">
      <c r="A694" t="s">
        <v>2422</v>
      </c>
      <c r="B694">
        <v>106759</v>
      </c>
      <c r="C694" s="3">
        <v>3</v>
      </c>
      <c r="D694" t="s">
        <v>19</v>
      </c>
      <c r="E694" t="s">
        <v>3073</v>
      </c>
      <c r="F694" t="s">
        <v>3076</v>
      </c>
      <c r="G694" t="s">
        <v>664</v>
      </c>
      <c r="H694" s="5">
        <v>46029.746458333335</v>
      </c>
      <c r="I694" s="5">
        <v>46031.653055555558</v>
      </c>
      <c r="J694">
        <v>1</v>
      </c>
      <c r="K694" t="s">
        <v>25</v>
      </c>
      <c r="L694" t="s">
        <v>30</v>
      </c>
    </row>
    <row r="695" spans="1:12" x14ac:dyDescent="0.25">
      <c r="A695" t="s">
        <v>2425</v>
      </c>
      <c r="B695">
        <v>52167</v>
      </c>
      <c r="C695" s="3">
        <v>26</v>
      </c>
      <c r="D695" t="s">
        <v>32</v>
      </c>
      <c r="E695" t="s">
        <v>227</v>
      </c>
      <c r="F695" t="s">
        <v>3074</v>
      </c>
      <c r="G695" t="s">
        <v>22</v>
      </c>
      <c r="H695" s="5">
        <v>46029.827800925923</v>
      </c>
      <c r="I695" s="5">
        <v>46031.784247685187</v>
      </c>
      <c r="J695">
        <v>1</v>
      </c>
      <c r="K695" t="s">
        <v>25</v>
      </c>
      <c r="L695" t="s">
        <v>30</v>
      </c>
    </row>
    <row r="696" spans="1:12" x14ac:dyDescent="0.25">
      <c r="A696" t="s">
        <v>2428</v>
      </c>
      <c r="B696">
        <v>99049</v>
      </c>
      <c r="C696" s="3">
        <v>38</v>
      </c>
      <c r="D696" t="s">
        <v>19</v>
      </c>
      <c r="E696" t="s">
        <v>3073</v>
      </c>
      <c r="F696" t="s">
        <v>3084</v>
      </c>
      <c r="G696" t="s">
        <v>394</v>
      </c>
      <c r="H696" s="5">
        <v>46029.838576388887</v>
      </c>
      <c r="I696" s="5">
        <v>46031.696099537039</v>
      </c>
      <c r="J696">
        <v>1</v>
      </c>
      <c r="K696" t="s">
        <v>397</v>
      </c>
      <c r="L696" t="s">
        <v>30</v>
      </c>
    </row>
    <row r="697" spans="1:12" x14ac:dyDescent="0.25">
      <c r="A697" t="s">
        <v>2431</v>
      </c>
      <c r="B697">
        <v>127700</v>
      </c>
      <c r="C697" s="3">
        <v>73</v>
      </c>
      <c r="D697" t="s">
        <v>19</v>
      </c>
      <c r="E697" t="s">
        <v>260</v>
      </c>
      <c r="F697" t="s">
        <v>3086</v>
      </c>
      <c r="G697" t="s">
        <v>216</v>
      </c>
      <c r="H697" s="5">
        <v>46030.156493055554</v>
      </c>
      <c r="I697" s="5">
        <v>46031.428414351853</v>
      </c>
      <c r="J697">
        <v>1</v>
      </c>
      <c r="K697" t="s">
        <v>25</v>
      </c>
      <c r="L697" t="s">
        <v>30</v>
      </c>
    </row>
    <row r="698" spans="1:12" x14ac:dyDescent="0.25">
      <c r="A698" t="s">
        <v>2434</v>
      </c>
      <c r="B698">
        <v>72301</v>
      </c>
      <c r="C698" s="3">
        <v>74</v>
      </c>
      <c r="D698" t="s">
        <v>32</v>
      </c>
      <c r="E698" t="s">
        <v>227</v>
      </c>
      <c r="F698" t="s">
        <v>3091</v>
      </c>
      <c r="G698" t="s">
        <v>394</v>
      </c>
      <c r="H698" s="5">
        <v>46030.346030092594</v>
      </c>
      <c r="I698" s="5">
        <v>46031.581145833334</v>
      </c>
      <c r="J698">
        <v>1</v>
      </c>
      <c r="K698" t="s">
        <v>25</v>
      </c>
      <c r="L698" t="s">
        <v>30</v>
      </c>
    </row>
    <row r="699" spans="1:12" x14ac:dyDescent="0.25">
      <c r="A699" t="s">
        <v>2438</v>
      </c>
      <c r="B699">
        <v>127709</v>
      </c>
      <c r="C699" s="3" t="s">
        <v>3088</v>
      </c>
      <c r="D699" t="s">
        <v>19</v>
      </c>
      <c r="E699" t="s">
        <v>3073</v>
      </c>
      <c r="F699" t="s">
        <v>3072</v>
      </c>
      <c r="G699" t="s">
        <v>22</v>
      </c>
      <c r="H699" s="5">
        <v>46030.506261574075</v>
      </c>
      <c r="I699" s="5">
        <v>46031.658784722225</v>
      </c>
      <c r="J699">
        <v>1</v>
      </c>
      <c r="K699" t="s">
        <v>25</v>
      </c>
      <c r="L699" t="s">
        <v>30</v>
      </c>
    </row>
    <row r="700" spans="1:12" x14ac:dyDescent="0.25">
      <c r="A700" t="s">
        <v>2441</v>
      </c>
      <c r="B700">
        <v>127787</v>
      </c>
      <c r="C700" s="3">
        <v>49</v>
      </c>
      <c r="D700" t="s">
        <v>19</v>
      </c>
      <c r="E700" t="s">
        <v>2589</v>
      </c>
      <c r="F700" t="s">
        <v>3086</v>
      </c>
      <c r="G700" t="s">
        <v>394</v>
      </c>
      <c r="H700" s="5">
        <v>46030.704710648148</v>
      </c>
      <c r="I700" s="5">
        <v>46032.476643518516</v>
      </c>
      <c r="J700">
        <v>1</v>
      </c>
      <c r="K700" t="s">
        <v>25</v>
      </c>
      <c r="L700" t="s">
        <v>30</v>
      </c>
    </row>
    <row r="701" spans="1:12" x14ac:dyDescent="0.25">
      <c r="A701" t="s">
        <v>2444</v>
      </c>
      <c r="B701">
        <v>127802</v>
      </c>
      <c r="C701" s="3">
        <v>14</v>
      </c>
      <c r="D701" t="s">
        <v>19</v>
      </c>
      <c r="E701" t="s">
        <v>3073</v>
      </c>
      <c r="F701" t="s">
        <v>3085</v>
      </c>
      <c r="G701" t="s">
        <v>22</v>
      </c>
      <c r="H701" s="5">
        <v>46031.005011574074</v>
      </c>
      <c r="I701" s="5">
        <v>46032.705555555556</v>
      </c>
      <c r="J701">
        <v>1</v>
      </c>
      <c r="K701" t="s">
        <v>112</v>
      </c>
      <c r="L701" t="s">
        <v>30</v>
      </c>
    </row>
    <row r="702" spans="1:12" x14ac:dyDescent="0.25">
      <c r="A702" t="s">
        <v>2359</v>
      </c>
      <c r="B702">
        <v>127137</v>
      </c>
      <c r="C702" s="3" t="s">
        <v>3088</v>
      </c>
      <c r="D702" t="s">
        <v>19</v>
      </c>
      <c r="E702" t="s">
        <v>3073</v>
      </c>
      <c r="F702" t="s">
        <v>3072</v>
      </c>
      <c r="G702" t="s">
        <v>22</v>
      </c>
      <c r="H702" s="5">
        <v>46031.553969907407</v>
      </c>
      <c r="I702" s="5">
        <v>46033.543576388889</v>
      </c>
      <c r="J702">
        <v>1</v>
      </c>
      <c r="K702" t="s">
        <v>25</v>
      </c>
      <c r="L702" t="s">
        <v>30</v>
      </c>
    </row>
    <row r="703" spans="1:12" x14ac:dyDescent="0.25">
      <c r="A703" t="s">
        <v>2449</v>
      </c>
      <c r="B703">
        <v>127853</v>
      </c>
      <c r="C703" s="3" t="s">
        <v>3079</v>
      </c>
      <c r="D703" t="s">
        <v>19</v>
      </c>
      <c r="E703" t="s">
        <v>62</v>
      </c>
      <c r="F703" t="s">
        <v>3084</v>
      </c>
      <c r="G703" t="s">
        <v>22</v>
      </c>
      <c r="H703" s="5">
        <v>46031.578310185185</v>
      </c>
      <c r="I703" s="5">
        <v>46032.70449074074</v>
      </c>
      <c r="J703">
        <v>1</v>
      </c>
      <c r="K703" t="s">
        <v>25</v>
      </c>
      <c r="L703" t="s">
        <v>30</v>
      </c>
    </row>
    <row r="704" spans="1:12" x14ac:dyDescent="0.25">
      <c r="A704" t="s">
        <v>2452</v>
      </c>
      <c r="B704">
        <v>127988</v>
      </c>
      <c r="C704" s="3">
        <v>3</v>
      </c>
      <c r="D704" t="s">
        <v>32</v>
      </c>
      <c r="E704" t="s">
        <v>62</v>
      </c>
      <c r="F704" t="s">
        <v>3076</v>
      </c>
      <c r="G704" t="s">
        <v>22</v>
      </c>
      <c r="H704" s="5">
        <v>46032.624513888892</v>
      </c>
      <c r="I704" s="5">
        <v>46033.817962962959</v>
      </c>
      <c r="J704">
        <v>1</v>
      </c>
      <c r="K704" t="s">
        <v>112</v>
      </c>
      <c r="L704" t="s">
        <v>30</v>
      </c>
    </row>
    <row r="705" spans="1:12" x14ac:dyDescent="0.25">
      <c r="A705" t="s">
        <v>2455</v>
      </c>
      <c r="B705">
        <v>101182</v>
      </c>
      <c r="C705" s="3">
        <v>67</v>
      </c>
      <c r="D705" t="s">
        <v>19</v>
      </c>
      <c r="E705" t="s">
        <v>3073</v>
      </c>
      <c r="F705" t="s">
        <v>3090</v>
      </c>
      <c r="G705" t="s">
        <v>394</v>
      </c>
      <c r="H705" s="5">
        <v>46032.704525462963</v>
      </c>
      <c r="I705" s="5">
        <v>46034.55164351852</v>
      </c>
      <c r="J705">
        <v>1</v>
      </c>
      <c r="K705" t="s">
        <v>25</v>
      </c>
      <c r="L705" t="s">
        <v>30</v>
      </c>
    </row>
    <row r="706" spans="1:12" x14ac:dyDescent="0.25">
      <c r="A706" t="s">
        <v>2458</v>
      </c>
      <c r="B706">
        <v>126434</v>
      </c>
      <c r="C706" s="3">
        <v>60</v>
      </c>
      <c r="D706" t="s">
        <v>32</v>
      </c>
      <c r="E706" t="s">
        <v>3073</v>
      </c>
      <c r="F706" t="s">
        <v>3091</v>
      </c>
      <c r="G706" t="s">
        <v>22</v>
      </c>
      <c r="H706" s="5">
        <v>46033.201770833337</v>
      </c>
      <c r="I706" s="5">
        <v>46034.520266203705</v>
      </c>
      <c r="J706">
        <v>1</v>
      </c>
      <c r="K706" t="s">
        <v>25</v>
      </c>
      <c r="L706" t="s">
        <v>30</v>
      </c>
    </row>
    <row r="707" spans="1:12" x14ac:dyDescent="0.25">
      <c r="A707" t="s">
        <v>2461</v>
      </c>
      <c r="B707">
        <v>128049</v>
      </c>
      <c r="C707" s="3">
        <v>2</v>
      </c>
      <c r="D707" t="s">
        <v>19</v>
      </c>
      <c r="E707" t="s">
        <v>3073</v>
      </c>
      <c r="F707" t="s">
        <v>3076</v>
      </c>
      <c r="G707" t="s">
        <v>22</v>
      </c>
      <c r="H707" s="5">
        <v>46033.782430555555</v>
      </c>
      <c r="I707" s="5">
        <v>46035.767627314817</v>
      </c>
      <c r="J707">
        <v>1</v>
      </c>
      <c r="K707" t="s">
        <v>25</v>
      </c>
      <c r="L707" t="s">
        <v>30</v>
      </c>
    </row>
    <row r="708" spans="1:12" x14ac:dyDescent="0.25">
      <c r="A708" t="s">
        <v>2464</v>
      </c>
      <c r="B708">
        <v>65942</v>
      </c>
      <c r="C708" s="3">
        <v>26</v>
      </c>
      <c r="D708" t="s">
        <v>32</v>
      </c>
      <c r="E708" t="s">
        <v>227</v>
      </c>
      <c r="F708" t="s">
        <v>3077</v>
      </c>
      <c r="G708" t="s">
        <v>22</v>
      </c>
      <c r="H708" s="5">
        <v>46033.850104166668</v>
      </c>
      <c r="I708" s="5">
        <v>46035.667210648149</v>
      </c>
      <c r="J708">
        <v>1</v>
      </c>
      <c r="K708" t="s">
        <v>25</v>
      </c>
      <c r="L708" t="s">
        <v>30</v>
      </c>
    </row>
    <row r="709" spans="1:12" x14ac:dyDescent="0.25">
      <c r="A709" t="s">
        <v>2467</v>
      </c>
      <c r="B709">
        <v>128051</v>
      </c>
      <c r="C709" s="3">
        <v>67</v>
      </c>
      <c r="D709" t="s">
        <v>32</v>
      </c>
      <c r="E709" t="s">
        <v>3073</v>
      </c>
      <c r="F709" t="s">
        <v>3091</v>
      </c>
      <c r="G709" t="s">
        <v>22</v>
      </c>
      <c r="H709" s="5">
        <v>46033.867685185185</v>
      </c>
      <c r="I709" s="5">
        <v>46035.549930555557</v>
      </c>
      <c r="J709">
        <v>1</v>
      </c>
      <c r="K709" t="s">
        <v>25</v>
      </c>
      <c r="L709" t="s">
        <v>30</v>
      </c>
    </row>
    <row r="710" spans="1:12" x14ac:dyDescent="0.25">
      <c r="A710" t="s">
        <v>2470</v>
      </c>
      <c r="B710">
        <v>128062</v>
      </c>
      <c r="C710" s="3">
        <v>21</v>
      </c>
      <c r="D710" t="s">
        <v>32</v>
      </c>
      <c r="E710" t="s">
        <v>3073</v>
      </c>
      <c r="F710" t="s">
        <v>3077</v>
      </c>
      <c r="G710" t="s">
        <v>22</v>
      </c>
      <c r="H710" s="5">
        <v>46034.289386574077</v>
      </c>
      <c r="I710" s="5">
        <v>46035.605844907404</v>
      </c>
      <c r="J710">
        <v>1</v>
      </c>
      <c r="K710" t="s">
        <v>25</v>
      </c>
      <c r="L710" t="s">
        <v>30</v>
      </c>
    </row>
    <row r="711" spans="1:12" x14ac:dyDescent="0.25">
      <c r="A711" t="s">
        <v>2473</v>
      </c>
      <c r="B711">
        <v>128072</v>
      </c>
      <c r="C711" s="3">
        <v>30</v>
      </c>
      <c r="D711" t="s">
        <v>32</v>
      </c>
      <c r="E711" t="s">
        <v>2589</v>
      </c>
      <c r="F711" t="s">
        <v>3074</v>
      </c>
      <c r="G711" t="s">
        <v>22</v>
      </c>
      <c r="H711" s="5">
        <v>46034.406446759262</v>
      </c>
      <c r="I711" s="5">
        <v>46035.732037037036</v>
      </c>
      <c r="J711">
        <v>1</v>
      </c>
      <c r="K711" t="s">
        <v>25</v>
      </c>
      <c r="L711" t="s">
        <v>30</v>
      </c>
    </row>
    <row r="712" spans="1:12" x14ac:dyDescent="0.25">
      <c r="A712" t="s">
        <v>2476</v>
      </c>
      <c r="B712">
        <v>128065</v>
      </c>
      <c r="C712" s="3">
        <v>25</v>
      </c>
      <c r="D712" t="s">
        <v>32</v>
      </c>
      <c r="E712" t="s">
        <v>62</v>
      </c>
      <c r="F712" t="s">
        <v>3074</v>
      </c>
      <c r="G712" t="s">
        <v>22</v>
      </c>
      <c r="H712" s="5">
        <v>46034.456250000003</v>
      </c>
      <c r="I712" s="5">
        <v>46035.733391203707</v>
      </c>
      <c r="J712">
        <v>1</v>
      </c>
      <c r="K712" t="s">
        <v>25</v>
      </c>
      <c r="L712" t="s">
        <v>30</v>
      </c>
    </row>
    <row r="713" spans="1:12" x14ac:dyDescent="0.25">
      <c r="A713" t="s">
        <v>2479</v>
      </c>
      <c r="B713">
        <v>51853</v>
      </c>
      <c r="C713" s="3">
        <v>32</v>
      </c>
      <c r="D713" t="s">
        <v>32</v>
      </c>
      <c r="E713" t="s">
        <v>227</v>
      </c>
      <c r="F713" t="s">
        <v>3074</v>
      </c>
      <c r="G713" t="s">
        <v>22</v>
      </c>
      <c r="H713" s="5">
        <v>46034.472407407404</v>
      </c>
      <c r="I713" s="5">
        <v>46035.764872685184</v>
      </c>
      <c r="J713">
        <v>1</v>
      </c>
      <c r="K713" t="s">
        <v>25</v>
      </c>
      <c r="L713" t="s">
        <v>30</v>
      </c>
    </row>
    <row r="714" spans="1:12" x14ac:dyDescent="0.25">
      <c r="A714" t="s">
        <v>2482</v>
      </c>
      <c r="B714">
        <v>128112</v>
      </c>
      <c r="C714" s="3">
        <v>44</v>
      </c>
      <c r="D714" t="s">
        <v>32</v>
      </c>
      <c r="E714" t="s">
        <v>3073</v>
      </c>
      <c r="F714" t="s">
        <v>3074</v>
      </c>
      <c r="G714" t="s">
        <v>22</v>
      </c>
      <c r="H714" s="5">
        <v>46034.551145833335</v>
      </c>
      <c r="I714" s="5">
        <v>46035.759236111109</v>
      </c>
      <c r="J714">
        <v>1</v>
      </c>
      <c r="K714" t="s">
        <v>25</v>
      </c>
      <c r="L714" t="s">
        <v>30</v>
      </c>
    </row>
    <row r="715" spans="1:12" x14ac:dyDescent="0.25">
      <c r="A715" t="s">
        <v>2485</v>
      </c>
      <c r="B715">
        <v>75793</v>
      </c>
      <c r="C715" s="3">
        <v>5</v>
      </c>
      <c r="D715" t="s">
        <v>32</v>
      </c>
      <c r="E715" t="s">
        <v>227</v>
      </c>
      <c r="F715" t="s">
        <v>3076</v>
      </c>
      <c r="G715" t="s">
        <v>394</v>
      </c>
      <c r="H715" s="5">
        <v>46034.589537037034</v>
      </c>
      <c r="I715" s="5">
        <v>46036.528773148151</v>
      </c>
      <c r="J715">
        <v>1</v>
      </c>
      <c r="K715" t="s">
        <v>25</v>
      </c>
      <c r="L715" t="s">
        <v>30</v>
      </c>
    </row>
    <row r="716" spans="1:12" x14ac:dyDescent="0.25">
      <c r="A716" t="s">
        <v>1770</v>
      </c>
      <c r="B716">
        <v>3209</v>
      </c>
      <c r="C716" s="3">
        <v>32</v>
      </c>
      <c r="D716" t="s">
        <v>32</v>
      </c>
      <c r="E716" t="s">
        <v>754</v>
      </c>
      <c r="F716" t="s">
        <v>3074</v>
      </c>
      <c r="G716" t="s">
        <v>394</v>
      </c>
      <c r="H716" s="5">
        <v>46034.60696759259</v>
      </c>
      <c r="I716" s="5">
        <v>46036.451018518521</v>
      </c>
      <c r="J716">
        <v>1</v>
      </c>
      <c r="K716" t="s">
        <v>25</v>
      </c>
      <c r="L716" t="s">
        <v>30</v>
      </c>
    </row>
    <row r="717" spans="1:12" x14ac:dyDescent="0.25">
      <c r="A717" t="s">
        <v>2490</v>
      </c>
      <c r="B717">
        <v>34442</v>
      </c>
      <c r="C717" s="3">
        <v>33</v>
      </c>
      <c r="D717" t="s">
        <v>32</v>
      </c>
      <c r="E717" t="s">
        <v>227</v>
      </c>
      <c r="F717" t="s">
        <v>3074</v>
      </c>
      <c r="G717" t="s">
        <v>394</v>
      </c>
      <c r="H717" s="5">
        <v>46034.642326388886</v>
      </c>
      <c r="I717" s="5">
        <v>46036.426423611112</v>
      </c>
      <c r="J717">
        <v>1</v>
      </c>
      <c r="K717" t="s">
        <v>25</v>
      </c>
      <c r="L717" t="s">
        <v>30</v>
      </c>
    </row>
    <row r="718" spans="1:12" x14ac:dyDescent="0.25">
      <c r="A718" t="s">
        <v>2493</v>
      </c>
      <c r="B718">
        <v>128173</v>
      </c>
      <c r="C718" s="3">
        <v>26</v>
      </c>
      <c r="D718" t="s">
        <v>32</v>
      </c>
      <c r="E718" t="s">
        <v>3073</v>
      </c>
      <c r="F718" t="s">
        <v>3074</v>
      </c>
      <c r="G718" t="s">
        <v>22</v>
      </c>
      <c r="H718" s="5">
        <v>46034.951898148145</v>
      </c>
      <c r="I718" s="5">
        <v>46036.488275462965</v>
      </c>
      <c r="J718">
        <v>1</v>
      </c>
      <c r="K718" t="s">
        <v>25</v>
      </c>
      <c r="L718" t="s">
        <v>30</v>
      </c>
    </row>
    <row r="719" spans="1:12" x14ac:dyDescent="0.25">
      <c r="A719" t="s">
        <v>1998</v>
      </c>
      <c r="B719">
        <v>127706</v>
      </c>
      <c r="C719" s="3">
        <v>35</v>
      </c>
      <c r="D719" t="s">
        <v>32</v>
      </c>
      <c r="E719" t="s">
        <v>3073</v>
      </c>
      <c r="F719" t="s">
        <v>3077</v>
      </c>
      <c r="G719" t="s">
        <v>22</v>
      </c>
      <c r="H719" s="5">
        <v>46034.95412037037</v>
      </c>
      <c r="I719" s="5">
        <v>46036.523877314816</v>
      </c>
      <c r="J719">
        <v>1</v>
      </c>
      <c r="K719" t="s">
        <v>25</v>
      </c>
      <c r="L719" t="s">
        <v>30</v>
      </c>
    </row>
    <row r="720" spans="1:12" x14ac:dyDescent="0.25">
      <c r="A720" t="s">
        <v>2498</v>
      </c>
      <c r="B720">
        <v>123624</v>
      </c>
      <c r="C720" s="3">
        <v>28</v>
      </c>
      <c r="D720" t="s">
        <v>32</v>
      </c>
      <c r="E720" t="s">
        <v>3073</v>
      </c>
      <c r="F720" t="s">
        <v>3077</v>
      </c>
      <c r="G720" t="s">
        <v>394</v>
      </c>
      <c r="H720" s="5">
        <v>46035.446319444447</v>
      </c>
      <c r="I720" s="5">
        <v>46036.522291666668</v>
      </c>
      <c r="J720">
        <v>1</v>
      </c>
      <c r="K720" t="s">
        <v>25</v>
      </c>
      <c r="L720" t="s">
        <v>30</v>
      </c>
    </row>
    <row r="721" spans="1:12" x14ac:dyDescent="0.25">
      <c r="A721" t="s">
        <v>2501</v>
      </c>
      <c r="B721">
        <v>128199</v>
      </c>
      <c r="C721" s="3">
        <v>25</v>
      </c>
      <c r="D721" t="s">
        <v>32</v>
      </c>
      <c r="E721" t="s">
        <v>3073</v>
      </c>
      <c r="F721" t="s">
        <v>3077</v>
      </c>
      <c r="G721" t="s">
        <v>22</v>
      </c>
      <c r="H721" s="5">
        <v>46035.692812499998</v>
      </c>
      <c r="I721" s="5">
        <v>46037.55840277778</v>
      </c>
      <c r="J721">
        <v>1</v>
      </c>
      <c r="K721" t="s">
        <v>25</v>
      </c>
      <c r="L721" t="s">
        <v>30</v>
      </c>
    </row>
    <row r="722" spans="1:12" x14ac:dyDescent="0.25">
      <c r="A722" t="s">
        <v>2504</v>
      </c>
      <c r="B722">
        <v>128285</v>
      </c>
      <c r="C722" s="3">
        <v>42</v>
      </c>
      <c r="D722" t="s">
        <v>32</v>
      </c>
      <c r="E722" t="s">
        <v>20</v>
      </c>
      <c r="F722" t="s">
        <v>3091</v>
      </c>
      <c r="G722" t="s">
        <v>22</v>
      </c>
      <c r="H722" s="5">
        <v>46035.87972222222</v>
      </c>
      <c r="I722" s="5">
        <v>46037.635914351849</v>
      </c>
      <c r="J722">
        <v>1</v>
      </c>
      <c r="K722" t="s">
        <v>25</v>
      </c>
      <c r="L722" t="s">
        <v>30</v>
      </c>
    </row>
    <row r="723" spans="1:12" x14ac:dyDescent="0.25">
      <c r="A723" t="s">
        <v>2507</v>
      </c>
      <c r="B723">
        <v>128315</v>
      </c>
      <c r="C723" s="3">
        <v>47</v>
      </c>
      <c r="D723" t="s">
        <v>19</v>
      </c>
      <c r="E723" t="s">
        <v>3073</v>
      </c>
      <c r="F723" t="s">
        <v>3086</v>
      </c>
      <c r="G723" t="s">
        <v>22</v>
      </c>
      <c r="H723" s="5">
        <v>46035.966122685182</v>
      </c>
      <c r="I723" s="5">
        <v>46037.742511574077</v>
      </c>
      <c r="J723">
        <v>1</v>
      </c>
      <c r="K723" t="s">
        <v>397</v>
      </c>
      <c r="L723" t="s">
        <v>30</v>
      </c>
    </row>
    <row r="724" spans="1:12" x14ac:dyDescent="0.25">
      <c r="A724" t="s">
        <v>2510</v>
      </c>
      <c r="B724">
        <v>105335</v>
      </c>
      <c r="C724" s="3">
        <v>26</v>
      </c>
      <c r="D724" t="s">
        <v>19</v>
      </c>
      <c r="E724" t="s">
        <v>260</v>
      </c>
      <c r="F724" t="s">
        <v>3085</v>
      </c>
      <c r="G724" t="s">
        <v>22</v>
      </c>
      <c r="H724" s="5">
        <v>46036.032997685186</v>
      </c>
      <c r="I724" s="5">
        <v>46037.593657407408</v>
      </c>
      <c r="J724">
        <v>1</v>
      </c>
      <c r="K724" t="s">
        <v>112</v>
      </c>
      <c r="L724" t="s">
        <v>30</v>
      </c>
    </row>
    <row r="725" spans="1:12" x14ac:dyDescent="0.25">
      <c r="A725" t="s">
        <v>2513</v>
      </c>
      <c r="B725">
        <v>128230</v>
      </c>
      <c r="C725" s="3">
        <v>30</v>
      </c>
      <c r="D725" t="s">
        <v>32</v>
      </c>
      <c r="E725" t="s">
        <v>62</v>
      </c>
      <c r="F725" t="s">
        <v>3077</v>
      </c>
      <c r="G725" t="s">
        <v>22</v>
      </c>
      <c r="H725" s="5">
        <v>46036.587638888886</v>
      </c>
      <c r="I725" s="5">
        <v>46038.489907407406</v>
      </c>
      <c r="J725">
        <v>1</v>
      </c>
      <c r="K725" t="s">
        <v>25</v>
      </c>
      <c r="L725" t="s">
        <v>30</v>
      </c>
    </row>
    <row r="726" spans="1:12" x14ac:dyDescent="0.25">
      <c r="A726" t="s">
        <v>2516</v>
      </c>
      <c r="B726">
        <v>12875</v>
      </c>
      <c r="C726" s="3">
        <v>89</v>
      </c>
      <c r="D726" t="s">
        <v>19</v>
      </c>
      <c r="E726" t="s">
        <v>20</v>
      </c>
      <c r="F726" t="s">
        <v>3086</v>
      </c>
      <c r="G726" t="s">
        <v>394</v>
      </c>
      <c r="H726" s="5">
        <v>46036.698344907411</v>
      </c>
      <c r="I726" s="5">
        <v>46038.636192129627</v>
      </c>
      <c r="J726">
        <v>1</v>
      </c>
      <c r="K726" t="s">
        <v>25</v>
      </c>
      <c r="L726" t="s">
        <v>30</v>
      </c>
    </row>
    <row r="727" spans="1:12" x14ac:dyDescent="0.25">
      <c r="A727" t="s">
        <v>2520</v>
      </c>
      <c r="B727">
        <v>128467</v>
      </c>
      <c r="C727" s="3">
        <v>20</v>
      </c>
      <c r="D727" t="s">
        <v>32</v>
      </c>
      <c r="E727" t="s">
        <v>3073</v>
      </c>
      <c r="F727" t="s">
        <v>3074</v>
      </c>
      <c r="G727" t="s">
        <v>22</v>
      </c>
      <c r="H727" s="5">
        <v>46036.911793981482</v>
      </c>
      <c r="I727" s="5">
        <v>46038.705868055556</v>
      </c>
      <c r="J727">
        <v>1</v>
      </c>
      <c r="K727" t="s">
        <v>25</v>
      </c>
      <c r="L727" t="s">
        <v>30</v>
      </c>
    </row>
    <row r="728" spans="1:12" x14ac:dyDescent="0.25">
      <c r="A728" t="s">
        <v>2523</v>
      </c>
      <c r="B728">
        <v>128466</v>
      </c>
      <c r="C728" s="3">
        <v>78</v>
      </c>
      <c r="D728" t="s">
        <v>19</v>
      </c>
      <c r="E728" t="s">
        <v>20</v>
      </c>
      <c r="F728" t="s">
        <v>3086</v>
      </c>
      <c r="G728" t="s">
        <v>22</v>
      </c>
      <c r="H728" s="5">
        <v>46037.034236111111</v>
      </c>
      <c r="I728" s="5">
        <v>46038.576666666668</v>
      </c>
      <c r="J728">
        <v>1</v>
      </c>
      <c r="K728" t="s">
        <v>112</v>
      </c>
      <c r="L728" t="s">
        <v>30</v>
      </c>
    </row>
    <row r="729" spans="1:12" x14ac:dyDescent="0.25">
      <c r="A729" t="s">
        <v>2526</v>
      </c>
      <c r="B729">
        <v>128474</v>
      </c>
      <c r="C729" s="3" t="s">
        <v>3088</v>
      </c>
      <c r="D729" t="s">
        <v>19</v>
      </c>
      <c r="E729" t="s">
        <v>3073</v>
      </c>
      <c r="F729" t="s">
        <v>3072</v>
      </c>
      <c r="G729" t="s">
        <v>22</v>
      </c>
      <c r="H729" s="5">
        <v>46037.138842592591</v>
      </c>
      <c r="I729" s="5">
        <v>46038.708310185182</v>
      </c>
      <c r="J729">
        <v>1</v>
      </c>
      <c r="K729" t="s">
        <v>25</v>
      </c>
      <c r="L729" t="s">
        <v>30</v>
      </c>
    </row>
    <row r="730" spans="1:12" x14ac:dyDescent="0.25">
      <c r="A730" t="s">
        <v>2529</v>
      </c>
      <c r="B730">
        <v>128475</v>
      </c>
      <c r="C730" s="3">
        <v>20</v>
      </c>
      <c r="D730" t="s">
        <v>19</v>
      </c>
      <c r="E730" t="s">
        <v>3073</v>
      </c>
      <c r="F730" t="s">
        <v>3085</v>
      </c>
      <c r="G730" t="s">
        <v>22</v>
      </c>
      <c r="H730" s="5">
        <v>46037.428217592591</v>
      </c>
      <c r="I730" s="5">
        <v>46039.422106481485</v>
      </c>
      <c r="J730">
        <v>1</v>
      </c>
      <c r="K730" t="s">
        <v>112</v>
      </c>
      <c r="L730" t="s">
        <v>30</v>
      </c>
    </row>
    <row r="731" spans="1:12" x14ac:dyDescent="0.25">
      <c r="A731" t="s">
        <v>2532</v>
      </c>
      <c r="B731">
        <v>128542</v>
      </c>
      <c r="C731" s="3">
        <v>40</v>
      </c>
      <c r="D731" t="s">
        <v>32</v>
      </c>
      <c r="E731" t="s">
        <v>3073</v>
      </c>
      <c r="F731" t="s">
        <v>3074</v>
      </c>
      <c r="G731" t="s">
        <v>22</v>
      </c>
      <c r="H731" s="5">
        <v>46037.667893518519</v>
      </c>
      <c r="I731" s="5">
        <v>46038.748495370368</v>
      </c>
      <c r="J731">
        <v>1</v>
      </c>
      <c r="K731" t="s">
        <v>25</v>
      </c>
      <c r="L731" t="s">
        <v>30</v>
      </c>
    </row>
    <row r="732" spans="1:12" x14ac:dyDescent="0.25">
      <c r="A732" t="s">
        <v>2535</v>
      </c>
      <c r="B732">
        <v>128571</v>
      </c>
      <c r="C732" s="3">
        <v>56</v>
      </c>
      <c r="D732" t="s">
        <v>32</v>
      </c>
      <c r="E732" t="s">
        <v>3073</v>
      </c>
      <c r="F732" t="s">
        <v>3091</v>
      </c>
      <c r="G732" t="s">
        <v>22</v>
      </c>
      <c r="H732" s="5">
        <v>46038.150011574071</v>
      </c>
      <c r="I732" s="5">
        <v>46039.530173611114</v>
      </c>
      <c r="J732">
        <v>1</v>
      </c>
      <c r="K732" t="s">
        <v>25</v>
      </c>
      <c r="L732" t="s">
        <v>30</v>
      </c>
    </row>
    <row r="733" spans="1:12" x14ac:dyDescent="0.25">
      <c r="A733" t="s">
        <v>2538</v>
      </c>
      <c r="B733">
        <v>128567</v>
      </c>
      <c r="C733" s="3" t="s">
        <v>3088</v>
      </c>
      <c r="D733" t="s">
        <v>32</v>
      </c>
      <c r="E733" t="s">
        <v>20</v>
      </c>
      <c r="F733" t="s">
        <v>3072</v>
      </c>
      <c r="G733" t="s">
        <v>22</v>
      </c>
      <c r="H733" s="5">
        <v>46038.311076388891</v>
      </c>
      <c r="I733" s="5">
        <v>46039.52679398148</v>
      </c>
      <c r="J733">
        <v>1</v>
      </c>
      <c r="K733" t="s">
        <v>25</v>
      </c>
      <c r="L733" t="s">
        <v>30</v>
      </c>
    </row>
    <row r="734" spans="1:12" x14ac:dyDescent="0.25">
      <c r="A734" t="s">
        <v>2541</v>
      </c>
      <c r="B734">
        <v>110383</v>
      </c>
      <c r="C734" s="3">
        <v>2</v>
      </c>
      <c r="D734" t="s">
        <v>32</v>
      </c>
      <c r="E734" t="s">
        <v>3073</v>
      </c>
      <c r="F734" t="s">
        <v>3076</v>
      </c>
      <c r="G734" t="s">
        <v>22</v>
      </c>
      <c r="H734" s="5">
        <v>46038.422662037039</v>
      </c>
      <c r="I734" s="5">
        <v>46039.737349537034</v>
      </c>
      <c r="J734">
        <v>1</v>
      </c>
      <c r="K734" t="s">
        <v>25</v>
      </c>
      <c r="L734" t="s">
        <v>30</v>
      </c>
    </row>
    <row r="735" spans="1:12" x14ac:dyDescent="0.25">
      <c r="A735" t="s">
        <v>2544</v>
      </c>
      <c r="B735">
        <v>58646</v>
      </c>
      <c r="C735" s="3">
        <v>82</v>
      </c>
      <c r="D735" t="s">
        <v>19</v>
      </c>
      <c r="E735" t="s">
        <v>227</v>
      </c>
      <c r="F735" t="s">
        <v>3090</v>
      </c>
      <c r="G735" t="s">
        <v>394</v>
      </c>
      <c r="H735" s="5">
        <v>46038.424375000002</v>
      </c>
      <c r="I735" s="5">
        <v>46039.672291666669</v>
      </c>
      <c r="J735">
        <v>1</v>
      </c>
      <c r="K735" t="s">
        <v>25</v>
      </c>
      <c r="L735" t="s">
        <v>30</v>
      </c>
    </row>
    <row r="736" spans="1:12" x14ac:dyDescent="0.25">
      <c r="A736" t="s">
        <v>1861</v>
      </c>
      <c r="B736">
        <v>86347</v>
      </c>
      <c r="C736" s="3">
        <v>3</v>
      </c>
      <c r="D736" t="s">
        <v>19</v>
      </c>
      <c r="E736" t="s">
        <v>3073</v>
      </c>
      <c r="F736" t="s">
        <v>3076</v>
      </c>
      <c r="G736" t="s">
        <v>22</v>
      </c>
      <c r="H736" s="5">
        <v>46038.534490740742</v>
      </c>
      <c r="I736" s="5">
        <v>46039.598611111112</v>
      </c>
      <c r="J736">
        <v>1</v>
      </c>
      <c r="K736" t="s">
        <v>25</v>
      </c>
      <c r="L736" t="s">
        <v>30</v>
      </c>
    </row>
    <row r="737" spans="1:12" x14ac:dyDescent="0.25">
      <c r="A737" t="s">
        <v>2549</v>
      </c>
      <c r="B737">
        <v>95439</v>
      </c>
      <c r="C737" s="3">
        <v>69</v>
      </c>
      <c r="D737" t="s">
        <v>19</v>
      </c>
      <c r="E737" t="s">
        <v>3073</v>
      </c>
      <c r="F737" t="s">
        <v>3084</v>
      </c>
      <c r="G737" t="s">
        <v>394</v>
      </c>
      <c r="H737" s="5">
        <v>46038.766203703701</v>
      </c>
      <c r="I737" s="5">
        <v>46040.694710648146</v>
      </c>
      <c r="J737">
        <v>1</v>
      </c>
      <c r="K737" t="s">
        <v>25</v>
      </c>
      <c r="L737" t="s">
        <v>30</v>
      </c>
    </row>
    <row r="738" spans="1:12" x14ac:dyDescent="0.25">
      <c r="A738" t="s">
        <v>2552</v>
      </c>
      <c r="B738">
        <v>128704</v>
      </c>
      <c r="C738" s="3" t="s">
        <v>3088</v>
      </c>
      <c r="D738" t="s">
        <v>32</v>
      </c>
      <c r="E738" t="s">
        <v>62</v>
      </c>
      <c r="F738" t="s">
        <v>3072</v>
      </c>
      <c r="G738" t="s">
        <v>22</v>
      </c>
      <c r="H738" s="5">
        <v>46039.589328703703</v>
      </c>
      <c r="I738" s="5">
        <v>46041.505208333336</v>
      </c>
      <c r="J738">
        <v>1</v>
      </c>
      <c r="K738" t="s">
        <v>211</v>
      </c>
      <c r="L738" t="s">
        <v>30</v>
      </c>
    </row>
    <row r="739" spans="1:12" x14ac:dyDescent="0.25">
      <c r="A739" t="s">
        <v>2555</v>
      </c>
      <c r="B739">
        <v>128727</v>
      </c>
      <c r="C739" s="3" t="s">
        <v>3088</v>
      </c>
      <c r="D739" t="s">
        <v>19</v>
      </c>
      <c r="E739" t="s">
        <v>3073</v>
      </c>
      <c r="F739" t="s">
        <v>3072</v>
      </c>
      <c r="G739" t="s">
        <v>22</v>
      </c>
      <c r="H739" s="5">
        <v>46039.653194444443</v>
      </c>
      <c r="I739" s="5">
        <v>46040.661562499998</v>
      </c>
      <c r="J739">
        <v>1</v>
      </c>
      <c r="K739" t="s">
        <v>211</v>
      </c>
      <c r="L739" t="s">
        <v>30</v>
      </c>
    </row>
    <row r="740" spans="1:12" x14ac:dyDescent="0.25">
      <c r="A740" t="s">
        <v>2558</v>
      </c>
      <c r="B740">
        <v>128729</v>
      </c>
      <c r="C740" s="3">
        <v>25</v>
      </c>
      <c r="D740" t="s">
        <v>32</v>
      </c>
      <c r="E740" t="s">
        <v>3073</v>
      </c>
      <c r="F740" t="s">
        <v>3074</v>
      </c>
      <c r="G740" t="s">
        <v>22</v>
      </c>
      <c r="H740" s="5">
        <v>46039.704328703701</v>
      </c>
      <c r="I740" s="5">
        <v>46041.675104166665</v>
      </c>
      <c r="J740">
        <v>1</v>
      </c>
      <c r="K740" t="s">
        <v>25</v>
      </c>
      <c r="L740" t="s">
        <v>30</v>
      </c>
    </row>
    <row r="741" spans="1:12" x14ac:dyDescent="0.25">
      <c r="A741" t="s">
        <v>2561</v>
      </c>
      <c r="B741">
        <v>128730</v>
      </c>
      <c r="C741" s="3" t="s">
        <v>3088</v>
      </c>
      <c r="D741" t="s">
        <v>19</v>
      </c>
      <c r="E741" t="s">
        <v>3073</v>
      </c>
      <c r="F741" t="s">
        <v>3072</v>
      </c>
      <c r="G741" t="s">
        <v>22</v>
      </c>
      <c r="H741" s="5">
        <v>46039.750439814816</v>
      </c>
      <c r="I741" s="5">
        <v>46041.417442129627</v>
      </c>
      <c r="J741">
        <v>1</v>
      </c>
      <c r="K741" t="s">
        <v>211</v>
      </c>
      <c r="L741" t="s">
        <v>30</v>
      </c>
    </row>
    <row r="742" spans="1:12" x14ac:dyDescent="0.25">
      <c r="A742" t="s">
        <v>2564</v>
      </c>
      <c r="B742">
        <v>128014</v>
      </c>
      <c r="C742" s="3">
        <v>26</v>
      </c>
      <c r="D742" t="s">
        <v>32</v>
      </c>
      <c r="E742" t="s">
        <v>3073</v>
      </c>
      <c r="F742" t="s">
        <v>3077</v>
      </c>
      <c r="G742" t="s">
        <v>394</v>
      </c>
      <c r="H742" s="5">
        <v>46039.776412037034</v>
      </c>
      <c r="I742" s="5">
        <v>46041.718807870369</v>
      </c>
      <c r="J742">
        <v>1</v>
      </c>
      <c r="K742" t="s">
        <v>25</v>
      </c>
      <c r="L742" t="s">
        <v>30</v>
      </c>
    </row>
    <row r="743" spans="1:12" x14ac:dyDescent="0.25">
      <c r="A743" t="s">
        <v>2567</v>
      </c>
      <c r="B743">
        <v>52230</v>
      </c>
      <c r="C743" s="3">
        <v>65</v>
      </c>
      <c r="D743" t="s">
        <v>19</v>
      </c>
      <c r="E743" t="s">
        <v>227</v>
      </c>
      <c r="F743" t="s">
        <v>3090</v>
      </c>
      <c r="G743" t="s">
        <v>394</v>
      </c>
      <c r="H743" s="5">
        <v>46039.779629629629</v>
      </c>
      <c r="I743" s="5">
        <v>46041.665069444447</v>
      </c>
      <c r="J743">
        <v>1</v>
      </c>
      <c r="K743" t="s">
        <v>25</v>
      </c>
      <c r="L743" t="s">
        <v>30</v>
      </c>
    </row>
    <row r="744" spans="1:12" x14ac:dyDescent="0.25">
      <c r="A744" t="s">
        <v>2570</v>
      </c>
      <c r="B744">
        <v>128708</v>
      </c>
      <c r="C744" s="3">
        <v>57</v>
      </c>
      <c r="D744" t="s">
        <v>19</v>
      </c>
      <c r="E744" t="s">
        <v>3073</v>
      </c>
      <c r="F744" t="s">
        <v>3090</v>
      </c>
      <c r="G744" t="s">
        <v>22</v>
      </c>
      <c r="H744" s="5">
        <v>46039.835370370369</v>
      </c>
      <c r="I744" s="5">
        <v>46041.733344907407</v>
      </c>
      <c r="J744">
        <v>1</v>
      </c>
      <c r="K744" t="s">
        <v>25</v>
      </c>
      <c r="L744" t="s">
        <v>30</v>
      </c>
    </row>
    <row r="745" spans="1:12" x14ac:dyDescent="0.25">
      <c r="A745" t="s">
        <v>2573</v>
      </c>
      <c r="B745">
        <v>128745</v>
      </c>
      <c r="C745" s="3" t="s">
        <v>3088</v>
      </c>
      <c r="D745" t="s">
        <v>32</v>
      </c>
      <c r="E745" t="s">
        <v>3073</v>
      </c>
      <c r="F745" t="s">
        <v>3072</v>
      </c>
      <c r="G745" t="s">
        <v>22</v>
      </c>
      <c r="H745" s="5">
        <v>46040.38690972222</v>
      </c>
      <c r="I745" s="5">
        <v>46041.607037037036</v>
      </c>
      <c r="J745">
        <v>1</v>
      </c>
      <c r="K745" t="s">
        <v>25</v>
      </c>
      <c r="L745" t="s">
        <v>30</v>
      </c>
    </row>
    <row r="746" spans="1:12" x14ac:dyDescent="0.25">
      <c r="A746" t="s">
        <v>2576</v>
      </c>
      <c r="B746">
        <v>15037</v>
      </c>
      <c r="C746" s="3">
        <v>28</v>
      </c>
      <c r="D746" t="s">
        <v>32</v>
      </c>
      <c r="E746" t="s">
        <v>754</v>
      </c>
      <c r="F746" t="s">
        <v>3074</v>
      </c>
      <c r="G746" t="s">
        <v>22</v>
      </c>
      <c r="H746" s="5">
        <v>46040.429872685185</v>
      </c>
      <c r="I746" s="5">
        <v>46041.692071759258</v>
      </c>
      <c r="J746">
        <v>1</v>
      </c>
      <c r="K746" t="s">
        <v>25</v>
      </c>
      <c r="L746" t="s">
        <v>30</v>
      </c>
    </row>
    <row r="747" spans="1:12" x14ac:dyDescent="0.25">
      <c r="A747" t="s">
        <v>2579</v>
      </c>
      <c r="B747">
        <v>39641</v>
      </c>
      <c r="C747" s="3">
        <v>8</v>
      </c>
      <c r="D747" t="s">
        <v>19</v>
      </c>
      <c r="E747" t="s">
        <v>227</v>
      </c>
      <c r="F747" t="s">
        <v>3076</v>
      </c>
      <c r="G747" t="s">
        <v>394</v>
      </c>
      <c r="H747" s="5">
        <v>46040.836423611108</v>
      </c>
      <c r="I747" s="5">
        <v>46042.615960648145</v>
      </c>
      <c r="J747">
        <v>1</v>
      </c>
      <c r="K747" t="s">
        <v>25</v>
      </c>
      <c r="L747" t="s">
        <v>30</v>
      </c>
    </row>
    <row r="748" spans="1:12" x14ac:dyDescent="0.25">
      <c r="A748" t="s">
        <v>2582</v>
      </c>
      <c r="B748">
        <v>128787</v>
      </c>
      <c r="C748" s="3" t="s">
        <v>3088</v>
      </c>
      <c r="D748" t="s">
        <v>32</v>
      </c>
      <c r="E748" t="s">
        <v>20</v>
      </c>
      <c r="F748" t="s">
        <v>3072</v>
      </c>
      <c r="G748" t="s">
        <v>22</v>
      </c>
      <c r="H748" s="5">
        <v>46040.902824074074</v>
      </c>
      <c r="I748" s="5">
        <v>46042.353252314817</v>
      </c>
      <c r="J748">
        <v>1</v>
      </c>
      <c r="K748" t="s">
        <v>211</v>
      </c>
      <c r="L748" t="s">
        <v>30</v>
      </c>
    </row>
    <row r="749" spans="1:12" x14ac:dyDescent="0.25">
      <c r="A749" t="s">
        <v>2585</v>
      </c>
      <c r="B749">
        <v>128793</v>
      </c>
      <c r="C749" s="3">
        <v>26</v>
      </c>
      <c r="D749" t="s">
        <v>32</v>
      </c>
      <c r="E749" t="s">
        <v>3073</v>
      </c>
      <c r="F749" t="s">
        <v>3074</v>
      </c>
      <c r="G749" t="s">
        <v>22</v>
      </c>
      <c r="H749" s="5">
        <v>46041.069004629629</v>
      </c>
      <c r="I749" s="5">
        <v>46042.663981481484</v>
      </c>
      <c r="J749">
        <v>1</v>
      </c>
      <c r="K749" t="s">
        <v>25</v>
      </c>
      <c r="L749" t="s">
        <v>30</v>
      </c>
    </row>
    <row r="750" spans="1:12" x14ac:dyDescent="0.25">
      <c r="A750" t="s">
        <v>2588</v>
      </c>
      <c r="B750">
        <v>61937</v>
      </c>
      <c r="C750" s="3">
        <v>77</v>
      </c>
      <c r="D750" t="s">
        <v>19</v>
      </c>
      <c r="E750" t="s">
        <v>2589</v>
      </c>
      <c r="F750" t="s">
        <v>3085</v>
      </c>
      <c r="G750" t="s">
        <v>394</v>
      </c>
      <c r="H750" s="5">
        <v>46041.556226851855</v>
      </c>
      <c r="I750" s="5">
        <v>46043.499560185184</v>
      </c>
      <c r="J750">
        <v>1</v>
      </c>
      <c r="K750" t="s">
        <v>25</v>
      </c>
      <c r="L750" t="s">
        <v>30</v>
      </c>
    </row>
    <row r="751" spans="1:12" x14ac:dyDescent="0.25">
      <c r="A751" t="s">
        <v>1666</v>
      </c>
      <c r="B751">
        <v>30963</v>
      </c>
      <c r="C751" s="3">
        <v>30</v>
      </c>
      <c r="D751" t="s">
        <v>32</v>
      </c>
      <c r="E751" t="s">
        <v>3073</v>
      </c>
      <c r="F751" t="s">
        <v>3074</v>
      </c>
      <c r="G751" t="s">
        <v>701</v>
      </c>
      <c r="H751" s="5">
        <v>46041.599143518521</v>
      </c>
      <c r="I751" s="5">
        <v>46042.611851851849</v>
      </c>
      <c r="J751">
        <v>1</v>
      </c>
      <c r="K751" t="s">
        <v>25</v>
      </c>
      <c r="L751" t="s">
        <v>30</v>
      </c>
    </row>
    <row r="752" spans="1:12" x14ac:dyDescent="0.25">
      <c r="A752" t="s">
        <v>2595</v>
      </c>
      <c r="B752">
        <v>5148</v>
      </c>
      <c r="C752" s="3">
        <v>10</v>
      </c>
      <c r="D752" t="s">
        <v>19</v>
      </c>
      <c r="E752" t="s">
        <v>3073</v>
      </c>
      <c r="F752" t="s">
        <v>3084</v>
      </c>
      <c r="G752" t="s">
        <v>394</v>
      </c>
      <c r="H752" s="5">
        <v>46041.710104166668</v>
      </c>
      <c r="I752" s="5">
        <v>46043.577280092592</v>
      </c>
      <c r="J752">
        <v>1</v>
      </c>
      <c r="K752" t="s">
        <v>25</v>
      </c>
      <c r="L752" t="s">
        <v>30</v>
      </c>
    </row>
    <row r="753" spans="1:12" x14ac:dyDescent="0.25">
      <c r="A753" t="s">
        <v>2598</v>
      </c>
      <c r="B753">
        <v>125694</v>
      </c>
      <c r="C753" s="3">
        <v>32</v>
      </c>
      <c r="D753" t="s">
        <v>32</v>
      </c>
      <c r="E753" t="s">
        <v>3073</v>
      </c>
      <c r="F753" t="s">
        <v>3077</v>
      </c>
      <c r="G753" t="s">
        <v>22</v>
      </c>
      <c r="H753" s="5">
        <v>46041.913263888891</v>
      </c>
      <c r="I753" s="5">
        <v>46043.638680555552</v>
      </c>
      <c r="J753">
        <v>1</v>
      </c>
      <c r="K753" t="s">
        <v>25</v>
      </c>
      <c r="L753" t="s">
        <v>30</v>
      </c>
    </row>
    <row r="754" spans="1:12" x14ac:dyDescent="0.25">
      <c r="A754" t="s">
        <v>2601</v>
      </c>
      <c r="B754">
        <v>109405</v>
      </c>
      <c r="C754" s="3">
        <v>30</v>
      </c>
      <c r="D754" t="s">
        <v>32</v>
      </c>
      <c r="E754" t="s">
        <v>3073</v>
      </c>
      <c r="F754" t="s">
        <v>3074</v>
      </c>
      <c r="G754" t="s">
        <v>22</v>
      </c>
      <c r="H754" s="5">
        <v>46042.448252314818</v>
      </c>
      <c r="I754" s="5">
        <v>46043.703819444447</v>
      </c>
      <c r="J754">
        <v>1</v>
      </c>
      <c r="K754" t="s">
        <v>25</v>
      </c>
      <c r="L754" t="s">
        <v>30</v>
      </c>
    </row>
    <row r="755" spans="1:12" x14ac:dyDescent="0.25">
      <c r="A755" t="s">
        <v>2604</v>
      </c>
      <c r="B755">
        <v>128995</v>
      </c>
      <c r="C755" s="3">
        <v>39</v>
      </c>
      <c r="D755" t="s">
        <v>32</v>
      </c>
      <c r="E755" t="s">
        <v>3073</v>
      </c>
      <c r="F755" t="s">
        <v>3090</v>
      </c>
      <c r="G755" t="s">
        <v>664</v>
      </c>
      <c r="H755" s="5">
        <v>46042.660381944443</v>
      </c>
      <c r="I755" s="5">
        <v>46043.694571759261</v>
      </c>
      <c r="J755">
        <v>1</v>
      </c>
      <c r="K755" t="s">
        <v>25</v>
      </c>
      <c r="L755" t="s">
        <v>30</v>
      </c>
    </row>
    <row r="756" spans="1:12" x14ac:dyDescent="0.25">
      <c r="A756" t="s">
        <v>2607</v>
      </c>
      <c r="B756">
        <v>11217</v>
      </c>
      <c r="C756" s="3">
        <v>74</v>
      </c>
      <c r="D756" t="s">
        <v>32</v>
      </c>
      <c r="E756" t="s">
        <v>754</v>
      </c>
      <c r="F756" t="s">
        <v>3090</v>
      </c>
      <c r="G756" t="s">
        <v>394</v>
      </c>
      <c r="H756" s="5">
        <v>46042.779467592591</v>
      </c>
      <c r="I756" s="5">
        <v>46044.677604166667</v>
      </c>
      <c r="J756">
        <v>1</v>
      </c>
      <c r="K756" t="s">
        <v>25</v>
      </c>
      <c r="L756" t="s">
        <v>30</v>
      </c>
    </row>
    <row r="757" spans="1:12" x14ac:dyDescent="0.25">
      <c r="A757" t="s">
        <v>2610</v>
      </c>
      <c r="B757">
        <v>129072</v>
      </c>
      <c r="C757" s="3" t="s">
        <v>3088</v>
      </c>
      <c r="D757" t="s">
        <v>19</v>
      </c>
      <c r="E757" t="s">
        <v>3073</v>
      </c>
      <c r="F757" t="s">
        <v>3072</v>
      </c>
      <c r="G757" t="s">
        <v>22</v>
      </c>
      <c r="H757" s="5">
        <v>46042.780694444446</v>
      </c>
      <c r="I757" s="5">
        <v>46044.610682870371</v>
      </c>
      <c r="J757">
        <v>1</v>
      </c>
      <c r="K757" t="s">
        <v>397</v>
      </c>
      <c r="L757" t="s">
        <v>30</v>
      </c>
    </row>
    <row r="758" spans="1:12" x14ac:dyDescent="0.25">
      <c r="A758" t="s">
        <v>2613</v>
      </c>
      <c r="B758">
        <v>129078</v>
      </c>
      <c r="C758" s="3">
        <v>19</v>
      </c>
      <c r="D758" t="s">
        <v>19</v>
      </c>
      <c r="E758" t="s">
        <v>260</v>
      </c>
      <c r="F758" t="s">
        <v>3086</v>
      </c>
      <c r="G758" t="s">
        <v>22</v>
      </c>
      <c r="H758" s="5">
        <v>46042.992777777778</v>
      </c>
      <c r="I758" s="5">
        <v>46044.444513888891</v>
      </c>
      <c r="J758">
        <v>1</v>
      </c>
      <c r="K758" t="s">
        <v>25</v>
      </c>
      <c r="L758" t="s">
        <v>30</v>
      </c>
    </row>
    <row r="759" spans="1:12" x14ac:dyDescent="0.25">
      <c r="A759" t="s">
        <v>2616</v>
      </c>
      <c r="B759">
        <v>38226</v>
      </c>
      <c r="C759" s="3">
        <v>34</v>
      </c>
      <c r="D759" t="s">
        <v>32</v>
      </c>
      <c r="E759" t="s">
        <v>227</v>
      </c>
      <c r="F759" t="s">
        <v>3074</v>
      </c>
      <c r="G759" t="s">
        <v>394</v>
      </c>
      <c r="H759" s="5">
        <v>46043.426828703705</v>
      </c>
      <c r="I759" s="5">
        <v>46044.508900462963</v>
      </c>
      <c r="J759">
        <v>1</v>
      </c>
      <c r="K759" t="s">
        <v>25</v>
      </c>
      <c r="L759" t="s">
        <v>30</v>
      </c>
    </row>
    <row r="760" spans="1:12" x14ac:dyDescent="0.25">
      <c r="A760" t="s">
        <v>2619</v>
      </c>
      <c r="B760">
        <v>35863</v>
      </c>
      <c r="C760" s="3">
        <v>69</v>
      </c>
      <c r="D760" t="s">
        <v>32</v>
      </c>
      <c r="E760" t="s">
        <v>227</v>
      </c>
      <c r="F760" t="s">
        <v>763</v>
      </c>
      <c r="G760" t="s">
        <v>394</v>
      </c>
      <c r="H760" s="5">
        <v>46043.502962962964</v>
      </c>
      <c r="I760" s="5">
        <v>46045.415925925925</v>
      </c>
      <c r="J760">
        <v>1</v>
      </c>
      <c r="K760" t="s">
        <v>397</v>
      </c>
      <c r="L760" t="s">
        <v>30</v>
      </c>
    </row>
    <row r="761" spans="1:12" x14ac:dyDescent="0.25">
      <c r="A761" t="s">
        <v>2622</v>
      </c>
      <c r="B761">
        <v>105636</v>
      </c>
      <c r="C761" s="3">
        <v>66</v>
      </c>
      <c r="D761" t="s">
        <v>19</v>
      </c>
      <c r="E761" t="s">
        <v>3073</v>
      </c>
      <c r="F761" t="s">
        <v>3086</v>
      </c>
      <c r="G761" t="s">
        <v>394</v>
      </c>
      <c r="H761" s="5">
        <v>46043.544791666667</v>
      </c>
      <c r="I761" s="5">
        <v>46045.528090277781</v>
      </c>
      <c r="J761">
        <v>1</v>
      </c>
      <c r="K761" t="s">
        <v>25</v>
      </c>
      <c r="L761" t="s">
        <v>30</v>
      </c>
    </row>
    <row r="762" spans="1:12" x14ac:dyDescent="0.25">
      <c r="A762" t="s">
        <v>2625</v>
      </c>
      <c r="B762">
        <v>117084</v>
      </c>
      <c r="C762" s="3">
        <v>70</v>
      </c>
      <c r="D762" t="s">
        <v>19</v>
      </c>
      <c r="E762" t="s">
        <v>3073</v>
      </c>
      <c r="F762" t="s">
        <v>3086</v>
      </c>
      <c r="G762" t="s">
        <v>394</v>
      </c>
      <c r="H762" s="5">
        <v>46043.721284722225</v>
      </c>
      <c r="I762" s="5">
        <v>46045.527037037034</v>
      </c>
      <c r="J762">
        <v>1</v>
      </c>
      <c r="K762" t="s">
        <v>25</v>
      </c>
      <c r="L762" t="s">
        <v>30</v>
      </c>
    </row>
    <row r="763" spans="1:12" x14ac:dyDescent="0.25">
      <c r="A763" t="s">
        <v>2628</v>
      </c>
      <c r="B763">
        <v>52175</v>
      </c>
      <c r="C763" s="3">
        <v>66</v>
      </c>
      <c r="D763" t="s">
        <v>32</v>
      </c>
      <c r="E763" t="s">
        <v>227</v>
      </c>
      <c r="F763" t="s">
        <v>3090</v>
      </c>
      <c r="G763" t="s">
        <v>394</v>
      </c>
      <c r="H763" s="5">
        <v>46043.7734375</v>
      </c>
      <c r="I763" s="5">
        <v>46045.448912037034</v>
      </c>
      <c r="J763">
        <v>1</v>
      </c>
      <c r="K763" t="s">
        <v>25</v>
      </c>
      <c r="L763" t="s">
        <v>30</v>
      </c>
    </row>
    <row r="764" spans="1:12" x14ac:dyDescent="0.25">
      <c r="A764" t="s">
        <v>2631</v>
      </c>
      <c r="B764">
        <v>129188</v>
      </c>
      <c r="C764" s="3" t="s">
        <v>3088</v>
      </c>
      <c r="D764" t="s">
        <v>19</v>
      </c>
      <c r="E764" t="s">
        <v>260</v>
      </c>
      <c r="F764" t="s">
        <v>3072</v>
      </c>
      <c r="G764" t="s">
        <v>22</v>
      </c>
      <c r="H764" s="5">
        <v>46044.000428240739</v>
      </c>
      <c r="I764" s="5">
        <v>46045.723101851851</v>
      </c>
      <c r="J764">
        <v>1</v>
      </c>
      <c r="K764" t="s">
        <v>25</v>
      </c>
      <c r="L764" t="s">
        <v>30</v>
      </c>
    </row>
    <row r="765" spans="1:12" x14ac:dyDescent="0.25">
      <c r="A765" t="s">
        <v>914</v>
      </c>
      <c r="B765">
        <v>6603</v>
      </c>
      <c r="C765" s="3">
        <v>61</v>
      </c>
      <c r="D765" t="s">
        <v>32</v>
      </c>
      <c r="E765" t="s">
        <v>3073</v>
      </c>
      <c r="F765" t="s">
        <v>3091</v>
      </c>
      <c r="G765" t="s">
        <v>394</v>
      </c>
      <c r="H765" s="5">
        <v>46044.019895833335</v>
      </c>
      <c r="I765" s="5">
        <v>46045.393275462964</v>
      </c>
      <c r="J765">
        <v>1</v>
      </c>
      <c r="K765" t="s">
        <v>397</v>
      </c>
      <c r="L765" t="s">
        <v>30</v>
      </c>
    </row>
    <row r="766" spans="1:12" x14ac:dyDescent="0.25">
      <c r="A766" t="s">
        <v>2636</v>
      </c>
      <c r="B766">
        <v>129191</v>
      </c>
      <c r="C766" s="3">
        <v>12</v>
      </c>
      <c r="D766" t="s">
        <v>32</v>
      </c>
      <c r="E766" t="s">
        <v>3073</v>
      </c>
      <c r="F766" t="s">
        <v>3076</v>
      </c>
      <c r="G766" t="s">
        <v>22</v>
      </c>
      <c r="H766" s="5">
        <v>46044.047094907408</v>
      </c>
      <c r="I766" s="5">
        <v>46045.628379629627</v>
      </c>
      <c r="J766">
        <v>1</v>
      </c>
      <c r="K766" t="s">
        <v>25</v>
      </c>
      <c r="L766" t="s">
        <v>30</v>
      </c>
    </row>
    <row r="767" spans="1:12" x14ac:dyDescent="0.25">
      <c r="A767" t="s">
        <v>2639</v>
      </c>
      <c r="B767">
        <v>129225</v>
      </c>
      <c r="C767" s="3">
        <v>65</v>
      </c>
      <c r="D767" t="s">
        <v>32</v>
      </c>
      <c r="E767" t="s">
        <v>2589</v>
      </c>
      <c r="F767" t="s">
        <v>3077</v>
      </c>
      <c r="G767" t="s">
        <v>394</v>
      </c>
      <c r="H767" s="5">
        <v>46044.452268518522</v>
      </c>
      <c r="I767" s="5">
        <v>46045.629351851851</v>
      </c>
      <c r="J767">
        <v>1</v>
      </c>
      <c r="K767" t="s">
        <v>25</v>
      </c>
      <c r="L767" t="s">
        <v>30</v>
      </c>
    </row>
    <row r="768" spans="1:12" x14ac:dyDescent="0.25">
      <c r="A768" t="s">
        <v>2642</v>
      </c>
      <c r="B768">
        <v>46046</v>
      </c>
      <c r="C768" s="3">
        <v>39</v>
      </c>
      <c r="D768" t="s">
        <v>32</v>
      </c>
      <c r="E768" t="s">
        <v>62</v>
      </c>
      <c r="F768" t="s">
        <v>3074</v>
      </c>
      <c r="G768" t="s">
        <v>394</v>
      </c>
      <c r="H768" s="5">
        <v>46044.460509259261</v>
      </c>
      <c r="I768" s="5">
        <v>46045.624918981484</v>
      </c>
      <c r="J768">
        <v>1</v>
      </c>
      <c r="K768" t="s">
        <v>25</v>
      </c>
      <c r="L768" t="s">
        <v>30</v>
      </c>
    </row>
    <row r="769" spans="1:12" x14ac:dyDescent="0.25">
      <c r="A769" t="s">
        <v>2645</v>
      </c>
      <c r="B769">
        <v>129232</v>
      </c>
      <c r="C769" s="3">
        <v>61</v>
      </c>
      <c r="D769" t="s">
        <v>32</v>
      </c>
      <c r="E769" t="s">
        <v>3073</v>
      </c>
      <c r="F769" t="s">
        <v>3091</v>
      </c>
      <c r="G769" t="s">
        <v>22</v>
      </c>
      <c r="H769" s="5">
        <v>46044.593865740739</v>
      </c>
      <c r="I769" s="5">
        <v>46046.48945601852</v>
      </c>
      <c r="J769">
        <v>1</v>
      </c>
      <c r="K769" t="s">
        <v>25</v>
      </c>
      <c r="L769" t="s">
        <v>30</v>
      </c>
    </row>
    <row r="770" spans="1:12" x14ac:dyDescent="0.25">
      <c r="A770" t="s">
        <v>2648</v>
      </c>
      <c r="B770">
        <v>52635</v>
      </c>
      <c r="C770" s="3">
        <v>47</v>
      </c>
      <c r="D770" t="s">
        <v>32</v>
      </c>
      <c r="E770" t="s">
        <v>227</v>
      </c>
      <c r="F770" t="s">
        <v>3091</v>
      </c>
      <c r="G770" t="s">
        <v>22</v>
      </c>
      <c r="H770" s="5">
        <v>46044.632835648146</v>
      </c>
      <c r="I770" s="5">
        <v>46046.628067129626</v>
      </c>
      <c r="J770">
        <v>1</v>
      </c>
      <c r="K770" t="s">
        <v>25</v>
      </c>
      <c r="L770" t="s">
        <v>30</v>
      </c>
    </row>
    <row r="771" spans="1:12" x14ac:dyDescent="0.25">
      <c r="A771" t="s">
        <v>2651</v>
      </c>
      <c r="B771">
        <v>129295</v>
      </c>
      <c r="C771" s="3" t="s">
        <v>3079</v>
      </c>
      <c r="D771" t="s">
        <v>32</v>
      </c>
      <c r="E771" t="s">
        <v>62</v>
      </c>
      <c r="F771" t="s">
        <v>3076</v>
      </c>
      <c r="G771" t="s">
        <v>22</v>
      </c>
      <c r="H771" s="5">
        <v>46044.734872685185</v>
      </c>
      <c r="I771" s="5">
        <v>46046.668622685182</v>
      </c>
      <c r="J771">
        <v>1</v>
      </c>
      <c r="K771" t="s">
        <v>112</v>
      </c>
      <c r="L771" t="s">
        <v>30</v>
      </c>
    </row>
    <row r="772" spans="1:12" x14ac:dyDescent="0.25">
      <c r="A772" t="s">
        <v>2654</v>
      </c>
      <c r="B772">
        <v>129293</v>
      </c>
      <c r="C772" s="3">
        <v>5</v>
      </c>
      <c r="D772" t="s">
        <v>32</v>
      </c>
      <c r="E772" t="s">
        <v>3073</v>
      </c>
      <c r="F772" t="s">
        <v>3076</v>
      </c>
      <c r="G772" t="s">
        <v>22</v>
      </c>
      <c r="H772" s="5">
        <v>46044.756030092591</v>
      </c>
      <c r="I772" s="5">
        <v>46046.734537037039</v>
      </c>
      <c r="J772">
        <v>1</v>
      </c>
      <c r="K772" t="s">
        <v>25</v>
      </c>
      <c r="L772" t="s">
        <v>30</v>
      </c>
    </row>
    <row r="773" spans="1:12" x14ac:dyDescent="0.25">
      <c r="A773" t="s">
        <v>2657</v>
      </c>
      <c r="B773">
        <v>129310</v>
      </c>
      <c r="C773" s="3" t="s">
        <v>3088</v>
      </c>
      <c r="D773" t="s">
        <v>32</v>
      </c>
      <c r="E773" t="s">
        <v>62</v>
      </c>
      <c r="F773" t="s">
        <v>3072</v>
      </c>
      <c r="G773" t="s">
        <v>22</v>
      </c>
      <c r="H773" s="5">
        <v>46044.855138888888</v>
      </c>
      <c r="I773" s="5">
        <v>46046.569525462961</v>
      </c>
      <c r="J773">
        <v>1</v>
      </c>
      <c r="K773" t="s">
        <v>112</v>
      </c>
      <c r="L773" t="s">
        <v>30</v>
      </c>
    </row>
    <row r="774" spans="1:12" x14ac:dyDescent="0.25">
      <c r="A774" t="s">
        <v>2660</v>
      </c>
      <c r="B774">
        <v>129305</v>
      </c>
      <c r="C774" s="3">
        <v>74</v>
      </c>
      <c r="D774" t="s">
        <v>19</v>
      </c>
      <c r="E774" t="s">
        <v>3073</v>
      </c>
      <c r="F774" t="s">
        <v>3086</v>
      </c>
      <c r="G774" t="s">
        <v>22</v>
      </c>
      <c r="H774" s="5">
        <v>46044.972673611112</v>
      </c>
      <c r="I774" s="5">
        <v>46046.582951388889</v>
      </c>
      <c r="J774">
        <v>1</v>
      </c>
      <c r="K774" t="s">
        <v>25</v>
      </c>
      <c r="L774" t="s">
        <v>30</v>
      </c>
    </row>
    <row r="775" spans="1:12" x14ac:dyDescent="0.25">
      <c r="A775" t="s">
        <v>2663</v>
      </c>
      <c r="B775">
        <v>90839</v>
      </c>
      <c r="C775" s="3">
        <v>1</v>
      </c>
      <c r="D775" t="s">
        <v>19</v>
      </c>
      <c r="E775" t="s">
        <v>3073</v>
      </c>
      <c r="F775" t="s">
        <v>3076</v>
      </c>
      <c r="G775" t="s">
        <v>394</v>
      </c>
      <c r="H775" s="5">
        <v>46045.281597222223</v>
      </c>
      <c r="I775" s="5">
        <v>46046.689432870371</v>
      </c>
      <c r="J775">
        <v>1</v>
      </c>
      <c r="K775" t="s">
        <v>112</v>
      </c>
      <c r="L775" t="s">
        <v>30</v>
      </c>
    </row>
    <row r="776" spans="1:12" x14ac:dyDescent="0.25">
      <c r="A776" t="s">
        <v>2666</v>
      </c>
      <c r="B776">
        <v>69294</v>
      </c>
      <c r="C776" s="3">
        <v>2</v>
      </c>
      <c r="D776" t="s">
        <v>32</v>
      </c>
      <c r="E776" t="s">
        <v>3073</v>
      </c>
      <c r="F776" t="s">
        <v>3076</v>
      </c>
      <c r="G776" t="s">
        <v>394</v>
      </c>
      <c r="H776" s="5">
        <v>46045.608969907407</v>
      </c>
      <c r="I776" s="5">
        <v>46047.522858796299</v>
      </c>
      <c r="J776">
        <v>1</v>
      </c>
      <c r="K776" t="s">
        <v>112</v>
      </c>
      <c r="L776" t="s">
        <v>30</v>
      </c>
    </row>
    <row r="777" spans="1:12" x14ac:dyDescent="0.25">
      <c r="A777" t="s">
        <v>2669</v>
      </c>
      <c r="B777">
        <v>74558</v>
      </c>
      <c r="C777" s="3">
        <v>2</v>
      </c>
      <c r="D777" t="s">
        <v>19</v>
      </c>
      <c r="E777" t="s">
        <v>227</v>
      </c>
      <c r="F777" t="s">
        <v>3076</v>
      </c>
      <c r="G777" t="s">
        <v>394</v>
      </c>
      <c r="H777" s="5">
        <v>46045.634525462963</v>
      </c>
      <c r="I777" s="5">
        <v>46047.507326388892</v>
      </c>
      <c r="J777">
        <v>1</v>
      </c>
      <c r="K777" t="s">
        <v>25</v>
      </c>
      <c r="L777" t="s">
        <v>30</v>
      </c>
    </row>
    <row r="778" spans="1:12" x14ac:dyDescent="0.25">
      <c r="A778" t="s">
        <v>2672</v>
      </c>
      <c r="B778">
        <v>129385</v>
      </c>
      <c r="C778" s="3">
        <v>2</v>
      </c>
      <c r="D778" t="s">
        <v>19</v>
      </c>
      <c r="E778" t="s">
        <v>3073</v>
      </c>
      <c r="F778" t="s">
        <v>3076</v>
      </c>
      <c r="G778" t="s">
        <v>22</v>
      </c>
      <c r="H778" s="5">
        <v>46045.649270833332</v>
      </c>
      <c r="I778" s="5">
        <v>46047.519166666665</v>
      </c>
      <c r="J778">
        <v>1</v>
      </c>
      <c r="K778" t="s">
        <v>25</v>
      </c>
      <c r="L778" t="s">
        <v>30</v>
      </c>
    </row>
    <row r="779" spans="1:12" x14ac:dyDescent="0.25">
      <c r="A779" t="s">
        <v>2675</v>
      </c>
      <c r="B779">
        <v>123958</v>
      </c>
      <c r="C779" s="3">
        <v>24</v>
      </c>
      <c r="D779" t="s">
        <v>32</v>
      </c>
      <c r="E779" t="s">
        <v>3073</v>
      </c>
      <c r="F779" t="s">
        <v>3074</v>
      </c>
      <c r="G779" t="s">
        <v>22</v>
      </c>
      <c r="H779" s="5">
        <v>46045.68854166667</v>
      </c>
      <c r="I779" s="5">
        <v>46047.560624999998</v>
      </c>
      <c r="J779">
        <v>1</v>
      </c>
      <c r="K779" t="s">
        <v>25</v>
      </c>
      <c r="L779" t="s">
        <v>30</v>
      </c>
    </row>
    <row r="780" spans="1:12" x14ac:dyDescent="0.25">
      <c r="A780" t="s">
        <v>2678</v>
      </c>
      <c r="B780">
        <v>129437</v>
      </c>
      <c r="C780" s="3">
        <v>22</v>
      </c>
      <c r="D780" t="s">
        <v>32</v>
      </c>
      <c r="E780" t="s">
        <v>260</v>
      </c>
      <c r="F780" t="s">
        <v>3074</v>
      </c>
      <c r="G780" t="s">
        <v>22</v>
      </c>
      <c r="H780" s="5">
        <v>46045.81454861111</v>
      </c>
      <c r="I780" s="5">
        <v>46047.638715277775</v>
      </c>
      <c r="J780">
        <v>1</v>
      </c>
      <c r="K780" t="s">
        <v>25</v>
      </c>
      <c r="L780" t="s">
        <v>30</v>
      </c>
    </row>
    <row r="781" spans="1:12" x14ac:dyDescent="0.25">
      <c r="A781" t="s">
        <v>2681</v>
      </c>
      <c r="B781">
        <v>123042</v>
      </c>
      <c r="C781" s="3">
        <v>25</v>
      </c>
      <c r="D781" t="s">
        <v>32</v>
      </c>
      <c r="E781" t="s">
        <v>62</v>
      </c>
      <c r="F781" t="s">
        <v>3077</v>
      </c>
      <c r="G781" t="s">
        <v>22</v>
      </c>
      <c r="H781" s="5">
        <v>46045.847650462965</v>
      </c>
      <c r="I781" s="5">
        <v>46047.550740740742</v>
      </c>
      <c r="J781">
        <v>1</v>
      </c>
      <c r="K781" t="s">
        <v>25</v>
      </c>
      <c r="L781" t="s">
        <v>30</v>
      </c>
    </row>
    <row r="782" spans="1:12" x14ac:dyDescent="0.25">
      <c r="A782" t="s">
        <v>2684</v>
      </c>
      <c r="B782">
        <v>39163</v>
      </c>
      <c r="C782" s="3">
        <v>40</v>
      </c>
      <c r="D782" t="s">
        <v>32</v>
      </c>
      <c r="E782" t="s">
        <v>227</v>
      </c>
      <c r="F782" t="s">
        <v>3074</v>
      </c>
      <c r="G782" t="s">
        <v>22</v>
      </c>
      <c r="H782" s="5">
        <v>46045.906770833331</v>
      </c>
      <c r="I782" s="5">
        <v>46047.550069444442</v>
      </c>
      <c r="J782">
        <v>1</v>
      </c>
      <c r="K782" t="s">
        <v>25</v>
      </c>
      <c r="L782" t="s">
        <v>30</v>
      </c>
    </row>
    <row r="783" spans="1:12" x14ac:dyDescent="0.25">
      <c r="A783" t="s">
        <v>2687</v>
      </c>
      <c r="B783">
        <v>129472</v>
      </c>
      <c r="C783" s="3">
        <v>14</v>
      </c>
      <c r="D783" t="s">
        <v>32</v>
      </c>
      <c r="E783" t="s">
        <v>20</v>
      </c>
      <c r="F783" t="s">
        <v>3077</v>
      </c>
      <c r="G783" t="s">
        <v>22</v>
      </c>
      <c r="H783" s="5">
        <v>46046.523229166669</v>
      </c>
      <c r="I783" s="5">
        <v>46047.546689814815</v>
      </c>
      <c r="J783">
        <v>1</v>
      </c>
      <c r="K783" t="s">
        <v>25</v>
      </c>
      <c r="L783" t="s">
        <v>30</v>
      </c>
    </row>
    <row r="784" spans="1:12" x14ac:dyDescent="0.25">
      <c r="A784" t="s">
        <v>2690</v>
      </c>
      <c r="B784">
        <v>129453</v>
      </c>
      <c r="C784" s="3">
        <v>63</v>
      </c>
      <c r="D784" t="s">
        <v>32</v>
      </c>
      <c r="E784" t="s">
        <v>20</v>
      </c>
      <c r="F784" t="s">
        <v>3091</v>
      </c>
      <c r="G784" t="s">
        <v>22</v>
      </c>
      <c r="H784" s="5">
        <v>46046.62296296296</v>
      </c>
      <c r="I784" s="5">
        <v>46047.637094907404</v>
      </c>
      <c r="J784">
        <v>1</v>
      </c>
      <c r="K784" t="s">
        <v>25</v>
      </c>
      <c r="L784" t="s">
        <v>30</v>
      </c>
    </row>
    <row r="785" spans="1:12" x14ac:dyDescent="0.25">
      <c r="A785" t="s">
        <v>2693</v>
      </c>
      <c r="B785">
        <v>129497</v>
      </c>
      <c r="C785" s="3">
        <v>32</v>
      </c>
      <c r="D785" t="s">
        <v>32</v>
      </c>
      <c r="E785" t="s">
        <v>3073</v>
      </c>
      <c r="F785" t="s">
        <v>3077</v>
      </c>
      <c r="G785" t="s">
        <v>22</v>
      </c>
      <c r="H785" s="5">
        <v>46046.911782407406</v>
      </c>
      <c r="I785" s="5">
        <v>46048.376967592594</v>
      </c>
      <c r="J785">
        <v>1</v>
      </c>
      <c r="K785" t="s">
        <v>25</v>
      </c>
      <c r="L785" t="s">
        <v>30</v>
      </c>
    </row>
    <row r="786" spans="1:12" x14ac:dyDescent="0.25">
      <c r="A786" t="s">
        <v>2696</v>
      </c>
      <c r="B786">
        <v>129109</v>
      </c>
      <c r="C786" s="3">
        <v>28</v>
      </c>
      <c r="D786" t="s">
        <v>32</v>
      </c>
      <c r="E786" t="s">
        <v>62</v>
      </c>
      <c r="F786" t="s">
        <v>3084</v>
      </c>
      <c r="G786" t="s">
        <v>216</v>
      </c>
      <c r="H786" s="5">
        <v>46046.972361111111</v>
      </c>
      <c r="I786" s="5">
        <v>46048.57849537037</v>
      </c>
      <c r="J786">
        <v>1</v>
      </c>
      <c r="K786" t="s">
        <v>25</v>
      </c>
      <c r="L786" t="s">
        <v>30</v>
      </c>
    </row>
    <row r="787" spans="1:12" x14ac:dyDescent="0.25">
      <c r="A787" t="s">
        <v>2699</v>
      </c>
      <c r="B787">
        <v>88227</v>
      </c>
      <c r="C787" s="3">
        <v>73</v>
      </c>
      <c r="D787" t="s">
        <v>19</v>
      </c>
      <c r="E787" t="s">
        <v>3073</v>
      </c>
      <c r="F787" t="s">
        <v>3090</v>
      </c>
      <c r="G787" t="s">
        <v>394</v>
      </c>
      <c r="H787" s="5">
        <v>46047.542708333334</v>
      </c>
      <c r="I787" s="5">
        <v>46048.611504629633</v>
      </c>
      <c r="J787">
        <v>1</v>
      </c>
      <c r="K787" t="s">
        <v>25</v>
      </c>
      <c r="L787" t="s">
        <v>30</v>
      </c>
    </row>
    <row r="788" spans="1:12" x14ac:dyDescent="0.25">
      <c r="A788" t="s">
        <v>2702</v>
      </c>
      <c r="B788">
        <v>129500</v>
      </c>
      <c r="C788" s="3" t="s">
        <v>3088</v>
      </c>
      <c r="D788" t="s">
        <v>19</v>
      </c>
      <c r="E788" t="s">
        <v>3073</v>
      </c>
      <c r="F788" t="s">
        <v>3072</v>
      </c>
      <c r="G788" t="s">
        <v>22</v>
      </c>
      <c r="H788" s="5">
        <v>46047.592222222222</v>
      </c>
      <c r="I788" s="5">
        <v>46048.623518518521</v>
      </c>
      <c r="J788">
        <v>1</v>
      </c>
      <c r="K788" t="s">
        <v>25</v>
      </c>
      <c r="L788" t="s">
        <v>30</v>
      </c>
    </row>
    <row r="789" spans="1:12" x14ac:dyDescent="0.25">
      <c r="A789" t="s">
        <v>2579</v>
      </c>
      <c r="B789">
        <v>39641</v>
      </c>
      <c r="C789" s="3">
        <v>8</v>
      </c>
      <c r="D789" t="s">
        <v>19</v>
      </c>
      <c r="E789" t="s">
        <v>227</v>
      </c>
      <c r="F789" t="s">
        <v>3076</v>
      </c>
      <c r="G789" t="s">
        <v>394</v>
      </c>
      <c r="H789" s="5">
        <v>46047.864710648151</v>
      </c>
      <c r="I789" s="5">
        <v>46049.689375000002</v>
      </c>
      <c r="J789">
        <v>1</v>
      </c>
      <c r="K789" t="s">
        <v>25</v>
      </c>
      <c r="L789" t="s">
        <v>30</v>
      </c>
    </row>
    <row r="790" spans="1:12" x14ac:dyDescent="0.25">
      <c r="A790" t="s">
        <v>2707</v>
      </c>
      <c r="B790">
        <v>129376</v>
      </c>
      <c r="C790" s="3">
        <v>81</v>
      </c>
      <c r="D790" t="s">
        <v>32</v>
      </c>
      <c r="E790" t="s">
        <v>20</v>
      </c>
      <c r="F790" t="s">
        <v>3091</v>
      </c>
      <c r="G790" t="s">
        <v>22</v>
      </c>
      <c r="H790" s="5">
        <v>46047.884606481479</v>
      </c>
      <c r="I790" s="5">
        <v>46049.59710648148</v>
      </c>
      <c r="J790">
        <v>1</v>
      </c>
      <c r="K790" t="s">
        <v>25</v>
      </c>
      <c r="L790" t="s">
        <v>30</v>
      </c>
    </row>
    <row r="791" spans="1:12" x14ac:dyDescent="0.25">
      <c r="A791" t="s">
        <v>2710</v>
      </c>
      <c r="B791">
        <v>129426</v>
      </c>
      <c r="C791" s="3">
        <v>31</v>
      </c>
      <c r="D791" t="s">
        <v>32</v>
      </c>
      <c r="E791" t="s">
        <v>3073</v>
      </c>
      <c r="F791" t="s">
        <v>3074</v>
      </c>
      <c r="G791" t="s">
        <v>22</v>
      </c>
      <c r="H791" s="5">
        <v>46047.893622685187</v>
      </c>
      <c r="I791" s="5">
        <v>46049.69189814815</v>
      </c>
      <c r="J791">
        <v>1</v>
      </c>
      <c r="K791" t="s">
        <v>25</v>
      </c>
      <c r="L791" t="s">
        <v>30</v>
      </c>
    </row>
    <row r="792" spans="1:12" x14ac:dyDescent="0.25">
      <c r="A792" t="s">
        <v>2713</v>
      </c>
      <c r="B792">
        <v>128237</v>
      </c>
      <c r="C792" s="3">
        <v>42</v>
      </c>
      <c r="D792" t="s">
        <v>32</v>
      </c>
      <c r="E792" t="s">
        <v>3073</v>
      </c>
      <c r="F792" t="s">
        <v>3091</v>
      </c>
      <c r="G792" t="s">
        <v>22</v>
      </c>
      <c r="H792" s="5">
        <v>46047.913460648146</v>
      </c>
      <c r="I792" s="5">
        <v>46049.528425925928</v>
      </c>
      <c r="J792">
        <v>1</v>
      </c>
      <c r="K792" t="s">
        <v>25</v>
      </c>
      <c r="L792" t="s">
        <v>30</v>
      </c>
    </row>
    <row r="793" spans="1:12" x14ac:dyDescent="0.25">
      <c r="A793" t="s">
        <v>2716</v>
      </c>
      <c r="B793">
        <v>129554</v>
      </c>
      <c r="C793" s="3">
        <v>1</v>
      </c>
      <c r="D793" t="s">
        <v>19</v>
      </c>
      <c r="E793" t="s">
        <v>3073</v>
      </c>
      <c r="F793" t="s">
        <v>3076</v>
      </c>
      <c r="G793" t="s">
        <v>22</v>
      </c>
      <c r="H793" s="5">
        <v>46047.926296296297</v>
      </c>
      <c r="I793" s="5">
        <v>46049.473136574074</v>
      </c>
      <c r="J793">
        <v>1</v>
      </c>
      <c r="K793" t="s">
        <v>211</v>
      </c>
      <c r="L793" t="s">
        <v>30</v>
      </c>
    </row>
    <row r="794" spans="1:12" x14ac:dyDescent="0.25">
      <c r="A794" t="s">
        <v>2719</v>
      </c>
      <c r="B794">
        <v>35956</v>
      </c>
      <c r="C794" s="3">
        <v>35</v>
      </c>
      <c r="D794" t="s">
        <v>32</v>
      </c>
      <c r="E794" t="s">
        <v>227</v>
      </c>
      <c r="F794" t="s">
        <v>3074</v>
      </c>
      <c r="G794" t="s">
        <v>394</v>
      </c>
      <c r="H794" s="5">
        <v>46048.272129629629</v>
      </c>
      <c r="I794" s="5">
        <v>46049.547094907408</v>
      </c>
      <c r="J794">
        <v>1</v>
      </c>
      <c r="K794" t="s">
        <v>25</v>
      </c>
      <c r="L794" t="s">
        <v>30</v>
      </c>
    </row>
    <row r="795" spans="1:12" x14ac:dyDescent="0.25">
      <c r="A795" t="s">
        <v>2722</v>
      </c>
      <c r="B795">
        <v>129350</v>
      </c>
      <c r="C795" s="3">
        <v>28</v>
      </c>
      <c r="D795" t="s">
        <v>32</v>
      </c>
      <c r="E795" t="s">
        <v>3073</v>
      </c>
      <c r="F795" t="s">
        <v>3074</v>
      </c>
      <c r="G795" t="s">
        <v>22</v>
      </c>
      <c r="H795" s="5">
        <v>46048.415532407409</v>
      </c>
      <c r="I795" s="5">
        <v>46049.729375000003</v>
      </c>
      <c r="J795">
        <v>1</v>
      </c>
      <c r="K795" t="s">
        <v>25</v>
      </c>
      <c r="L795" t="s">
        <v>30</v>
      </c>
    </row>
    <row r="796" spans="1:12" x14ac:dyDescent="0.25">
      <c r="A796" t="s">
        <v>2726</v>
      </c>
      <c r="B796">
        <v>121498</v>
      </c>
      <c r="C796" s="3">
        <v>80</v>
      </c>
      <c r="D796" t="s">
        <v>19</v>
      </c>
      <c r="E796" t="s">
        <v>3073</v>
      </c>
      <c r="F796" t="s">
        <v>3086</v>
      </c>
      <c r="G796" t="s">
        <v>22</v>
      </c>
      <c r="H796" s="5">
        <v>46048.621319444443</v>
      </c>
      <c r="I796" s="5">
        <v>46049.664004629631</v>
      </c>
      <c r="J796">
        <v>1</v>
      </c>
      <c r="K796" t="s">
        <v>25</v>
      </c>
      <c r="L796" t="s">
        <v>30</v>
      </c>
    </row>
    <row r="797" spans="1:12" x14ac:dyDescent="0.25">
      <c r="A797" t="s">
        <v>2729</v>
      </c>
      <c r="B797">
        <v>72615</v>
      </c>
      <c r="C797" s="3">
        <v>11</v>
      </c>
      <c r="D797" t="s">
        <v>32</v>
      </c>
      <c r="E797" t="s">
        <v>227</v>
      </c>
      <c r="F797" t="s">
        <v>3076</v>
      </c>
      <c r="G797" t="s">
        <v>22</v>
      </c>
      <c r="H797" s="5">
        <v>46048.657754629632</v>
      </c>
      <c r="I797" s="5">
        <v>46050.496365740742</v>
      </c>
      <c r="J797">
        <v>1</v>
      </c>
      <c r="K797" t="s">
        <v>397</v>
      </c>
      <c r="L797" t="s">
        <v>30</v>
      </c>
    </row>
    <row r="798" spans="1:12" x14ac:dyDescent="0.25">
      <c r="A798" t="s">
        <v>2733</v>
      </c>
      <c r="B798">
        <v>129644</v>
      </c>
      <c r="C798" s="3">
        <v>65</v>
      </c>
      <c r="D798" t="s">
        <v>19</v>
      </c>
      <c r="E798" t="s">
        <v>20</v>
      </c>
      <c r="F798" t="s">
        <v>3086</v>
      </c>
      <c r="G798" t="s">
        <v>22</v>
      </c>
      <c r="H798" s="5">
        <v>46048.73578703704</v>
      </c>
      <c r="I798" s="5">
        <v>46050.655081018522</v>
      </c>
      <c r="J798">
        <v>1</v>
      </c>
      <c r="K798" t="s">
        <v>25</v>
      </c>
      <c r="L798" t="s">
        <v>30</v>
      </c>
    </row>
    <row r="799" spans="1:12" x14ac:dyDescent="0.25">
      <c r="A799" t="s">
        <v>2736</v>
      </c>
      <c r="B799">
        <v>129628</v>
      </c>
      <c r="C799" s="3">
        <v>19</v>
      </c>
      <c r="D799" t="s">
        <v>32</v>
      </c>
      <c r="E799" t="s">
        <v>3073</v>
      </c>
      <c r="F799" t="s">
        <v>3091</v>
      </c>
      <c r="G799" t="s">
        <v>22</v>
      </c>
      <c r="H799" s="5">
        <v>46048.81827546296</v>
      </c>
      <c r="I799" s="5">
        <v>46050.545856481483</v>
      </c>
      <c r="J799">
        <v>1</v>
      </c>
      <c r="K799" t="s">
        <v>25</v>
      </c>
      <c r="L799" t="s">
        <v>30</v>
      </c>
    </row>
    <row r="800" spans="1:12" x14ac:dyDescent="0.25">
      <c r="A800" t="s">
        <v>2739</v>
      </c>
      <c r="B800">
        <v>129051</v>
      </c>
      <c r="C800" s="3">
        <v>16</v>
      </c>
      <c r="D800" t="s">
        <v>32</v>
      </c>
      <c r="E800" t="s">
        <v>3073</v>
      </c>
      <c r="F800" t="s">
        <v>3090</v>
      </c>
      <c r="G800" t="s">
        <v>394</v>
      </c>
      <c r="H800" s="5">
        <v>46048.876273148147</v>
      </c>
      <c r="I800" s="5">
        <v>46050.59516203704</v>
      </c>
      <c r="J800">
        <v>1</v>
      </c>
      <c r="K800" t="s">
        <v>25</v>
      </c>
      <c r="L800" t="s">
        <v>30</v>
      </c>
    </row>
    <row r="801" spans="1:12" x14ac:dyDescent="0.25">
      <c r="A801" t="s">
        <v>2743</v>
      </c>
      <c r="B801">
        <v>36613</v>
      </c>
      <c r="C801" s="3">
        <v>51</v>
      </c>
      <c r="D801" t="s">
        <v>32</v>
      </c>
      <c r="E801" t="s">
        <v>3073</v>
      </c>
      <c r="F801" t="s">
        <v>3090</v>
      </c>
      <c r="G801" t="s">
        <v>394</v>
      </c>
      <c r="H801" s="5">
        <v>46048.879108796296</v>
      </c>
      <c r="I801" s="5">
        <v>46050.599085648151</v>
      </c>
      <c r="J801">
        <v>1</v>
      </c>
      <c r="K801" t="s">
        <v>25</v>
      </c>
      <c r="L801" t="s">
        <v>30</v>
      </c>
    </row>
    <row r="802" spans="1:12" x14ac:dyDescent="0.25">
      <c r="A802" t="s">
        <v>2746</v>
      </c>
      <c r="B802">
        <v>129675</v>
      </c>
      <c r="C802" s="3">
        <v>43</v>
      </c>
      <c r="D802" t="s">
        <v>32</v>
      </c>
      <c r="E802" t="s">
        <v>260</v>
      </c>
      <c r="F802" t="s">
        <v>3077</v>
      </c>
      <c r="G802" t="s">
        <v>216</v>
      </c>
      <c r="H802" s="5">
        <v>46048.91574074074</v>
      </c>
      <c r="I802" s="5">
        <v>46050.522812499999</v>
      </c>
      <c r="J802">
        <v>1</v>
      </c>
      <c r="K802" t="s">
        <v>397</v>
      </c>
      <c r="L802" t="s">
        <v>30</v>
      </c>
    </row>
    <row r="803" spans="1:12" x14ac:dyDescent="0.25">
      <c r="A803" t="s">
        <v>2749</v>
      </c>
      <c r="B803">
        <v>129692</v>
      </c>
      <c r="C803" s="3">
        <v>35</v>
      </c>
      <c r="D803" t="s">
        <v>32</v>
      </c>
      <c r="E803" t="s">
        <v>20</v>
      </c>
      <c r="F803" t="s">
        <v>3074</v>
      </c>
      <c r="G803" t="s">
        <v>22</v>
      </c>
      <c r="H803" s="5">
        <v>46049.001805555556</v>
      </c>
      <c r="I803" s="5">
        <v>46050.567835648151</v>
      </c>
      <c r="J803">
        <v>1</v>
      </c>
      <c r="K803" t="s">
        <v>25</v>
      </c>
      <c r="L803" t="s">
        <v>30</v>
      </c>
    </row>
    <row r="804" spans="1:12" x14ac:dyDescent="0.25">
      <c r="A804" t="s">
        <v>2752</v>
      </c>
      <c r="B804">
        <v>129757</v>
      </c>
      <c r="C804" s="3">
        <v>24</v>
      </c>
      <c r="D804" t="s">
        <v>32</v>
      </c>
      <c r="E804" t="s">
        <v>3073</v>
      </c>
      <c r="F804" t="s">
        <v>3074</v>
      </c>
      <c r="G804" t="s">
        <v>22</v>
      </c>
      <c r="H804" s="5">
        <v>46049.464606481481</v>
      </c>
      <c r="I804" s="5">
        <v>46050.660138888888</v>
      </c>
      <c r="J804">
        <v>1</v>
      </c>
      <c r="K804" t="s">
        <v>25</v>
      </c>
      <c r="L804" t="s">
        <v>30</v>
      </c>
    </row>
    <row r="805" spans="1:12" x14ac:dyDescent="0.25">
      <c r="A805" t="s">
        <v>2755</v>
      </c>
      <c r="B805">
        <v>6438</v>
      </c>
      <c r="C805" s="3">
        <v>35</v>
      </c>
      <c r="D805" t="s">
        <v>32</v>
      </c>
      <c r="E805" t="s">
        <v>3073</v>
      </c>
      <c r="F805" t="s">
        <v>3077</v>
      </c>
      <c r="G805" t="s">
        <v>394</v>
      </c>
      <c r="H805" s="5">
        <v>46049.534942129627</v>
      </c>
      <c r="I805" s="5">
        <v>46051.375324074077</v>
      </c>
      <c r="J805">
        <v>1</v>
      </c>
      <c r="K805" t="s">
        <v>25</v>
      </c>
      <c r="L805" t="s">
        <v>30</v>
      </c>
    </row>
    <row r="806" spans="1:12" x14ac:dyDescent="0.25">
      <c r="A806" t="s">
        <v>2758</v>
      </c>
      <c r="B806">
        <v>129774</v>
      </c>
      <c r="C806" s="3">
        <v>60</v>
      </c>
      <c r="D806" t="s">
        <v>32</v>
      </c>
      <c r="E806" t="s">
        <v>3073</v>
      </c>
      <c r="F806" t="s">
        <v>3077</v>
      </c>
      <c r="G806" t="s">
        <v>22</v>
      </c>
      <c r="H806" s="5">
        <v>46049.666666666664</v>
      </c>
      <c r="I806" s="5">
        <v>46051.661261574074</v>
      </c>
      <c r="J806">
        <v>1</v>
      </c>
      <c r="K806" t="s">
        <v>112</v>
      </c>
      <c r="L806" t="s">
        <v>30</v>
      </c>
    </row>
    <row r="807" spans="1:12" x14ac:dyDescent="0.25">
      <c r="A807" t="s">
        <v>2761</v>
      </c>
      <c r="B807">
        <v>129797</v>
      </c>
      <c r="C807" s="3" t="s">
        <v>3092</v>
      </c>
      <c r="D807" t="s">
        <v>19</v>
      </c>
      <c r="E807" t="s">
        <v>3073</v>
      </c>
      <c r="F807" t="s">
        <v>3072</v>
      </c>
      <c r="G807" t="s">
        <v>22</v>
      </c>
      <c r="H807" s="5">
        <v>46049.705289351848</v>
      </c>
      <c r="I807" s="5">
        <v>46051.658518518518</v>
      </c>
      <c r="J807">
        <v>1</v>
      </c>
      <c r="K807" t="s">
        <v>25</v>
      </c>
      <c r="L807" t="s">
        <v>30</v>
      </c>
    </row>
    <row r="808" spans="1:12" x14ac:dyDescent="0.25">
      <c r="A808" t="s">
        <v>2764</v>
      </c>
      <c r="B808">
        <v>123083</v>
      </c>
      <c r="C808" s="3" t="s">
        <v>3093</v>
      </c>
      <c r="D808" t="s">
        <v>32</v>
      </c>
      <c r="E808" t="s">
        <v>260</v>
      </c>
      <c r="F808" t="s">
        <v>3076</v>
      </c>
      <c r="G808" t="s">
        <v>2766</v>
      </c>
      <c r="H808" s="5">
        <v>46049.798055555555</v>
      </c>
      <c r="I808" s="5">
        <v>46051.443101851852</v>
      </c>
      <c r="J808">
        <v>1</v>
      </c>
      <c r="K808" t="s">
        <v>25</v>
      </c>
      <c r="L808" t="s">
        <v>30</v>
      </c>
    </row>
    <row r="809" spans="1:12" x14ac:dyDescent="0.25">
      <c r="A809" t="s">
        <v>2769</v>
      </c>
      <c r="B809">
        <v>129822</v>
      </c>
      <c r="C809" s="3" t="s">
        <v>3092</v>
      </c>
      <c r="D809" t="s">
        <v>19</v>
      </c>
      <c r="E809" t="s">
        <v>3073</v>
      </c>
      <c r="F809" t="s">
        <v>3072</v>
      </c>
      <c r="G809" t="s">
        <v>22</v>
      </c>
      <c r="H809" s="5">
        <v>46050.365798611114</v>
      </c>
      <c r="I809" s="5">
        <v>46051.371574074074</v>
      </c>
      <c r="J809">
        <v>1</v>
      </c>
      <c r="K809" t="s">
        <v>211</v>
      </c>
      <c r="L809" t="s">
        <v>30</v>
      </c>
    </row>
    <row r="810" spans="1:12" x14ac:dyDescent="0.25">
      <c r="A810" t="s">
        <v>2772</v>
      </c>
      <c r="B810">
        <v>114771</v>
      </c>
      <c r="C810" s="3">
        <v>29</v>
      </c>
      <c r="D810" t="s">
        <v>32</v>
      </c>
      <c r="E810" t="s">
        <v>62</v>
      </c>
      <c r="F810" t="s">
        <v>3074</v>
      </c>
      <c r="G810" t="s">
        <v>22</v>
      </c>
      <c r="H810" s="5">
        <v>46050.645810185182</v>
      </c>
      <c r="I810" s="5">
        <v>46052.481099537035</v>
      </c>
      <c r="J810">
        <v>1</v>
      </c>
      <c r="K810" t="s">
        <v>25</v>
      </c>
      <c r="L810" t="s">
        <v>30</v>
      </c>
    </row>
    <row r="811" spans="1:12" x14ac:dyDescent="0.25">
      <c r="A811" t="s">
        <v>2775</v>
      </c>
      <c r="B811">
        <v>129848</v>
      </c>
      <c r="C811" s="3">
        <v>10</v>
      </c>
      <c r="D811" t="s">
        <v>32</v>
      </c>
      <c r="E811" t="s">
        <v>3073</v>
      </c>
      <c r="F811" t="s">
        <v>3076</v>
      </c>
      <c r="G811" t="s">
        <v>22</v>
      </c>
      <c r="H811" s="5">
        <v>46050.71130787037</v>
      </c>
      <c r="I811" s="5">
        <v>46052.637627314813</v>
      </c>
      <c r="J811">
        <v>1</v>
      </c>
      <c r="K811" t="s">
        <v>25</v>
      </c>
      <c r="L811" t="s">
        <v>30</v>
      </c>
    </row>
    <row r="812" spans="1:12" x14ac:dyDescent="0.25">
      <c r="A812" t="s">
        <v>2778</v>
      </c>
      <c r="B812">
        <v>129919</v>
      </c>
      <c r="C812" s="3">
        <v>70</v>
      </c>
      <c r="D812" t="s">
        <v>19</v>
      </c>
      <c r="E812" t="s">
        <v>3073</v>
      </c>
      <c r="F812" t="s">
        <v>3086</v>
      </c>
      <c r="G812" t="s">
        <v>22</v>
      </c>
      <c r="H812" s="5">
        <v>46050.76635416667</v>
      </c>
      <c r="I812" s="5">
        <v>46052.558275462965</v>
      </c>
      <c r="J812">
        <v>1</v>
      </c>
      <c r="K812" t="s">
        <v>25</v>
      </c>
      <c r="L812" t="s">
        <v>30</v>
      </c>
    </row>
    <row r="813" spans="1:12" x14ac:dyDescent="0.25">
      <c r="A813" t="s">
        <v>2781</v>
      </c>
      <c r="B813">
        <v>129935</v>
      </c>
      <c r="C813" s="3">
        <v>61</v>
      </c>
      <c r="D813" t="s">
        <v>19</v>
      </c>
      <c r="E813" t="s">
        <v>20</v>
      </c>
      <c r="F813" t="s">
        <v>3086</v>
      </c>
      <c r="G813" t="s">
        <v>22</v>
      </c>
      <c r="H813" s="5">
        <v>46051.030081018522</v>
      </c>
      <c r="I813" s="5">
        <v>46052.529988425929</v>
      </c>
      <c r="J813">
        <v>1</v>
      </c>
      <c r="K813" t="s">
        <v>25</v>
      </c>
      <c r="L813" t="s">
        <v>30</v>
      </c>
    </row>
    <row r="814" spans="1:12" x14ac:dyDescent="0.25">
      <c r="A814" t="s">
        <v>2784</v>
      </c>
      <c r="B814">
        <v>130056</v>
      </c>
      <c r="C814" s="3" t="s">
        <v>3092</v>
      </c>
      <c r="D814" t="s">
        <v>32</v>
      </c>
      <c r="E814" t="s">
        <v>260</v>
      </c>
      <c r="F814" t="s">
        <v>3072</v>
      </c>
      <c r="G814" t="s">
        <v>22</v>
      </c>
      <c r="H814" s="5">
        <v>46051.712071759262</v>
      </c>
      <c r="I814" s="5">
        <v>46053.674756944441</v>
      </c>
      <c r="J814">
        <v>1</v>
      </c>
      <c r="K814" t="s">
        <v>25</v>
      </c>
      <c r="L814" t="s">
        <v>30</v>
      </c>
    </row>
    <row r="815" spans="1:12" x14ac:dyDescent="0.25">
      <c r="A815" t="s">
        <v>2787</v>
      </c>
      <c r="B815">
        <v>130059</v>
      </c>
      <c r="C815" s="3">
        <v>1</v>
      </c>
      <c r="D815" t="s">
        <v>32</v>
      </c>
      <c r="E815" t="s">
        <v>3073</v>
      </c>
      <c r="F815" t="s">
        <v>3076</v>
      </c>
      <c r="G815" t="s">
        <v>22</v>
      </c>
      <c r="H815" s="5">
        <v>46051.815266203703</v>
      </c>
      <c r="I815" s="5">
        <v>46053.741620370369</v>
      </c>
      <c r="J815">
        <v>1</v>
      </c>
      <c r="K815" t="s">
        <v>112</v>
      </c>
      <c r="L815" t="s">
        <v>30</v>
      </c>
    </row>
    <row r="816" spans="1:12" x14ac:dyDescent="0.25">
      <c r="A816" t="s">
        <v>2790</v>
      </c>
      <c r="B816">
        <v>92684</v>
      </c>
      <c r="C816" s="3">
        <v>14</v>
      </c>
      <c r="D816" t="s">
        <v>32</v>
      </c>
      <c r="E816" t="s">
        <v>3073</v>
      </c>
      <c r="F816" t="s">
        <v>3090</v>
      </c>
      <c r="G816" t="s">
        <v>664</v>
      </c>
      <c r="H816" s="5">
        <v>46051.872465277775</v>
      </c>
      <c r="I816" s="5">
        <v>46053.653715277775</v>
      </c>
      <c r="J816">
        <v>1</v>
      </c>
      <c r="K816" t="s">
        <v>25</v>
      </c>
      <c r="L816" t="s">
        <v>30</v>
      </c>
    </row>
    <row r="817" spans="1:12" x14ac:dyDescent="0.25">
      <c r="A817" t="s">
        <v>2344</v>
      </c>
      <c r="B817">
        <v>126898</v>
      </c>
      <c r="C817" s="3">
        <v>24</v>
      </c>
      <c r="D817" t="s">
        <v>32</v>
      </c>
      <c r="E817" t="s">
        <v>3073</v>
      </c>
      <c r="F817" t="s">
        <v>3074</v>
      </c>
      <c r="G817" t="s">
        <v>22</v>
      </c>
      <c r="H817" s="5">
        <v>46022.576967592591</v>
      </c>
      <c r="I817" s="5">
        <v>46023.421747685185</v>
      </c>
      <c r="J817">
        <v>0</v>
      </c>
      <c r="K817" t="s">
        <v>25</v>
      </c>
      <c r="L817" t="s">
        <v>30</v>
      </c>
    </row>
    <row r="818" spans="1:12" x14ac:dyDescent="0.25">
      <c r="A818" t="s">
        <v>2795</v>
      </c>
      <c r="B818">
        <v>126941</v>
      </c>
      <c r="C818" s="3">
        <v>73</v>
      </c>
      <c r="D818" t="s">
        <v>32</v>
      </c>
      <c r="E818" t="s">
        <v>3073</v>
      </c>
      <c r="F818" t="s">
        <v>3091</v>
      </c>
      <c r="G818" t="s">
        <v>22</v>
      </c>
      <c r="H818" s="5">
        <v>46022.61383101852</v>
      </c>
      <c r="I818" s="5">
        <v>46023.543726851851</v>
      </c>
      <c r="J818">
        <v>0</v>
      </c>
      <c r="K818" t="s">
        <v>25</v>
      </c>
      <c r="L818" t="s">
        <v>30</v>
      </c>
    </row>
    <row r="819" spans="1:12" x14ac:dyDescent="0.25">
      <c r="A819" t="s">
        <v>2798</v>
      </c>
      <c r="B819">
        <v>92444</v>
      </c>
      <c r="C819" s="3">
        <v>14</v>
      </c>
      <c r="D819" t="s">
        <v>32</v>
      </c>
      <c r="E819" t="s">
        <v>62</v>
      </c>
      <c r="F819" t="s">
        <v>3090</v>
      </c>
      <c r="G819" t="s">
        <v>394</v>
      </c>
      <c r="H819" s="5">
        <v>46022.642951388887</v>
      </c>
      <c r="I819" s="5">
        <v>46023.612314814818</v>
      </c>
      <c r="J819">
        <v>0</v>
      </c>
      <c r="K819" t="s">
        <v>25</v>
      </c>
      <c r="L819" t="s">
        <v>30</v>
      </c>
    </row>
    <row r="820" spans="1:12" x14ac:dyDescent="0.25">
      <c r="A820" t="s">
        <v>2801</v>
      </c>
      <c r="B820">
        <v>126974</v>
      </c>
      <c r="C820" s="3">
        <v>35</v>
      </c>
      <c r="D820" t="s">
        <v>19</v>
      </c>
      <c r="E820" t="s">
        <v>3073</v>
      </c>
      <c r="F820" t="s">
        <v>3084</v>
      </c>
      <c r="G820" t="s">
        <v>22</v>
      </c>
      <c r="H820" s="5">
        <v>46023.127974537034</v>
      </c>
      <c r="I820" s="5">
        <v>46023.691030092596</v>
      </c>
      <c r="J820">
        <v>0</v>
      </c>
      <c r="K820" t="s">
        <v>397</v>
      </c>
      <c r="L820" t="s">
        <v>30</v>
      </c>
    </row>
    <row r="821" spans="1:12" x14ac:dyDescent="0.25">
      <c r="A821" t="s">
        <v>2804</v>
      </c>
      <c r="B821">
        <v>126982</v>
      </c>
      <c r="C821" s="3">
        <v>23</v>
      </c>
      <c r="D821" t="s">
        <v>32</v>
      </c>
      <c r="E821" t="s">
        <v>3073</v>
      </c>
      <c r="F821" t="s">
        <v>3074</v>
      </c>
      <c r="G821" t="s">
        <v>22</v>
      </c>
      <c r="H821" s="5">
        <v>46023.265462962961</v>
      </c>
      <c r="I821" s="5">
        <v>46023.730509259258</v>
      </c>
      <c r="J821">
        <v>0</v>
      </c>
      <c r="K821" t="s">
        <v>25</v>
      </c>
      <c r="L821" t="s">
        <v>30</v>
      </c>
    </row>
    <row r="822" spans="1:12" x14ac:dyDescent="0.25">
      <c r="A822" t="s">
        <v>2807</v>
      </c>
      <c r="B822">
        <v>121091</v>
      </c>
      <c r="C822" s="3">
        <v>29</v>
      </c>
      <c r="D822" t="s">
        <v>32</v>
      </c>
      <c r="E822" t="s">
        <v>3073</v>
      </c>
      <c r="F822" t="s">
        <v>3074</v>
      </c>
      <c r="G822" t="s">
        <v>22</v>
      </c>
      <c r="H822" s="5">
        <v>46023.485162037039</v>
      </c>
      <c r="I822" s="5">
        <v>46023.520590277774</v>
      </c>
      <c r="J822">
        <v>0</v>
      </c>
      <c r="K822" t="s">
        <v>25</v>
      </c>
      <c r="L822" t="s">
        <v>30</v>
      </c>
    </row>
    <row r="823" spans="1:12" x14ac:dyDescent="0.25">
      <c r="A823" t="s">
        <v>2810</v>
      </c>
      <c r="B823">
        <v>126921</v>
      </c>
      <c r="C823" s="3">
        <v>28</v>
      </c>
      <c r="D823" t="s">
        <v>32</v>
      </c>
      <c r="E823" t="s">
        <v>3073</v>
      </c>
      <c r="F823" t="s">
        <v>3074</v>
      </c>
      <c r="G823" t="s">
        <v>22</v>
      </c>
      <c r="H823" s="5">
        <v>46023.589004629626</v>
      </c>
      <c r="I823" s="5">
        <v>46024.512638888889</v>
      </c>
      <c r="J823">
        <v>0</v>
      </c>
      <c r="K823" t="s">
        <v>25</v>
      </c>
      <c r="L823" t="s">
        <v>30</v>
      </c>
    </row>
    <row r="824" spans="1:12" x14ac:dyDescent="0.25">
      <c r="A824" t="s">
        <v>2813</v>
      </c>
      <c r="B824">
        <v>86673</v>
      </c>
      <c r="C824" s="3">
        <v>29</v>
      </c>
      <c r="D824" t="s">
        <v>32</v>
      </c>
      <c r="E824" t="s">
        <v>3073</v>
      </c>
      <c r="F824" t="s">
        <v>3074</v>
      </c>
      <c r="G824" t="s">
        <v>394</v>
      </c>
      <c r="H824" s="5">
        <v>46023.63181712963</v>
      </c>
      <c r="I824" s="5">
        <v>46023.673217592594</v>
      </c>
      <c r="J824">
        <v>0</v>
      </c>
      <c r="K824" t="s">
        <v>25</v>
      </c>
      <c r="L824" t="s">
        <v>30</v>
      </c>
    </row>
    <row r="825" spans="1:12" x14ac:dyDescent="0.25">
      <c r="A825" t="s">
        <v>684</v>
      </c>
      <c r="B825">
        <v>126975</v>
      </c>
      <c r="C825" s="3">
        <v>37</v>
      </c>
      <c r="D825" t="s">
        <v>19</v>
      </c>
      <c r="E825" t="s">
        <v>3073</v>
      </c>
      <c r="F825" t="s">
        <v>3090</v>
      </c>
      <c r="G825" t="s">
        <v>394</v>
      </c>
      <c r="H825" s="5">
        <v>46023.820185185185</v>
      </c>
      <c r="I825" s="5">
        <v>46024.577905092592</v>
      </c>
      <c r="J825">
        <v>0</v>
      </c>
      <c r="K825" t="s">
        <v>25</v>
      </c>
      <c r="L825" t="s">
        <v>30</v>
      </c>
    </row>
    <row r="826" spans="1:12" x14ac:dyDescent="0.25">
      <c r="A826" t="s">
        <v>2818</v>
      </c>
      <c r="B826">
        <v>126888</v>
      </c>
      <c r="C826" s="3">
        <v>28</v>
      </c>
      <c r="D826" t="s">
        <v>32</v>
      </c>
      <c r="E826" t="s">
        <v>3073</v>
      </c>
      <c r="F826" t="s">
        <v>3074</v>
      </c>
      <c r="G826" t="s">
        <v>22</v>
      </c>
      <c r="H826" s="5">
        <v>46024.392384259256</v>
      </c>
      <c r="I826" s="5">
        <v>46024.735138888886</v>
      </c>
      <c r="J826">
        <v>0</v>
      </c>
      <c r="K826" t="s">
        <v>25</v>
      </c>
      <c r="L826" t="s">
        <v>30</v>
      </c>
    </row>
    <row r="827" spans="1:12" x14ac:dyDescent="0.25">
      <c r="A827" t="s">
        <v>2821</v>
      </c>
      <c r="B827">
        <v>23221</v>
      </c>
      <c r="C827" s="3">
        <v>57</v>
      </c>
      <c r="D827" t="s">
        <v>19</v>
      </c>
      <c r="E827" t="s">
        <v>62</v>
      </c>
      <c r="F827" t="s">
        <v>3090</v>
      </c>
      <c r="G827" t="s">
        <v>394</v>
      </c>
      <c r="H827" s="5">
        <v>46024.614849537036</v>
      </c>
      <c r="I827" s="5">
        <v>46025.543240740742</v>
      </c>
      <c r="J827">
        <v>0</v>
      </c>
      <c r="K827" t="s">
        <v>25</v>
      </c>
      <c r="L827" t="s">
        <v>30</v>
      </c>
    </row>
    <row r="828" spans="1:12" x14ac:dyDescent="0.25">
      <c r="A828" t="s">
        <v>2824</v>
      </c>
      <c r="B828">
        <v>22336</v>
      </c>
      <c r="C828" s="3">
        <v>37</v>
      </c>
      <c r="D828" t="s">
        <v>32</v>
      </c>
      <c r="E828" t="s">
        <v>227</v>
      </c>
      <c r="F828" t="s">
        <v>3074</v>
      </c>
      <c r="G828" t="s">
        <v>394</v>
      </c>
      <c r="H828" s="5">
        <v>46024.775567129633</v>
      </c>
      <c r="I828" s="5">
        <v>46025.519189814811</v>
      </c>
      <c r="J828">
        <v>0</v>
      </c>
      <c r="K828" t="s">
        <v>25</v>
      </c>
      <c r="L828" t="s">
        <v>30</v>
      </c>
    </row>
    <row r="829" spans="1:12" x14ac:dyDescent="0.25">
      <c r="A829" t="s">
        <v>2828</v>
      </c>
      <c r="B829">
        <v>127126</v>
      </c>
      <c r="C829" s="3">
        <v>17</v>
      </c>
      <c r="D829" t="s">
        <v>19</v>
      </c>
      <c r="E829" t="s">
        <v>3073</v>
      </c>
      <c r="F829" t="s">
        <v>3084</v>
      </c>
      <c r="G829" t="s">
        <v>22</v>
      </c>
      <c r="H829" s="5">
        <v>46024.889687499999</v>
      </c>
      <c r="I829" s="5">
        <v>46025.793692129628</v>
      </c>
      <c r="J829">
        <v>0</v>
      </c>
      <c r="K829" t="s">
        <v>25</v>
      </c>
      <c r="L829" t="s">
        <v>30</v>
      </c>
    </row>
    <row r="830" spans="1:12" x14ac:dyDescent="0.25">
      <c r="A830" t="s">
        <v>2831</v>
      </c>
      <c r="B830">
        <v>127135</v>
      </c>
      <c r="C830" s="3">
        <v>20</v>
      </c>
      <c r="D830" t="s">
        <v>32</v>
      </c>
      <c r="E830" t="s">
        <v>2589</v>
      </c>
      <c r="F830" t="s">
        <v>3091</v>
      </c>
      <c r="G830" t="s">
        <v>22</v>
      </c>
      <c r="H830" s="5">
        <v>46025.041574074072</v>
      </c>
      <c r="I830" s="5">
        <v>46025.621145833335</v>
      </c>
      <c r="J830">
        <v>0</v>
      </c>
      <c r="K830" t="s">
        <v>25</v>
      </c>
      <c r="L830" t="s">
        <v>30</v>
      </c>
    </row>
    <row r="831" spans="1:12" x14ac:dyDescent="0.25">
      <c r="A831" t="s">
        <v>2834</v>
      </c>
      <c r="B831">
        <v>127242</v>
      </c>
      <c r="C831" s="3">
        <v>29</v>
      </c>
      <c r="D831" t="s">
        <v>32</v>
      </c>
      <c r="E831" t="s">
        <v>3073</v>
      </c>
      <c r="F831" t="s">
        <v>3091</v>
      </c>
      <c r="G831" t="s">
        <v>394</v>
      </c>
      <c r="H831" s="5">
        <v>46026.834976851853</v>
      </c>
      <c r="I831" s="5">
        <v>46027.578969907408</v>
      </c>
      <c r="J831">
        <v>0</v>
      </c>
      <c r="K831" t="s">
        <v>25</v>
      </c>
      <c r="L831" t="s">
        <v>30</v>
      </c>
    </row>
    <row r="832" spans="1:12" x14ac:dyDescent="0.25">
      <c r="A832" t="s">
        <v>2837</v>
      </c>
      <c r="B832">
        <v>127212</v>
      </c>
      <c r="C832" s="3">
        <v>18</v>
      </c>
      <c r="D832" t="s">
        <v>32</v>
      </c>
      <c r="E832" t="s">
        <v>20</v>
      </c>
      <c r="F832" t="s">
        <v>3074</v>
      </c>
      <c r="G832" t="s">
        <v>22</v>
      </c>
      <c r="H832" s="5">
        <v>46026.869444444441</v>
      </c>
      <c r="I832" s="5">
        <v>46027.688726851855</v>
      </c>
      <c r="J832">
        <v>0</v>
      </c>
      <c r="K832" t="s">
        <v>25</v>
      </c>
      <c r="L832" t="s">
        <v>30</v>
      </c>
    </row>
    <row r="833" spans="1:12" x14ac:dyDescent="0.25">
      <c r="A833" t="s">
        <v>2840</v>
      </c>
      <c r="B833">
        <v>125397</v>
      </c>
      <c r="C833" s="3">
        <v>38</v>
      </c>
      <c r="D833" t="s">
        <v>19</v>
      </c>
      <c r="E833" t="s">
        <v>3073</v>
      </c>
      <c r="F833" t="s">
        <v>3090</v>
      </c>
      <c r="G833" t="s">
        <v>394</v>
      </c>
      <c r="H833" s="5">
        <v>46027.460694444446</v>
      </c>
      <c r="I833" s="5">
        <v>46028.454212962963</v>
      </c>
      <c r="J833">
        <v>0</v>
      </c>
      <c r="K833" t="s">
        <v>25</v>
      </c>
      <c r="L833" t="s">
        <v>30</v>
      </c>
    </row>
    <row r="834" spans="1:12" x14ac:dyDescent="0.25">
      <c r="A834" t="s">
        <v>2843</v>
      </c>
      <c r="B834">
        <v>127401</v>
      </c>
      <c r="C834" s="3" t="s">
        <v>3088</v>
      </c>
      <c r="D834" t="s">
        <v>19</v>
      </c>
      <c r="E834" t="s">
        <v>260</v>
      </c>
      <c r="F834" t="s">
        <v>3072</v>
      </c>
      <c r="G834" t="s">
        <v>22</v>
      </c>
      <c r="H834" s="5">
        <v>46027.682743055557</v>
      </c>
      <c r="I834" s="5">
        <v>46028.668564814812</v>
      </c>
      <c r="J834">
        <v>0</v>
      </c>
      <c r="K834" t="s">
        <v>211</v>
      </c>
      <c r="L834" t="s">
        <v>30</v>
      </c>
    </row>
    <row r="835" spans="1:12" x14ac:dyDescent="0.25">
      <c r="A835" t="s">
        <v>2846</v>
      </c>
      <c r="B835">
        <v>127251</v>
      </c>
      <c r="C835" s="3">
        <v>34</v>
      </c>
      <c r="D835" t="s">
        <v>32</v>
      </c>
      <c r="E835" t="s">
        <v>62</v>
      </c>
      <c r="F835" t="s">
        <v>3074</v>
      </c>
      <c r="G835" t="s">
        <v>22</v>
      </c>
      <c r="H835" s="5">
        <v>46027.69462962963</v>
      </c>
      <c r="I835" s="5">
        <v>46028.576944444445</v>
      </c>
      <c r="J835">
        <v>0</v>
      </c>
      <c r="K835" t="s">
        <v>25</v>
      </c>
      <c r="L835" t="s">
        <v>30</v>
      </c>
    </row>
    <row r="836" spans="1:12" x14ac:dyDescent="0.25">
      <c r="A836" t="s">
        <v>2849</v>
      </c>
      <c r="B836">
        <v>127405</v>
      </c>
      <c r="C836" s="3">
        <v>65</v>
      </c>
      <c r="D836" t="s">
        <v>19</v>
      </c>
      <c r="E836" t="s">
        <v>62</v>
      </c>
      <c r="F836" t="s">
        <v>3086</v>
      </c>
      <c r="G836" t="s">
        <v>22</v>
      </c>
      <c r="H836" s="5">
        <v>46027.799641203703</v>
      </c>
      <c r="I836" s="5">
        <v>46028.499664351853</v>
      </c>
      <c r="J836">
        <v>0</v>
      </c>
      <c r="K836" t="s">
        <v>211</v>
      </c>
      <c r="L836" t="s">
        <v>30</v>
      </c>
    </row>
    <row r="837" spans="1:12" x14ac:dyDescent="0.25">
      <c r="A837" t="s">
        <v>2852</v>
      </c>
      <c r="B837">
        <v>127417</v>
      </c>
      <c r="C837" s="3">
        <v>28</v>
      </c>
      <c r="D837" t="s">
        <v>19</v>
      </c>
      <c r="E837" t="s">
        <v>260</v>
      </c>
      <c r="F837" t="s">
        <v>3085</v>
      </c>
      <c r="G837" t="s">
        <v>22</v>
      </c>
      <c r="H837" s="5">
        <v>46027.80232638889</v>
      </c>
      <c r="I837" s="5">
        <v>46028.680208333331</v>
      </c>
      <c r="J837">
        <v>0</v>
      </c>
      <c r="K837" t="s">
        <v>25</v>
      </c>
      <c r="L837" t="s">
        <v>30</v>
      </c>
    </row>
    <row r="838" spans="1:12" x14ac:dyDescent="0.25">
      <c r="A838" t="s">
        <v>2855</v>
      </c>
      <c r="B838">
        <v>127422</v>
      </c>
      <c r="C838" s="3">
        <v>66</v>
      </c>
      <c r="D838" t="s">
        <v>32</v>
      </c>
      <c r="E838" t="s">
        <v>62</v>
      </c>
      <c r="F838" t="s">
        <v>3091</v>
      </c>
      <c r="G838" t="s">
        <v>22</v>
      </c>
      <c r="H838" s="5">
        <v>46027.903275462966</v>
      </c>
      <c r="I838" s="5">
        <v>46028.6953587963</v>
      </c>
      <c r="J838">
        <v>0</v>
      </c>
      <c r="K838" t="s">
        <v>211</v>
      </c>
      <c r="L838" t="s">
        <v>30</v>
      </c>
    </row>
    <row r="839" spans="1:12" x14ac:dyDescent="0.25">
      <c r="A839" t="s">
        <v>2858</v>
      </c>
      <c r="B839">
        <v>127255</v>
      </c>
      <c r="C839" s="3">
        <v>35</v>
      </c>
      <c r="D839" t="s">
        <v>32</v>
      </c>
      <c r="E839" t="s">
        <v>3073</v>
      </c>
      <c r="F839" t="s">
        <v>3077</v>
      </c>
      <c r="G839" t="s">
        <v>394</v>
      </c>
      <c r="H839" s="5">
        <v>46028.543009259258</v>
      </c>
      <c r="I839" s="5">
        <v>46028.550752314812</v>
      </c>
      <c r="J839">
        <v>0</v>
      </c>
      <c r="K839" t="s">
        <v>25</v>
      </c>
      <c r="L839" t="s">
        <v>30</v>
      </c>
    </row>
    <row r="840" spans="1:12" x14ac:dyDescent="0.25">
      <c r="A840" t="s">
        <v>2861</v>
      </c>
      <c r="B840">
        <v>127572</v>
      </c>
      <c r="C840" s="3">
        <v>22</v>
      </c>
      <c r="D840" t="s">
        <v>19</v>
      </c>
      <c r="E840" t="s">
        <v>62</v>
      </c>
      <c r="F840" t="s">
        <v>3085</v>
      </c>
      <c r="G840" t="s">
        <v>22</v>
      </c>
      <c r="H840" s="5">
        <v>46029.164502314816</v>
      </c>
      <c r="I840" s="5">
        <v>46029.702118055553</v>
      </c>
      <c r="J840">
        <v>0</v>
      </c>
      <c r="K840" t="s">
        <v>112</v>
      </c>
      <c r="L840" t="s">
        <v>30</v>
      </c>
    </row>
    <row r="841" spans="1:12" x14ac:dyDescent="0.25">
      <c r="A841" t="s">
        <v>2864</v>
      </c>
      <c r="B841">
        <v>127592</v>
      </c>
      <c r="C841" s="3">
        <v>31</v>
      </c>
      <c r="D841" t="s">
        <v>32</v>
      </c>
      <c r="E841" t="s">
        <v>3073</v>
      </c>
      <c r="F841" t="s">
        <v>3074</v>
      </c>
      <c r="G841" t="s">
        <v>22</v>
      </c>
      <c r="H841" s="5">
        <v>46029.715763888889</v>
      </c>
      <c r="I841" s="5">
        <v>46030.667326388888</v>
      </c>
      <c r="J841">
        <v>0</v>
      </c>
      <c r="K841" t="s">
        <v>25</v>
      </c>
      <c r="L841" t="s">
        <v>30</v>
      </c>
    </row>
    <row r="842" spans="1:12" x14ac:dyDescent="0.25">
      <c r="A842" t="s">
        <v>2867</v>
      </c>
      <c r="B842">
        <v>127801</v>
      </c>
      <c r="C842" s="3">
        <v>36</v>
      </c>
      <c r="D842" t="s">
        <v>32</v>
      </c>
      <c r="E842" t="s">
        <v>3073</v>
      </c>
      <c r="F842" t="s">
        <v>3074</v>
      </c>
      <c r="G842" t="s">
        <v>394</v>
      </c>
      <c r="H842" s="5">
        <v>46030.941435185188</v>
      </c>
      <c r="I842" s="5">
        <v>46031.730694444443</v>
      </c>
      <c r="J842">
        <v>0</v>
      </c>
      <c r="K842" t="s">
        <v>25</v>
      </c>
      <c r="L842" t="s">
        <v>30</v>
      </c>
    </row>
    <row r="843" spans="1:12" x14ac:dyDescent="0.25">
      <c r="A843" t="s">
        <v>2870</v>
      </c>
      <c r="B843">
        <v>127806</v>
      </c>
      <c r="C843" s="3">
        <v>40</v>
      </c>
      <c r="D843" t="s">
        <v>19</v>
      </c>
      <c r="E843" t="s">
        <v>3073</v>
      </c>
      <c r="F843" t="s">
        <v>3085</v>
      </c>
      <c r="G843" t="s">
        <v>22</v>
      </c>
      <c r="H843" s="5">
        <v>46031.194212962961</v>
      </c>
      <c r="I843" s="5">
        <v>46031.64571759259</v>
      </c>
      <c r="J843">
        <v>0</v>
      </c>
      <c r="K843" t="s">
        <v>25</v>
      </c>
      <c r="L843" t="s">
        <v>30</v>
      </c>
    </row>
    <row r="844" spans="1:12" x14ac:dyDescent="0.25">
      <c r="A844" t="s">
        <v>2873</v>
      </c>
      <c r="B844">
        <v>49123</v>
      </c>
      <c r="C844" s="3">
        <v>30</v>
      </c>
      <c r="D844" t="s">
        <v>32</v>
      </c>
      <c r="E844" t="s">
        <v>227</v>
      </c>
      <c r="F844" t="s">
        <v>3074</v>
      </c>
      <c r="G844" t="s">
        <v>22</v>
      </c>
      <c r="H844" s="5">
        <v>46031.700462962966</v>
      </c>
      <c r="I844" s="5">
        <v>46031.75613425926</v>
      </c>
      <c r="J844">
        <v>0</v>
      </c>
      <c r="K844" t="s">
        <v>25</v>
      </c>
      <c r="L844" t="s">
        <v>30</v>
      </c>
    </row>
    <row r="845" spans="1:12" x14ac:dyDescent="0.25">
      <c r="A845" t="s">
        <v>2876</v>
      </c>
      <c r="B845">
        <v>127896</v>
      </c>
      <c r="C845" s="3">
        <v>20</v>
      </c>
      <c r="D845" t="s">
        <v>32</v>
      </c>
      <c r="E845" t="s">
        <v>62</v>
      </c>
      <c r="F845" t="s">
        <v>3074</v>
      </c>
      <c r="G845" t="s">
        <v>22</v>
      </c>
      <c r="H845" s="5">
        <v>46031.817372685182</v>
      </c>
      <c r="I845" s="5">
        <v>46032.658182870371</v>
      </c>
      <c r="J845">
        <v>0</v>
      </c>
      <c r="K845" t="s">
        <v>25</v>
      </c>
      <c r="L845" t="s">
        <v>30</v>
      </c>
    </row>
    <row r="846" spans="1:12" x14ac:dyDescent="0.25">
      <c r="A846" t="s">
        <v>2879</v>
      </c>
      <c r="B846">
        <v>27514</v>
      </c>
      <c r="C846" s="3">
        <v>28</v>
      </c>
      <c r="D846" t="s">
        <v>32</v>
      </c>
      <c r="E846" t="s">
        <v>3073</v>
      </c>
      <c r="F846" t="s">
        <v>3074</v>
      </c>
      <c r="G846" t="s">
        <v>394</v>
      </c>
      <c r="H846" s="5">
        <v>46033.654942129629</v>
      </c>
      <c r="I846" s="5">
        <v>46033.661238425928</v>
      </c>
      <c r="J846">
        <v>0</v>
      </c>
      <c r="K846" t="s">
        <v>25</v>
      </c>
      <c r="L846" t="s">
        <v>30</v>
      </c>
    </row>
    <row r="847" spans="1:12" x14ac:dyDescent="0.25">
      <c r="A847" t="s">
        <v>2882</v>
      </c>
      <c r="B847">
        <v>24020</v>
      </c>
      <c r="C847" s="3">
        <v>36</v>
      </c>
      <c r="D847" t="s">
        <v>32</v>
      </c>
      <c r="E847" t="s">
        <v>227</v>
      </c>
      <c r="F847" t="s">
        <v>3074</v>
      </c>
      <c r="G847" t="s">
        <v>394</v>
      </c>
      <c r="H847" s="5">
        <v>46034.559016203704</v>
      </c>
      <c r="I847" s="5">
        <v>46034.599861111114</v>
      </c>
      <c r="J847">
        <v>0</v>
      </c>
      <c r="K847" t="s">
        <v>25</v>
      </c>
      <c r="L847" t="s">
        <v>30</v>
      </c>
    </row>
    <row r="848" spans="1:12" x14ac:dyDescent="0.25">
      <c r="A848" t="s">
        <v>2885</v>
      </c>
      <c r="B848">
        <v>56128</v>
      </c>
      <c r="C848" s="3">
        <v>43</v>
      </c>
      <c r="D848" t="s">
        <v>32</v>
      </c>
      <c r="E848" t="s">
        <v>227</v>
      </c>
      <c r="F848" t="s">
        <v>3091</v>
      </c>
      <c r="G848" t="s">
        <v>22</v>
      </c>
      <c r="H848" s="5">
        <v>46034.713483796295</v>
      </c>
      <c r="I848" s="5">
        <v>46035.638796296298</v>
      </c>
      <c r="J848">
        <v>0</v>
      </c>
      <c r="K848" t="s">
        <v>25</v>
      </c>
      <c r="L848" t="s">
        <v>30</v>
      </c>
    </row>
    <row r="849" spans="1:12" x14ac:dyDescent="0.25">
      <c r="A849" t="s">
        <v>2889</v>
      </c>
      <c r="B849">
        <v>69691</v>
      </c>
      <c r="C849" s="3">
        <v>23</v>
      </c>
      <c r="D849" t="s">
        <v>32</v>
      </c>
      <c r="E849" t="s">
        <v>227</v>
      </c>
      <c r="F849" t="s">
        <v>3074</v>
      </c>
      <c r="G849" t="s">
        <v>22</v>
      </c>
      <c r="H849" s="5">
        <v>46034.852511574078</v>
      </c>
      <c r="I849" s="5">
        <v>46035.680775462963</v>
      </c>
      <c r="J849">
        <v>0</v>
      </c>
      <c r="K849" t="s">
        <v>25</v>
      </c>
      <c r="L849" t="s">
        <v>30</v>
      </c>
    </row>
    <row r="850" spans="1:12" x14ac:dyDescent="0.25">
      <c r="A850" t="s">
        <v>2892</v>
      </c>
      <c r="B850">
        <v>17142</v>
      </c>
      <c r="C850" s="3">
        <v>34</v>
      </c>
      <c r="D850" t="s">
        <v>32</v>
      </c>
      <c r="E850" t="s">
        <v>3073</v>
      </c>
      <c r="F850" t="s">
        <v>3091</v>
      </c>
      <c r="G850" t="s">
        <v>22</v>
      </c>
      <c r="H850" s="5">
        <v>46034.953217592592</v>
      </c>
      <c r="I850" s="5">
        <v>46035.825949074075</v>
      </c>
      <c r="J850">
        <v>0</v>
      </c>
      <c r="K850" t="s">
        <v>25</v>
      </c>
      <c r="L850" t="s">
        <v>30</v>
      </c>
    </row>
    <row r="851" spans="1:12" x14ac:dyDescent="0.25">
      <c r="A851" t="s">
        <v>2895</v>
      </c>
      <c r="B851">
        <v>89965</v>
      </c>
      <c r="C851" s="3">
        <v>26</v>
      </c>
      <c r="D851" t="s">
        <v>32</v>
      </c>
      <c r="E851" t="s">
        <v>260</v>
      </c>
      <c r="F851" t="s">
        <v>3074</v>
      </c>
      <c r="G851" t="s">
        <v>22</v>
      </c>
      <c r="H851" s="5">
        <v>46034.960266203707</v>
      </c>
      <c r="I851" s="5">
        <v>46035.703553240739</v>
      </c>
      <c r="J851">
        <v>0</v>
      </c>
      <c r="K851" t="s">
        <v>25</v>
      </c>
      <c r="L851" t="s">
        <v>30</v>
      </c>
    </row>
    <row r="852" spans="1:12" x14ac:dyDescent="0.25">
      <c r="A852" t="s">
        <v>2898</v>
      </c>
      <c r="B852">
        <v>128176</v>
      </c>
      <c r="C852" s="3">
        <v>39</v>
      </c>
      <c r="D852" t="s">
        <v>32</v>
      </c>
      <c r="E852" t="s">
        <v>3073</v>
      </c>
      <c r="F852" t="s">
        <v>3074</v>
      </c>
      <c r="G852" t="s">
        <v>394</v>
      </c>
      <c r="H852" s="5">
        <v>46035.036898148152</v>
      </c>
      <c r="I852" s="5">
        <v>46035.723749999997</v>
      </c>
      <c r="J852">
        <v>0</v>
      </c>
      <c r="K852" t="s">
        <v>25</v>
      </c>
      <c r="L852" t="s">
        <v>30</v>
      </c>
    </row>
    <row r="853" spans="1:12" x14ac:dyDescent="0.25">
      <c r="A853" t="s">
        <v>2901</v>
      </c>
      <c r="B853">
        <v>128225</v>
      </c>
      <c r="C853" s="3" t="s">
        <v>3088</v>
      </c>
      <c r="D853" t="s">
        <v>32</v>
      </c>
      <c r="E853" t="s">
        <v>3073</v>
      </c>
      <c r="F853" t="s">
        <v>3072</v>
      </c>
      <c r="G853" t="s">
        <v>22</v>
      </c>
      <c r="H853" s="5">
        <v>46035.67359953704</v>
      </c>
      <c r="I853" s="5">
        <v>46035.737233796295</v>
      </c>
      <c r="J853">
        <v>0</v>
      </c>
      <c r="K853" t="s">
        <v>25</v>
      </c>
      <c r="L853" t="s">
        <v>30</v>
      </c>
    </row>
    <row r="854" spans="1:12" x14ac:dyDescent="0.25">
      <c r="A854" t="s">
        <v>2904</v>
      </c>
      <c r="B854">
        <v>50801</v>
      </c>
      <c r="C854" s="3">
        <v>29</v>
      </c>
      <c r="D854" t="s">
        <v>32</v>
      </c>
      <c r="E854" t="s">
        <v>227</v>
      </c>
      <c r="F854" t="s">
        <v>3091</v>
      </c>
      <c r="G854" t="s">
        <v>394</v>
      </c>
      <c r="H854" s="5">
        <v>46035.891168981485</v>
      </c>
      <c r="I854" s="5">
        <v>46036.557256944441</v>
      </c>
      <c r="J854">
        <v>0</v>
      </c>
      <c r="K854" t="s">
        <v>25</v>
      </c>
      <c r="L854" t="s">
        <v>30</v>
      </c>
    </row>
    <row r="855" spans="1:12" x14ac:dyDescent="0.25">
      <c r="A855" t="s">
        <v>2907</v>
      </c>
      <c r="B855">
        <v>128320</v>
      </c>
      <c r="C855" s="3">
        <v>37</v>
      </c>
      <c r="D855" t="s">
        <v>32</v>
      </c>
      <c r="E855" t="s">
        <v>3073</v>
      </c>
      <c r="F855" t="s">
        <v>3074</v>
      </c>
      <c r="G855" t="s">
        <v>394</v>
      </c>
      <c r="H855" s="5">
        <v>46036.198622685188</v>
      </c>
      <c r="I855" s="5">
        <v>46036.643078703702</v>
      </c>
      <c r="J855">
        <v>0</v>
      </c>
      <c r="K855" t="s">
        <v>25</v>
      </c>
      <c r="L855" t="s">
        <v>30</v>
      </c>
    </row>
    <row r="856" spans="1:12" x14ac:dyDescent="0.25">
      <c r="A856" t="s">
        <v>2917</v>
      </c>
      <c r="B856">
        <v>128146</v>
      </c>
      <c r="C856" s="3">
        <v>23</v>
      </c>
      <c r="D856" t="s">
        <v>32</v>
      </c>
      <c r="E856" t="s">
        <v>3073</v>
      </c>
      <c r="F856" t="s">
        <v>3074</v>
      </c>
      <c r="G856" t="s">
        <v>22</v>
      </c>
      <c r="H856" s="5">
        <v>46036.504305555558</v>
      </c>
      <c r="I856" s="5">
        <v>46037.374641203707</v>
      </c>
      <c r="J856">
        <v>0</v>
      </c>
      <c r="K856" t="s">
        <v>25</v>
      </c>
      <c r="L856" t="s">
        <v>30</v>
      </c>
    </row>
    <row r="857" spans="1:12" x14ac:dyDescent="0.25">
      <c r="A857" t="s">
        <v>2920</v>
      </c>
      <c r="B857">
        <v>37502</v>
      </c>
      <c r="C857" s="3">
        <v>55</v>
      </c>
      <c r="D857" t="s">
        <v>19</v>
      </c>
      <c r="E857" t="s">
        <v>227</v>
      </c>
      <c r="F857" t="s">
        <v>3090</v>
      </c>
      <c r="G857" t="s">
        <v>394</v>
      </c>
      <c r="H857" s="5">
        <v>46036.542650462965</v>
      </c>
      <c r="I857" s="5">
        <v>46037.388460648152</v>
      </c>
      <c r="J857">
        <v>0</v>
      </c>
      <c r="K857" t="s">
        <v>25</v>
      </c>
      <c r="L857" t="s">
        <v>30</v>
      </c>
    </row>
    <row r="858" spans="1:12" x14ac:dyDescent="0.25">
      <c r="A858" t="s">
        <v>2923</v>
      </c>
      <c r="B858">
        <v>128388</v>
      </c>
      <c r="C858" s="3">
        <v>4</v>
      </c>
      <c r="D858" t="s">
        <v>32</v>
      </c>
      <c r="E858" t="s">
        <v>62</v>
      </c>
      <c r="F858" t="s">
        <v>3076</v>
      </c>
      <c r="G858" t="s">
        <v>22</v>
      </c>
      <c r="H858" s="5">
        <v>46036.698449074072</v>
      </c>
      <c r="I858" s="5">
        <v>46037.464918981481</v>
      </c>
      <c r="J858">
        <v>0</v>
      </c>
      <c r="K858" t="s">
        <v>211</v>
      </c>
      <c r="L858" t="s">
        <v>30</v>
      </c>
    </row>
    <row r="859" spans="1:12" x14ac:dyDescent="0.25">
      <c r="A859" t="s">
        <v>2926</v>
      </c>
      <c r="B859">
        <v>121377</v>
      </c>
      <c r="C859" s="3">
        <v>29</v>
      </c>
      <c r="D859" t="s">
        <v>32</v>
      </c>
      <c r="E859" t="s">
        <v>3073</v>
      </c>
      <c r="F859" t="s">
        <v>3074</v>
      </c>
      <c r="G859" t="s">
        <v>22</v>
      </c>
      <c r="H859" s="5">
        <v>46036.977037037039</v>
      </c>
      <c r="I859" s="5">
        <v>46037.634409722225</v>
      </c>
      <c r="J859">
        <v>0</v>
      </c>
      <c r="K859" t="s">
        <v>25</v>
      </c>
      <c r="L859" t="s">
        <v>30</v>
      </c>
    </row>
    <row r="860" spans="1:12" x14ac:dyDescent="0.25">
      <c r="A860" t="s">
        <v>2929</v>
      </c>
      <c r="B860">
        <v>128471</v>
      </c>
      <c r="C860" s="3">
        <v>37</v>
      </c>
      <c r="D860" t="s">
        <v>32</v>
      </c>
      <c r="E860" t="s">
        <v>3073</v>
      </c>
      <c r="F860" t="s">
        <v>3074</v>
      </c>
      <c r="G860" t="s">
        <v>22</v>
      </c>
      <c r="H860" s="5">
        <v>46037.018333333333</v>
      </c>
      <c r="I860" s="5">
        <v>46037.696250000001</v>
      </c>
      <c r="J860">
        <v>0</v>
      </c>
      <c r="K860" t="s">
        <v>25</v>
      </c>
      <c r="L860" t="s">
        <v>30</v>
      </c>
    </row>
    <row r="861" spans="1:12" x14ac:dyDescent="0.25">
      <c r="A861" t="s">
        <v>1464</v>
      </c>
      <c r="B861">
        <v>13901</v>
      </c>
      <c r="C861" s="3">
        <v>35</v>
      </c>
      <c r="D861" t="s">
        <v>19</v>
      </c>
      <c r="E861" t="s">
        <v>754</v>
      </c>
      <c r="F861" t="s">
        <v>3090</v>
      </c>
      <c r="G861" t="s">
        <v>394</v>
      </c>
      <c r="H861" s="5">
        <v>46037.047986111109</v>
      </c>
      <c r="I861" s="5">
        <v>46037.659189814818</v>
      </c>
      <c r="J861">
        <v>0</v>
      </c>
      <c r="K861" t="s">
        <v>25</v>
      </c>
      <c r="L861" t="s">
        <v>30</v>
      </c>
    </row>
    <row r="862" spans="1:12" x14ac:dyDescent="0.25">
      <c r="A862" t="s">
        <v>2934</v>
      </c>
      <c r="B862">
        <v>128549</v>
      </c>
      <c r="C862" s="3" t="s">
        <v>3088</v>
      </c>
      <c r="D862" t="s">
        <v>19</v>
      </c>
      <c r="E862" t="s">
        <v>3073</v>
      </c>
      <c r="F862" t="s">
        <v>3072</v>
      </c>
      <c r="G862" t="s">
        <v>22</v>
      </c>
      <c r="H862" s="5">
        <v>46037.723379629628</v>
      </c>
      <c r="I862" s="5">
        <v>46038.61991898148</v>
      </c>
      <c r="J862">
        <v>0</v>
      </c>
      <c r="K862" t="s">
        <v>25</v>
      </c>
      <c r="L862" t="s">
        <v>30</v>
      </c>
    </row>
    <row r="863" spans="1:12" x14ac:dyDescent="0.25">
      <c r="A863" t="s">
        <v>2937</v>
      </c>
      <c r="B863">
        <v>16644</v>
      </c>
      <c r="C863" s="3">
        <v>9</v>
      </c>
      <c r="D863" t="s">
        <v>19</v>
      </c>
      <c r="E863" t="s">
        <v>227</v>
      </c>
      <c r="F863" t="s">
        <v>3076</v>
      </c>
      <c r="G863" t="s">
        <v>394</v>
      </c>
      <c r="H863" s="5">
        <v>46038.698923611111</v>
      </c>
      <c r="I863" s="5">
        <v>46039.599629629629</v>
      </c>
      <c r="J863">
        <v>0</v>
      </c>
      <c r="K863" t="s">
        <v>25</v>
      </c>
      <c r="L863" t="s">
        <v>30</v>
      </c>
    </row>
    <row r="864" spans="1:12" x14ac:dyDescent="0.25">
      <c r="A864" t="s">
        <v>2940</v>
      </c>
      <c r="B864">
        <v>112505</v>
      </c>
      <c r="C864" s="3">
        <v>1</v>
      </c>
      <c r="D864" t="s">
        <v>19</v>
      </c>
      <c r="E864" t="s">
        <v>62</v>
      </c>
      <c r="F864" t="s">
        <v>3076</v>
      </c>
      <c r="G864" t="s">
        <v>394</v>
      </c>
      <c r="H864" s="5">
        <v>46038.712650462963</v>
      </c>
      <c r="I864" s="5">
        <v>46039.62122685185</v>
      </c>
      <c r="J864">
        <v>0</v>
      </c>
      <c r="K864" t="s">
        <v>25</v>
      </c>
      <c r="L864" t="s">
        <v>30</v>
      </c>
    </row>
    <row r="865" spans="1:12" x14ac:dyDescent="0.25">
      <c r="A865" t="s">
        <v>2943</v>
      </c>
      <c r="B865">
        <v>128737</v>
      </c>
      <c r="C865" s="3">
        <v>56</v>
      </c>
      <c r="D865" t="s">
        <v>32</v>
      </c>
      <c r="E865" t="s">
        <v>20</v>
      </c>
      <c r="F865" t="s">
        <v>3077</v>
      </c>
      <c r="G865" t="s">
        <v>22</v>
      </c>
      <c r="H865" s="5">
        <v>46039.970150462963</v>
      </c>
      <c r="I865" s="5">
        <v>46040.761493055557</v>
      </c>
      <c r="J865">
        <v>0</v>
      </c>
      <c r="K865" t="s">
        <v>25</v>
      </c>
      <c r="L865" t="s">
        <v>30</v>
      </c>
    </row>
    <row r="866" spans="1:12" x14ac:dyDescent="0.25">
      <c r="A866" t="s">
        <v>2946</v>
      </c>
      <c r="B866">
        <v>128748</v>
      </c>
      <c r="C866" s="3">
        <v>40</v>
      </c>
      <c r="D866" t="s">
        <v>32</v>
      </c>
      <c r="E866" t="s">
        <v>3073</v>
      </c>
      <c r="F866" t="s">
        <v>3077</v>
      </c>
      <c r="G866" t="s">
        <v>394</v>
      </c>
      <c r="H866" s="5">
        <v>46040.202303240738</v>
      </c>
      <c r="I866" s="5">
        <v>46040.76494212963</v>
      </c>
      <c r="J866">
        <v>0</v>
      </c>
      <c r="K866" t="s">
        <v>25</v>
      </c>
      <c r="L866" t="s">
        <v>30</v>
      </c>
    </row>
    <row r="867" spans="1:12" x14ac:dyDescent="0.25">
      <c r="A867" t="s">
        <v>2949</v>
      </c>
      <c r="B867">
        <v>16268</v>
      </c>
      <c r="C867" s="3">
        <v>17</v>
      </c>
      <c r="D867" t="s">
        <v>19</v>
      </c>
      <c r="E867" t="s">
        <v>227</v>
      </c>
      <c r="F867" t="s">
        <v>3086</v>
      </c>
      <c r="G867" t="s">
        <v>22</v>
      </c>
      <c r="H867" s="5">
        <v>46040.647245370368</v>
      </c>
      <c r="I867" s="5">
        <v>46041.585150462961</v>
      </c>
      <c r="J867">
        <v>0</v>
      </c>
      <c r="K867" t="s">
        <v>25</v>
      </c>
      <c r="L867" t="s">
        <v>30</v>
      </c>
    </row>
    <row r="868" spans="1:12" x14ac:dyDescent="0.25">
      <c r="A868" t="s">
        <v>2238</v>
      </c>
      <c r="B868">
        <v>31160</v>
      </c>
      <c r="C868" s="3">
        <v>3</v>
      </c>
      <c r="D868" t="s">
        <v>32</v>
      </c>
      <c r="E868" t="s">
        <v>227</v>
      </c>
      <c r="F868" t="s">
        <v>3076</v>
      </c>
      <c r="G868" t="s">
        <v>394</v>
      </c>
      <c r="H868" s="5">
        <v>46040.772465277776</v>
      </c>
      <c r="I868" s="5">
        <v>46041.314097222225</v>
      </c>
      <c r="J868">
        <v>0</v>
      </c>
      <c r="K868" t="s">
        <v>25</v>
      </c>
      <c r="L868" t="s">
        <v>30</v>
      </c>
    </row>
    <row r="869" spans="1:12" x14ac:dyDescent="0.25">
      <c r="A869" t="s">
        <v>2954</v>
      </c>
      <c r="B869">
        <v>128783</v>
      </c>
      <c r="C869" s="3" t="s">
        <v>3088</v>
      </c>
      <c r="D869" t="s">
        <v>19</v>
      </c>
      <c r="E869" t="s">
        <v>62</v>
      </c>
      <c r="F869" t="s">
        <v>3072</v>
      </c>
      <c r="G869" t="s">
        <v>22</v>
      </c>
      <c r="H869" s="5">
        <v>46040.852303240739</v>
      </c>
      <c r="I869" s="5">
        <v>46041.520370370374</v>
      </c>
      <c r="J869">
        <v>0</v>
      </c>
      <c r="K869" t="s">
        <v>211</v>
      </c>
      <c r="L869" t="s">
        <v>30</v>
      </c>
    </row>
    <row r="870" spans="1:12" x14ac:dyDescent="0.25">
      <c r="A870" t="s">
        <v>2957</v>
      </c>
      <c r="B870">
        <v>34152</v>
      </c>
      <c r="C870" s="3">
        <v>21</v>
      </c>
      <c r="D870" t="s">
        <v>32</v>
      </c>
      <c r="E870" t="s">
        <v>227</v>
      </c>
      <c r="F870" t="s">
        <v>3074</v>
      </c>
      <c r="G870" t="s">
        <v>22</v>
      </c>
      <c r="H870" s="5">
        <v>46041.133576388886</v>
      </c>
      <c r="I870" s="5">
        <v>46041.751134259262</v>
      </c>
      <c r="J870">
        <v>0</v>
      </c>
      <c r="K870" t="s">
        <v>25</v>
      </c>
      <c r="L870" t="s">
        <v>30</v>
      </c>
    </row>
    <row r="871" spans="1:12" x14ac:dyDescent="0.25">
      <c r="A871" t="s">
        <v>2960</v>
      </c>
      <c r="B871">
        <v>128905</v>
      </c>
      <c r="C871" s="3">
        <v>29</v>
      </c>
      <c r="D871" t="s">
        <v>32</v>
      </c>
      <c r="E871" t="s">
        <v>260</v>
      </c>
      <c r="F871" t="s">
        <v>3074</v>
      </c>
      <c r="G871" t="s">
        <v>22</v>
      </c>
      <c r="H871" s="5">
        <v>46041.668726851851</v>
      </c>
      <c r="I871" s="5">
        <v>46042.606111111112</v>
      </c>
      <c r="J871">
        <v>0</v>
      </c>
      <c r="K871" t="s">
        <v>25</v>
      </c>
      <c r="L871" t="s">
        <v>30</v>
      </c>
    </row>
    <row r="872" spans="1:12" x14ac:dyDescent="0.25">
      <c r="A872" t="s">
        <v>2963</v>
      </c>
      <c r="B872">
        <v>105220</v>
      </c>
      <c r="C872" s="3">
        <v>26</v>
      </c>
      <c r="D872" t="s">
        <v>32</v>
      </c>
      <c r="E872" t="s">
        <v>3073</v>
      </c>
      <c r="F872" t="s">
        <v>3074</v>
      </c>
      <c r="G872" t="s">
        <v>394</v>
      </c>
      <c r="H872" s="5">
        <v>46041.890127314815</v>
      </c>
      <c r="I872" s="5">
        <v>46042.472442129627</v>
      </c>
      <c r="J872">
        <v>0</v>
      </c>
      <c r="K872" t="s">
        <v>25</v>
      </c>
      <c r="L872" t="s">
        <v>30</v>
      </c>
    </row>
    <row r="873" spans="1:12" x14ac:dyDescent="0.25">
      <c r="A873" t="s">
        <v>2966</v>
      </c>
      <c r="B873">
        <v>128976</v>
      </c>
      <c r="C873" s="3">
        <v>7</v>
      </c>
      <c r="D873" t="s">
        <v>32</v>
      </c>
      <c r="E873" t="s">
        <v>62</v>
      </c>
      <c r="F873" t="s">
        <v>3076</v>
      </c>
      <c r="G873" t="s">
        <v>22</v>
      </c>
      <c r="H873" s="5">
        <v>46042.391909722224</v>
      </c>
      <c r="I873" s="5">
        <v>46043.366979166669</v>
      </c>
      <c r="J873">
        <v>0</v>
      </c>
      <c r="K873" t="s">
        <v>211</v>
      </c>
      <c r="L873" t="s">
        <v>30</v>
      </c>
    </row>
    <row r="874" spans="1:12" x14ac:dyDescent="0.25">
      <c r="A874" t="s">
        <v>1798</v>
      </c>
      <c r="B874">
        <v>123626</v>
      </c>
      <c r="C874" s="3">
        <v>42</v>
      </c>
      <c r="D874" t="s">
        <v>32</v>
      </c>
      <c r="E874" t="s">
        <v>3073</v>
      </c>
      <c r="F874" t="s">
        <v>3074</v>
      </c>
      <c r="G874" t="s">
        <v>394</v>
      </c>
      <c r="H874" s="5">
        <v>46042.656550925924</v>
      </c>
      <c r="I874" s="5">
        <v>46043.349976851852</v>
      </c>
      <c r="J874">
        <v>0</v>
      </c>
      <c r="K874" t="s">
        <v>25</v>
      </c>
      <c r="L874" t="s">
        <v>30</v>
      </c>
    </row>
    <row r="875" spans="1:12" x14ac:dyDescent="0.25">
      <c r="A875" t="s">
        <v>2971</v>
      </c>
      <c r="B875">
        <v>129081</v>
      </c>
      <c r="C875" s="3" t="s">
        <v>3088</v>
      </c>
      <c r="D875" t="s">
        <v>32</v>
      </c>
      <c r="E875" t="s">
        <v>3073</v>
      </c>
      <c r="F875" t="s">
        <v>3072</v>
      </c>
      <c r="G875" t="s">
        <v>22</v>
      </c>
      <c r="H875" s="5">
        <v>46042.857881944445</v>
      </c>
      <c r="I875" s="5">
        <v>46043.361446759256</v>
      </c>
      <c r="J875">
        <v>0</v>
      </c>
      <c r="K875" t="s">
        <v>211</v>
      </c>
      <c r="L875" t="s">
        <v>30</v>
      </c>
    </row>
    <row r="876" spans="1:12" x14ac:dyDescent="0.25">
      <c r="A876" t="s">
        <v>2974</v>
      </c>
      <c r="B876">
        <v>129085</v>
      </c>
      <c r="C876" s="3">
        <v>37</v>
      </c>
      <c r="D876" t="s">
        <v>32</v>
      </c>
      <c r="E876" t="s">
        <v>3073</v>
      </c>
      <c r="F876" t="s">
        <v>3074</v>
      </c>
      <c r="G876" t="s">
        <v>22</v>
      </c>
      <c r="H876" s="5">
        <v>46042.902418981481</v>
      </c>
      <c r="I876" s="5">
        <v>46043.636157407411</v>
      </c>
      <c r="J876">
        <v>0</v>
      </c>
      <c r="K876" t="s">
        <v>25</v>
      </c>
      <c r="L876" t="s">
        <v>30</v>
      </c>
    </row>
    <row r="877" spans="1:12" x14ac:dyDescent="0.25">
      <c r="A877" t="s">
        <v>2977</v>
      </c>
      <c r="B877">
        <v>129094</v>
      </c>
      <c r="C877" s="3">
        <v>7</v>
      </c>
      <c r="D877" t="s">
        <v>19</v>
      </c>
      <c r="E877" t="s">
        <v>20</v>
      </c>
      <c r="F877" t="s">
        <v>3076</v>
      </c>
      <c r="G877" t="s">
        <v>22</v>
      </c>
      <c r="H877" s="5">
        <v>46043.144155092596</v>
      </c>
      <c r="I877" s="5">
        <v>46043.648449074077</v>
      </c>
      <c r="J877">
        <v>0</v>
      </c>
      <c r="K877" t="s">
        <v>211</v>
      </c>
      <c r="L877" t="s">
        <v>30</v>
      </c>
    </row>
    <row r="878" spans="1:12" x14ac:dyDescent="0.25">
      <c r="A878" t="s">
        <v>2980</v>
      </c>
      <c r="B878">
        <v>31748</v>
      </c>
      <c r="C878" s="3">
        <v>34</v>
      </c>
      <c r="D878" t="s">
        <v>32</v>
      </c>
      <c r="E878" t="s">
        <v>3073</v>
      </c>
      <c r="F878" t="s">
        <v>3074</v>
      </c>
      <c r="G878" t="s">
        <v>394</v>
      </c>
      <c r="H878" s="5">
        <v>46043.654479166667</v>
      </c>
      <c r="I878" s="5">
        <v>46044.596782407411</v>
      </c>
      <c r="J878">
        <v>0</v>
      </c>
      <c r="K878" t="s">
        <v>25</v>
      </c>
      <c r="L878" t="s">
        <v>30</v>
      </c>
    </row>
    <row r="879" spans="1:12" x14ac:dyDescent="0.25">
      <c r="A879" t="s">
        <v>2983</v>
      </c>
      <c r="B879">
        <v>77010</v>
      </c>
      <c r="C879" s="3">
        <v>63</v>
      </c>
      <c r="D879" t="s">
        <v>19</v>
      </c>
      <c r="E879" t="s">
        <v>62</v>
      </c>
      <c r="F879" t="s">
        <v>3086</v>
      </c>
      <c r="G879" t="s">
        <v>292</v>
      </c>
      <c r="H879" s="5">
        <v>46043.677800925929</v>
      </c>
      <c r="I879" s="5">
        <v>46044.600451388891</v>
      </c>
      <c r="J879">
        <v>0</v>
      </c>
      <c r="K879" t="s">
        <v>25</v>
      </c>
      <c r="L879" t="s">
        <v>30</v>
      </c>
    </row>
    <row r="880" spans="1:12" x14ac:dyDescent="0.25">
      <c r="A880" t="s">
        <v>2987</v>
      </c>
      <c r="B880">
        <v>10887</v>
      </c>
      <c r="C880" s="3">
        <v>26</v>
      </c>
      <c r="D880" t="s">
        <v>32</v>
      </c>
      <c r="E880" t="s">
        <v>754</v>
      </c>
      <c r="F880" t="s">
        <v>3084</v>
      </c>
      <c r="G880" t="s">
        <v>22</v>
      </c>
      <c r="H880" s="5">
        <v>46044.696539351855</v>
      </c>
      <c r="I880" s="5">
        <v>46045.47111111111</v>
      </c>
      <c r="J880">
        <v>0</v>
      </c>
      <c r="K880" t="s">
        <v>25</v>
      </c>
      <c r="L880" t="s">
        <v>30</v>
      </c>
    </row>
    <row r="881" spans="1:12" x14ac:dyDescent="0.25">
      <c r="A881" t="s">
        <v>2990</v>
      </c>
      <c r="B881">
        <v>129321</v>
      </c>
      <c r="C881" s="3">
        <v>52</v>
      </c>
      <c r="D881" t="s">
        <v>32</v>
      </c>
      <c r="E881" t="s">
        <v>3073</v>
      </c>
      <c r="F881" t="s">
        <v>3077</v>
      </c>
      <c r="G881" t="s">
        <v>394</v>
      </c>
      <c r="H881" s="5">
        <v>46044.930104166669</v>
      </c>
      <c r="I881" s="5">
        <v>46045.626493055555</v>
      </c>
      <c r="J881">
        <v>0</v>
      </c>
      <c r="K881" t="s">
        <v>112</v>
      </c>
      <c r="L881" t="s">
        <v>30</v>
      </c>
    </row>
    <row r="882" spans="1:12" x14ac:dyDescent="0.25">
      <c r="A882" t="s">
        <v>2993</v>
      </c>
      <c r="B882">
        <v>129487</v>
      </c>
      <c r="C882" s="3">
        <v>27</v>
      </c>
      <c r="D882" t="s">
        <v>19</v>
      </c>
      <c r="E882" t="s">
        <v>260</v>
      </c>
      <c r="F882" t="s">
        <v>3085</v>
      </c>
      <c r="G882" t="s">
        <v>22</v>
      </c>
      <c r="H882" s="5">
        <v>46046.549363425926</v>
      </c>
      <c r="I882" s="5">
        <v>46047.417314814818</v>
      </c>
      <c r="J882">
        <v>0</v>
      </c>
      <c r="K882" t="s">
        <v>25</v>
      </c>
      <c r="L882" t="s">
        <v>30</v>
      </c>
    </row>
    <row r="883" spans="1:12" x14ac:dyDescent="0.25">
      <c r="A883" t="s">
        <v>2996</v>
      </c>
      <c r="B883">
        <v>129488</v>
      </c>
      <c r="C883" s="3">
        <v>13</v>
      </c>
      <c r="D883" t="s">
        <v>19</v>
      </c>
      <c r="E883" t="s">
        <v>20</v>
      </c>
      <c r="F883" t="s">
        <v>3086</v>
      </c>
      <c r="G883" t="s">
        <v>22</v>
      </c>
      <c r="H883" s="5">
        <v>46046.746249999997</v>
      </c>
      <c r="I883" s="5">
        <v>46047.676550925928</v>
      </c>
      <c r="J883">
        <v>0</v>
      </c>
      <c r="K883" t="s">
        <v>25</v>
      </c>
      <c r="L883" t="s">
        <v>30</v>
      </c>
    </row>
    <row r="884" spans="1:12" x14ac:dyDescent="0.25">
      <c r="A884" t="s">
        <v>2999</v>
      </c>
      <c r="B884">
        <v>70862</v>
      </c>
      <c r="C884" s="3">
        <v>55</v>
      </c>
      <c r="D884" t="s">
        <v>19</v>
      </c>
      <c r="E884" t="s">
        <v>3073</v>
      </c>
      <c r="F884" t="s">
        <v>3090</v>
      </c>
      <c r="G884" t="s">
        <v>394</v>
      </c>
      <c r="H884" s="5">
        <v>46046.759444444448</v>
      </c>
      <c r="I884" s="5">
        <v>46047.62740740741</v>
      </c>
      <c r="J884">
        <v>0</v>
      </c>
      <c r="K884" t="s">
        <v>25</v>
      </c>
      <c r="L884" t="s">
        <v>30</v>
      </c>
    </row>
    <row r="885" spans="1:12" x14ac:dyDescent="0.25">
      <c r="A885" t="s">
        <v>3002</v>
      </c>
      <c r="B885">
        <v>129498</v>
      </c>
      <c r="C885" s="3">
        <v>6</v>
      </c>
      <c r="D885" t="s">
        <v>19</v>
      </c>
      <c r="E885" t="s">
        <v>3073</v>
      </c>
      <c r="F885" t="s">
        <v>3076</v>
      </c>
      <c r="G885" t="s">
        <v>22</v>
      </c>
      <c r="H885" s="5">
        <v>46046.96603009259</v>
      </c>
      <c r="I885" s="5">
        <v>46047.403344907405</v>
      </c>
      <c r="J885">
        <v>0</v>
      </c>
      <c r="K885" t="s">
        <v>211</v>
      </c>
      <c r="L885" t="s">
        <v>30</v>
      </c>
    </row>
    <row r="886" spans="1:12" x14ac:dyDescent="0.25">
      <c r="A886" t="s">
        <v>3005</v>
      </c>
      <c r="B886">
        <v>8218</v>
      </c>
      <c r="C886" s="3">
        <v>36</v>
      </c>
      <c r="D886" t="s">
        <v>32</v>
      </c>
      <c r="E886" t="s">
        <v>754</v>
      </c>
      <c r="F886" t="s">
        <v>3077</v>
      </c>
      <c r="G886" t="s">
        <v>394</v>
      </c>
      <c r="H886" s="5">
        <v>46046.983113425929</v>
      </c>
      <c r="I886" s="5">
        <v>46047.765115740738</v>
      </c>
      <c r="J886">
        <v>0</v>
      </c>
      <c r="K886" t="s">
        <v>25</v>
      </c>
      <c r="L886" t="s">
        <v>30</v>
      </c>
    </row>
    <row r="887" spans="1:12" x14ac:dyDescent="0.25">
      <c r="A887" t="s">
        <v>3008</v>
      </c>
      <c r="B887">
        <v>129514</v>
      </c>
      <c r="C887" s="3">
        <v>35</v>
      </c>
      <c r="D887" t="s">
        <v>32</v>
      </c>
      <c r="E887" t="s">
        <v>3073</v>
      </c>
      <c r="F887" t="s">
        <v>3074</v>
      </c>
      <c r="G887" t="s">
        <v>22</v>
      </c>
      <c r="H887" s="5">
        <v>46047.308912037035</v>
      </c>
      <c r="I887" s="5">
        <v>46047.331504629627</v>
      </c>
      <c r="J887">
        <v>0</v>
      </c>
      <c r="K887" t="s">
        <v>112</v>
      </c>
      <c r="L887" t="s">
        <v>30</v>
      </c>
    </row>
    <row r="888" spans="1:12" x14ac:dyDescent="0.25">
      <c r="A888" t="s">
        <v>3011</v>
      </c>
      <c r="B888">
        <v>129532</v>
      </c>
      <c r="C888" s="3">
        <v>4</v>
      </c>
      <c r="D888" t="s">
        <v>19</v>
      </c>
      <c r="E888" t="s">
        <v>20</v>
      </c>
      <c r="F888" t="s">
        <v>3076</v>
      </c>
      <c r="G888" t="s">
        <v>22</v>
      </c>
      <c r="H888" s="5">
        <v>46047.624143518522</v>
      </c>
      <c r="I888" s="5">
        <v>46048.607511574075</v>
      </c>
      <c r="J888">
        <v>0</v>
      </c>
      <c r="K888" t="s">
        <v>25</v>
      </c>
      <c r="L888" t="s">
        <v>30</v>
      </c>
    </row>
    <row r="889" spans="1:12" x14ac:dyDescent="0.25">
      <c r="A889" t="s">
        <v>3014</v>
      </c>
      <c r="B889">
        <v>44332</v>
      </c>
      <c r="C889" s="3">
        <v>34</v>
      </c>
      <c r="D889" t="s">
        <v>32</v>
      </c>
      <c r="E889" t="s">
        <v>227</v>
      </c>
      <c r="F889" t="s">
        <v>3074</v>
      </c>
      <c r="G889" t="s">
        <v>22</v>
      </c>
      <c r="H889" s="5">
        <v>46047.979027777779</v>
      </c>
      <c r="I889" s="5">
        <v>46048.608749999999</v>
      </c>
      <c r="J889">
        <v>0</v>
      </c>
      <c r="K889" t="s">
        <v>25</v>
      </c>
      <c r="L889" t="s">
        <v>30</v>
      </c>
    </row>
    <row r="890" spans="1:12" x14ac:dyDescent="0.25">
      <c r="A890" t="s">
        <v>3017</v>
      </c>
      <c r="B890">
        <v>129559</v>
      </c>
      <c r="C890" s="3">
        <v>1</v>
      </c>
      <c r="D890" t="s">
        <v>19</v>
      </c>
      <c r="E890" t="s">
        <v>62</v>
      </c>
      <c r="F890" t="s">
        <v>3076</v>
      </c>
      <c r="G890" t="s">
        <v>22</v>
      </c>
      <c r="H890" s="5">
        <v>46048.007581018515</v>
      </c>
      <c r="I890" s="5">
        <v>46048.604490740741</v>
      </c>
      <c r="J890">
        <v>0</v>
      </c>
      <c r="K890" t="s">
        <v>211</v>
      </c>
      <c r="L890" t="s">
        <v>30</v>
      </c>
    </row>
    <row r="891" spans="1:12" x14ac:dyDescent="0.25">
      <c r="A891" t="s">
        <v>3020</v>
      </c>
      <c r="B891">
        <v>129558</v>
      </c>
      <c r="C891" s="3">
        <v>21</v>
      </c>
      <c r="D891" t="s">
        <v>32</v>
      </c>
      <c r="E891" t="s">
        <v>62</v>
      </c>
      <c r="F891" t="s">
        <v>3074</v>
      </c>
      <c r="G891" t="s">
        <v>22</v>
      </c>
      <c r="H891" s="5">
        <v>46048.306250000001</v>
      </c>
      <c r="I891" s="5">
        <v>46048.750497685185</v>
      </c>
      <c r="J891">
        <v>0</v>
      </c>
      <c r="K891" t="s">
        <v>25</v>
      </c>
      <c r="L891" t="s">
        <v>30</v>
      </c>
    </row>
    <row r="892" spans="1:12" x14ac:dyDescent="0.25">
      <c r="A892" t="s">
        <v>3023</v>
      </c>
      <c r="B892">
        <v>129653</v>
      </c>
      <c r="C892" s="3">
        <v>84</v>
      </c>
      <c r="D892" t="s">
        <v>19</v>
      </c>
      <c r="E892" t="s">
        <v>3073</v>
      </c>
      <c r="F892" t="s">
        <v>3086</v>
      </c>
      <c r="G892" t="s">
        <v>22</v>
      </c>
      <c r="H892" s="5">
        <v>46048.80369212963</v>
      </c>
      <c r="I892" s="5">
        <v>46049.581597222219</v>
      </c>
      <c r="J892">
        <v>0</v>
      </c>
      <c r="K892" t="s">
        <v>25</v>
      </c>
      <c r="L892" t="s">
        <v>30</v>
      </c>
    </row>
    <row r="893" spans="1:12" x14ac:dyDescent="0.25">
      <c r="A893" t="s">
        <v>3027</v>
      </c>
      <c r="B893">
        <v>39912</v>
      </c>
      <c r="C893" s="3">
        <v>29</v>
      </c>
      <c r="D893" t="s">
        <v>32</v>
      </c>
      <c r="E893" t="s">
        <v>227</v>
      </c>
      <c r="F893" t="s">
        <v>3074</v>
      </c>
      <c r="G893" t="s">
        <v>22</v>
      </c>
      <c r="H893" s="5">
        <v>46048.949675925927</v>
      </c>
      <c r="I893" s="5">
        <v>46049.575706018521</v>
      </c>
      <c r="J893">
        <v>0</v>
      </c>
      <c r="K893" t="s">
        <v>25</v>
      </c>
      <c r="L893" t="s">
        <v>30</v>
      </c>
    </row>
    <row r="894" spans="1:12" x14ac:dyDescent="0.25">
      <c r="A894" t="s">
        <v>3030</v>
      </c>
      <c r="B894">
        <v>129687</v>
      </c>
      <c r="C894" s="3">
        <v>58</v>
      </c>
      <c r="D894" t="s">
        <v>19</v>
      </c>
      <c r="E894" t="s">
        <v>3073</v>
      </c>
      <c r="F894" t="s">
        <v>3086</v>
      </c>
      <c r="G894" t="s">
        <v>22</v>
      </c>
      <c r="H894" s="5">
        <v>46048.972673611112</v>
      </c>
      <c r="I894" s="5">
        <v>46049.597986111112</v>
      </c>
      <c r="J894">
        <v>0</v>
      </c>
      <c r="K894" t="s">
        <v>25</v>
      </c>
      <c r="L894" t="s">
        <v>30</v>
      </c>
    </row>
    <row r="895" spans="1:12" x14ac:dyDescent="0.25">
      <c r="A895" t="s">
        <v>3033</v>
      </c>
      <c r="B895">
        <v>103150</v>
      </c>
      <c r="C895" s="3">
        <v>33</v>
      </c>
      <c r="D895" t="s">
        <v>32</v>
      </c>
      <c r="E895" t="s">
        <v>3073</v>
      </c>
      <c r="F895" t="s">
        <v>3077</v>
      </c>
      <c r="G895" t="s">
        <v>394</v>
      </c>
      <c r="H895" s="5">
        <v>46049.057349537034</v>
      </c>
      <c r="I895" s="5">
        <v>46049.53765046296</v>
      </c>
      <c r="J895">
        <v>0</v>
      </c>
      <c r="K895" t="s">
        <v>25</v>
      </c>
      <c r="L895" t="s">
        <v>30</v>
      </c>
    </row>
    <row r="896" spans="1:12" x14ac:dyDescent="0.25">
      <c r="A896" t="s">
        <v>3036</v>
      </c>
      <c r="B896">
        <v>129693</v>
      </c>
      <c r="C896" s="3">
        <v>23</v>
      </c>
      <c r="D896" t="s">
        <v>32</v>
      </c>
      <c r="E896" t="s">
        <v>3073</v>
      </c>
      <c r="F896" t="s">
        <v>3077</v>
      </c>
      <c r="G896" t="s">
        <v>22</v>
      </c>
      <c r="H896" s="5">
        <v>46049.225208333337</v>
      </c>
      <c r="I896" s="5">
        <v>46049.654143518521</v>
      </c>
      <c r="J896">
        <v>0</v>
      </c>
      <c r="K896" t="s">
        <v>25</v>
      </c>
      <c r="L896" t="s">
        <v>30</v>
      </c>
    </row>
    <row r="897" spans="1:12" x14ac:dyDescent="0.25">
      <c r="A897" t="s">
        <v>3039</v>
      </c>
      <c r="B897">
        <v>129592</v>
      </c>
      <c r="C897" s="3">
        <v>26</v>
      </c>
      <c r="D897" t="s">
        <v>32</v>
      </c>
      <c r="E897" t="s">
        <v>3073</v>
      </c>
      <c r="F897" t="s">
        <v>3074</v>
      </c>
      <c r="G897" t="s">
        <v>22</v>
      </c>
      <c r="H897">
        <v>46049.6155671296</v>
      </c>
      <c r="I897" s="5">
        <v>46049.650243055556</v>
      </c>
      <c r="J897">
        <v>0</v>
      </c>
      <c r="K897" t="s">
        <v>25</v>
      </c>
      <c r="L897" t="s">
        <v>30</v>
      </c>
    </row>
    <row r="898" spans="1:12" x14ac:dyDescent="0.25">
      <c r="A898" t="s">
        <v>3041</v>
      </c>
      <c r="B898">
        <v>129815</v>
      </c>
      <c r="C898" s="3">
        <v>35</v>
      </c>
      <c r="D898" t="s">
        <v>19</v>
      </c>
      <c r="E898" t="s">
        <v>3073</v>
      </c>
      <c r="F898" t="s">
        <v>3085</v>
      </c>
      <c r="G898" t="s">
        <v>394</v>
      </c>
      <c r="H898" s="5">
        <v>46049.868287037039</v>
      </c>
      <c r="I898" s="5">
        <v>46050.602025462962</v>
      </c>
      <c r="J898">
        <v>0</v>
      </c>
      <c r="K898" t="s">
        <v>25</v>
      </c>
      <c r="L898" t="s">
        <v>30</v>
      </c>
    </row>
    <row r="899" spans="1:12" x14ac:dyDescent="0.25">
      <c r="A899" t="s">
        <v>3044</v>
      </c>
      <c r="B899">
        <v>129927</v>
      </c>
      <c r="C899" s="3" t="s">
        <v>3092</v>
      </c>
      <c r="D899" t="s">
        <v>19</v>
      </c>
      <c r="E899" t="s">
        <v>62</v>
      </c>
      <c r="F899" t="s">
        <v>3072</v>
      </c>
      <c r="G899" t="s">
        <v>22</v>
      </c>
      <c r="H899" s="5">
        <v>46050.801527777781</v>
      </c>
      <c r="I899" s="5">
        <v>46051.383206018516</v>
      </c>
      <c r="J899">
        <v>0</v>
      </c>
      <c r="K899" t="s">
        <v>211</v>
      </c>
      <c r="L899" t="s">
        <v>30</v>
      </c>
    </row>
    <row r="900" spans="1:12" x14ac:dyDescent="0.25">
      <c r="A900" t="s">
        <v>3047</v>
      </c>
      <c r="B900">
        <v>129942</v>
      </c>
      <c r="C900" s="3">
        <v>22</v>
      </c>
      <c r="D900" t="s">
        <v>32</v>
      </c>
      <c r="E900" t="s">
        <v>62</v>
      </c>
      <c r="F900" t="s">
        <v>3074</v>
      </c>
      <c r="G900" t="s">
        <v>22</v>
      </c>
      <c r="H900" s="5">
        <v>46050.920277777775</v>
      </c>
      <c r="I900" s="5">
        <v>46051.713483796295</v>
      </c>
      <c r="J900">
        <v>0</v>
      </c>
      <c r="K900" t="s">
        <v>25</v>
      </c>
      <c r="L900" t="s">
        <v>30</v>
      </c>
    </row>
    <row r="901" spans="1:12" x14ac:dyDescent="0.25">
      <c r="A901" t="s">
        <v>3050</v>
      </c>
      <c r="B901">
        <v>129940</v>
      </c>
      <c r="C901" s="3">
        <v>68</v>
      </c>
      <c r="D901" t="s">
        <v>19</v>
      </c>
      <c r="E901" t="s">
        <v>3073</v>
      </c>
      <c r="F901" t="s">
        <v>3086</v>
      </c>
      <c r="G901" t="s">
        <v>22</v>
      </c>
      <c r="H901" s="5">
        <v>46051.003310185188</v>
      </c>
      <c r="I901" s="5">
        <v>46051.343240740738</v>
      </c>
      <c r="J901">
        <v>0</v>
      </c>
      <c r="K901" t="s">
        <v>211</v>
      </c>
      <c r="L901" t="s">
        <v>30</v>
      </c>
    </row>
    <row r="902" spans="1:12" x14ac:dyDescent="0.25">
      <c r="A902" t="s">
        <v>3053</v>
      </c>
      <c r="B902">
        <v>130006</v>
      </c>
      <c r="C902" s="3">
        <v>56</v>
      </c>
      <c r="D902" t="s">
        <v>32</v>
      </c>
      <c r="E902" t="s">
        <v>20</v>
      </c>
      <c r="F902" t="s">
        <v>3091</v>
      </c>
      <c r="G902" t="s">
        <v>22</v>
      </c>
      <c r="H902" s="5">
        <v>46051.570787037039</v>
      </c>
      <c r="I902" s="5">
        <v>46052.491284722222</v>
      </c>
      <c r="J902">
        <v>0</v>
      </c>
      <c r="K902" t="s">
        <v>25</v>
      </c>
      <c r="L902" t="s">
        <v>30</v>
      </c>
    </row>
    <row r="903" spans="1:12" x14ac:dyDescent="0.25">
      <c r="A903" t="s">
        <v>3056</v>
      </c>
      <c r="B903">
        <v>130025</v>
      </c>
      <c r="C903" s="3">
        <v>35</v>
      </c>
      <c r="D903" t="s">
        <v>19</v>
      </c>
      <c r="E903" t="s">
        <v>20</v>
      </c>
      <c r="F903" t="s">
        <v>3085</v>
      </c>
      <c r="G903" t="s">
        <v>22</v>
      </c>
      <c r="H903" s="5">
        <v>46051.677511574075</v>
      </c>
      <c r="I903" s="5">
        <v>46052.522592592592</v>
      </c>
      <c r="J903">
        <v>0</v>
      </c>
      <c r="K903" t="s">
        <v>112</v>
      </c>
      <c r="L903" t="s">
        <v>30</v>
      </c>
    </row>
    <row r="904" spans="1:12" x14ac:dyDescent="0.25">
      <c r="A904" t="s">
        <v>3059</v>
      </c>
      <c r="B904">
        <v>130064</v>
      </c>
      <c r="C904" s="3" t="s">
        <v>3092</v>
      </c>
      <c r="D904" t="s">
        <v>32</v>
      </c>
      <c r="E904" t="s">
        <v>3073</v>
      </c>
      <c r="F904" t="s">
        <v>3072</v>
      </c>
      <c r="G904" t="s">
        <v>22</v>
      </c>
      <c r="H904" s="5">
        <v>46051.851319444446</v>
      </c>
      <c r="I904" s="5">
        <v>46052.730196759258</v>
      </c>
      <c r="J904">
        <v>0</v>
      </c>
      <c r="K904" t="s">
        <v>25</v>
      </c>
      <c r="L904" t="s">
        <v>30</v>
      </c>
    </row>
    <row r="905" spans="1:12" x14ac:dyDescent="0.25">
      <c r="A905" t="s">
        <v>3062</v>
      </c>
      <c r="B905">
        <v>130177</v>
      </c>
      <c r="C905" s="3">
        <v>3</v>
      </c>
      <c r="D905" t="s">
        <v>32</v>
      </c>
      <c r="E905" t="s">
        <v>3073</v>
      </c>
      <c r="F905" t="s">
        <v>3076</v>
      </c>
      <c r="G905" t="s">
        <v>22</v>
      </c>
      <c r="H905" s="5">
        <v>46052.802569444444</v>
      </c>
      <c r="I905" s="5">
        <v>46053.676377314812</v>
      </c>
      <c r="J905">
        <v>0</v>
      </c>
      <c r="K905" t="s">
        <v>25</v>
      </c>
      <c r="L905" t="s">
        <v>30</v>
      </c>
    </row>
    <row r="906" spans="1:12" x14ac:dyDescent="0.25">
      <c r="A906" t="s">
        <v>3066</v>
      </c>
      <c r="B906">
        <v>130173</v>
      </c>
      <c r="C906" s="3" t="s">
        <v>3089</v>
      </c>
      <c r="D906" t="s">
        <v>19</v>
      </c>
      <c r="E906" t="s">
        <v>3073</v>
      </c>
      <c r="F906" t="s">
        <v>3076</v>
      </c>
      <c r="G906" t="s">
        <v>22</v>
      </c>
      <c r="H906" s="5">
        <v>46052.881342592591</v>
      </c>
      <c r="I906" s="5">
        <v>46053.689872685187</v>
      </c>
      <c r="J906">
        <v>0</v>
      </c>
      <c r="K906" t="s">
        <v>112</v>
      </c>
      <c r="L906" t="s">
        <v>30</v>
      </c>
    </row>
    <row r="907" spans="1:12" x14ac:dyDescent="0.25">
      <c r="C907"/>
    </row>
  </sheetData>
  <autoFilter ref="A1:L906" xr:uid="{A3409A04-E565-43F3-837B-B2C08FA84845}"/>
  <conditionalFormatting sqref="K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Dataset</vt:lpstr>
      <vt:lpstr>Cleaning Process</vt:lpstr>
      <vt:lpstr>Clean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japhetkapyela4@gmail.com</dc:creator>
  <cp:lastModifiedBy>japhetkapyela4@gmail.com</cp:lastModifiedBy>
  <dcterms:created xsi:type="dcterms:W3CDTF">2026-09-03T12:49:51Z</dcterms:created>
  <dcterms:modified xsi:type="dcterms:W3CDTF">2026-09-06T19:05:32Z</dcterms:modified>
</cp:coreProperties>
</file>